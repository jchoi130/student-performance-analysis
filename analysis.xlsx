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18.xml" ContentType="application/vnd.openxmlformats-officedocument.spreadsheetml.pivotTable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ivotTables/pivotTable19.xml" ContentType="application/vnd.openxmlformats-officedocument.spreadsheetml.pivotTable+xml"/>
  <Override PartName="/xl/drawings/drawing11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20.xml" ContentType="application/vnd.openxmlformats-officedocument.spreadsheetml.pivotTable+xml"/>
  <Override PartName="/xl/drawings/drawing12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21.xml" ContentType="application/vnd.openxmlformats-officedocument.spreadsheetml.pivotTab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ivotTables/pivotTable22.xml" ContentType="application/vnd.openxmlformats-officedocument.spreadsheetml.pivotTable+xml"/>
  <Override PartName="/xl/drawings/drawing14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UNISA - BACHELOR OF DATA ANALYTICS\TERM 2\UO Professional Practice in Data Analytics\Assessment 2 dataset\Assessment 2.2\"/>
    </mc:Choice>
  </mc:AlternateContent>
  <xr:revisionPtr revIDLastSave="0" documentId="13_ncr:1_{54A7AF90-E9D1-4CBD-8A56-7EA463EC0486}" xr6:coauthVersionLast="47" xr6:coauthVersionMax="47" xr10:uidLastSave="{00000000-0000-0000-0000-000000000000}"/>
  <bookViews>
    <workbookView xWindow="-108" yWindow="-108" windowWidth="23256" windowHeight="12576" activeTab="1" xr2:uid="{0DC9C138-4233-4B49-810F-0196FBD96E4F}"/>
  </bookViews>
  <sheets>
    <sheet name="Student_Performance" sheetId="1" r:id="rId1"/>
    <sheet name="ScatterData" sheetId="26" r:id="rId2"/>
    <sheet name="PassFail Outcomes" sheetId="25" r:id="rId3"/>
    <sheet name="PassFailStacked" sheetId="24" r:id="rId4"/>
    <sheet name="Outliers" sheetId="23" r:id="rId5"/>
    <sheet name="Top10_Students" sheetId="21" r:id="rId6"/>
    <sheet name="Pass vs Fail Outcomes" sheetId="20" r:id="rId7"/>
    <sheet name="Distribution" sheetId="19" r:id="rId8"/>
    <sheet name="Subject Differences" sheetId="17" r:id="rId9"/>
    <sheet name="Test Prep Course" sheetId="9" r:id="rId10"/>
    <sheet name="Lunch" sheetId="13" r:id="rId11"/>
    <sheet name="Parental level of Education" sheetId="10" r:id="rId12"/>
    <sheet name="Race - Ethnicity" sheetId="15" r:id="rId13"/>
    <sheet name="Gender" sheetId="12" r:id="rId14"/>
    <sheet name="Helper_Flagged_Entries" sheetId="7" state="hidden" r:id="rId15"/>
    <sheet name="Helper_Spelling_Correction 1" sheetId="4" state="hidden" r:id="rId16"/>
    <sheet name="Helper_Spelling_Correction 2" sheetId="5" state="hidden" r:id="rId17"/>
  </sheets>
  <calcPr calcId="191029"/>
  <pivotCaches>
    <pivotCache cacheId="0" r:id="rId18"/>
    <pivotCache cacheId="1" r:id="rId19"/>
    <pivotCache cacheId="2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" i="1" l="1" a="1"/>
  <c r="U2" i="1" s="1"/>
  <c r="V2" i="1" s="1"/>
  <c r="U3" i="1" a="1"/>
  <c r="U3" i="1" s="1"/>
  <c r="V3" i="1" s="1"/>
  <c r="U4" i="1" a="1"/>
  <c r="U4" i="1" s="1"/>
  <c r="V4" i="1" s="1"/>
  <c r="U5" i="1" a="1"/>
  <c r="U5" i="1" s="1"/>
  <c r="V5" i="1" s="1"/>
  <c r="U6" i="1" a="1"/>
  <c r="U6" i="1" s="1"/>
  <c r="V6" i="1" s="1"/>
  <c r="U7" i="1" a="1"/>
  <c r="U7" i="1" s="1"/>
  <c r="V7" i="1" s="1"/>
  <c r="U8" i="1" a="1"/>
  <c r="U8" i="1" s="1"/>
  <c r="V8" i="1" s="1"/>
  <c r="U9" i="1" a="1"/>
  <c r="U9" i="1" s="1"/>
  <c r="V9" i="1" s="1"/>
  <c r="U10" i="1" a="1"/>
  <c r="U10" i="1" s="1"/>
  <c r="V10" i="1" s="1"/>
  <c r="U11" i="1" a="1"/>
  <c r="U11" i="1" s="1"/>
  <c r="V11" i="1" s="1"/>
  <c r="U12" i="1" a="1"/>
  <c r="U12" i="1" s="1"/>
  <c r="V12" i="1" s="1"/>
  <c r="U13" i="1" a="1"/>
  <c r="U13" i="1" s="1"/>
  <c r="V13" i="1" s="1"/>
  <c r="U14" i="1" a="1"/>
  <c r="U14" i="1" s="1"/>
  <c r="V14" i="1" s="1"/>
  <c r="U15" i="1" a="1"/>
  <c r="U15" i="1" s="1"/>
  <c r="V15" i="1" s="1"/>
  <c r="U16" i="1" a="1"/>
  <c r="U16" i="1" s="1"/>
  <c r="V16" i="1" s="1"/>
  <c r="U17" i="1" a="1"/>
  <c r="U17" i="1" s="1"/>
  <c r="V17" i="1" s="1"/>
  <c r="U18" i="1" a="1"/>
  <c r="U18" i="1" s="1"/>
  <c r="V18" i="1" s="1"/>
  <c r="U19" i="1" a="1"/>
  <c r="U19" i="1" s="1"/>
  <c r="V19" i="1" s="1"/>
  <c r="U20" i="1" a="1"/>
  <c r="U20" i="1" s="1"/>
  <c r="V20" i="1" s="1"/>
  <c r="U21" i="1" a="1"/>
  <c r="U21" i="1" s="1"/>
  <c r="V21" i="1" s="1"/>
  <c r="U22" i="1" a="1"/>
  <c r="U22" i="1" s="1"/>
  <c r="V22" i="1" s="1"/>
  <c r="U23" i="1" a="1"/>
  <c r="U23" i="1" s="1"/>
  <c r="V23" i="1" s="1"/>
  <c r="U24" i="1" a="1"/>
  <c r="U24" i="1" s="1"/>
  <c r="V24" i="1" s="1"/>
  <c r="U25" i="1" a="1"/>
  <c r="U25" i="1" s="1"/>
  <c r="V25" i="1" s="1"/>
  <c r="U26" i="1" a="1"/>
  <c r="U26" i="1" s="1"/>
  <c r="V26" i="1" s="1"/>
  <c r="U27" i="1" a="1"/>
  <c r="U27" i="1" s="1"/>
  <c r="V27" i="1" s="1"/>
  <c r="U28" i="1" a="1"/>
  <c r="U28" i="1" s="1"/>
  <c r="V28" i="1" s="1"/>
  <c r="U29" i="1" a="1"/>
  <c r="U29" i="1" s="1"/>
  <c r="V29" i="1" s="1"/>
  <c r="U30" i="1" a="1"/>
  <c r="U30" i="1" s="1"/>
  <c r="V30" i="1" s="1"/>
  <c r="U31" i="1" a="1"/>
  <c r="U31" i="1" s="1"/>
  <c r="V31" i="1" s="1"/>
  <c r="U32" i="1" a="1"/>
  <c r="U32" i="1" s="1"/>
  <c r="V32" i="1" s="1"/>
  <c r="U33" i="1" a="1"/>
  <c r="U33" i="1" s="1"/>
  <c r="V33" i="1" s="1"/>
  <c r="U34" i="1" a="1"/>
  <c r="U34" i="1" s="1"/>
  <c r="V34" i="1" s="1"/>
  <c r="U35" i="1" a="1"/>
  <c r="U35" i="1" s="1"/>
  <c r="V35" i="1" s="1"/>
  <c r="U36" i="1" a="1"/>
  <c r="U36" i="1" s="1"/>
  <c r="V36" i="1" s="1"/>
  <c r="U37" i="1" a="1"/>
  <c r="U37" i="1" s="1"/>
  <c r="V37" i="1" s="1"/>
  <c r="U38" i="1" a="1"/>
  <c r="U38" i="1" s="1"/>
  <c r="V38" i="1" s="1"/>
  <c r="U39" i="1" a="1"/>
  <c r="U39" i="1" s="1"/>
  <c r="V39" i="1" s="1"/>
  <c r="U40" i="1" a="1"/>
  <c r="U40" i="1" s="1"/>
  <c r="V40" i="1" s="1"/>
  <c r="U41" i="1" a="1"/>
  <c r="U41" i="1" s="1"/>
  <c r="V41" i="1" s="1"/>
  <c r="U42" i="1" a="1"/>
  <c r="U42" i="1" s="1"/>
  <c r="V42" i="1" s="1"/>
  <c r="U43" i="1" a="1"/>
  <c r="U43" i="1" s="1"/>
  <c r="V43" i="1" s="1"/>
  <c r="U44" i="1" a="1"/>
  <c r="U44" i="1" s="1"/>
  <c r="V44" i="1" s="1"/>
  <c r="U45" i="1" a="1"/>
  <c r="U45" i="1" s="1"/>
  <c r="V45" i="1" s="1"/>
  <c r="U46" i="1" a="1"/>
  <c r="U46" i="1" s="1"/>
  <c r="V46" i="1" s="1"/>
  <c r="U47" i="1" a="1"/>
  <c r="U47" i="1" s="1"/>
  <c r="V47" i="1" s="1"/>
  <c r="U48" i="1" a="1"/>
  <c r="U48" i="1" s="1"/>
  <c r="V48" i="1" s="1"/>
  <c r="U49" i="1" a="1"/>
  <c r="U49" i="1" s="1"/>
  <c r="V49" i="1" s="1"/>
  <c r="U50" i="1" a="1"/>
  <c r="U50" i="1" s="1"/>
  <c r="V50" i="1" s="1"/>
  <c r="U51" i="1" a="1"/>
  <c r="U51" i="1" s="1"/>
  <c r="V51" i="1" s="1"/>
  <c r="U52" i="1" a="1"/>
  <c r="U52" i="1" s="1"/>
  <c r="V52" i="1" s="1"/>
  <c r="U53" i="1" a="1"/>
  <c r="U53" i="1" s="1"/>
  <c r="V53" i="1" s="1"/>
  <c r="U54" i="1" a="1"/>
  <c r="U54" i="1" s="1"/>
  <c r="V54" i="1" s="1"/>
  <c r="U55" i="1" a="1"/>
  <c r="U55" i="1" s="1"/>
  <c r="V55" i="1" s="1"/>
  <c r="U56" i="1" a="1"/>
  <c r="U56" i="1" s="1"/>
  <c r="V56" i="1" s="1"/>
  <c r="U57" i="1" a="1"/>
  <c r="U57" i="1" s="1"/>
  <c r="V57" i="1" s="1"/>
  <c r="U58" i="1" a="1"/>
  <c r="U58" i="1" s="1"/>
  <c r="V58" i="1" s="1"/>
  <c r="U59" i="1" a="1"/>
  <c r="U59" i="1" s="1"/>
  <c r="V59" i="1" s="1"/>
  <c r="U60" i="1" a="1"/>
  <c r="U60" i="1" s="1"/>
  <c r="V60" i="1" s="1"/>
  <c r="U61" i="1" a="1"/>
  <c r="U61" i="1" s="1"/>
  <c r="V61" i="1" s="1"/>
  <c r="U62" i="1" a="1"/>
  <c r="U62" i="1" s="1"/>
  <c r="V62" i="1" s="1"/>
  <c r="U63" i="1" a="1"/>
  <c r="U63" i="1" s="1"/>
  <c r="V63" i="1" s="1"/>
  <c r="U64" i="1" a="1"/>
  <c r="U64" i="1" s="1"/>
  <c r="V64" i="1" s="1"/>
  <c r="U65" i="1" a="1"/>
  <c r="U65" i="1" s="1"/>
  <c r="V65" i="1" s="1"/>
  <c r="U66" i="1" a="1"/>
  <c r="U66" i="1" s="1"/>
  <c r="V66" i="1" s="1"/>
  <c r="U67" i="1" a="1"/>
  <c r="U67" i="1" s="1"/>
  <c r="V67" i="1" s="1"/>
  <c r="U68" i="1" a="1"/>
  <c r="U68" i="1" s="1"/>
  <c r="V68" i="1" s="1"/>
  <c r="U69" i="1" a="1"/>
  <c r="U69" i="1" s="1"/>
  <c r="V69" i="1" s="1"/>
  <c r="U70" i="1" a="1"/>
  <c r="U70" i="1" s="1"/>
  <c r="V70" i="1" s="1"/>
  <c r="U71" i="1" a="1"/>
  <c r="U71" i="1" s="1"/>
  <c r="V71" i="1" s="1"/>
  <c r="U72" i="1" a="1"/>
  <c r="U72" i="1" s="1"/>
  <c r="V72" i="1" s="1"/>
  <c r="U73" i="1" a="1"/>
  <c r="U73" i="1" s="1"/>
  <c r="V73" i="1" s="1"/>
  <c r="U74" i="1" a="1"/>
  <c r="U74" i="1" s="1"/>
  <c r="V74" i="1" s="1"/>
  <c r="U75" i="1" a="1"/>
  <c r="U75" i="1" s="1"/>
  <c r="V75" i="1" s="1"/>
  <c r="U76" i="1" a="1"/>
  <c r="U76" i="1" s="1"/>
  <c r="V76" i="1" s="1"/>
  <c r="U77" i="1" a="1"/>
  <c r="U77" i="1" s="1"/>
  <c r="V77" i="1" s="1"/>
  <c r="U78" i="1" a="1"/>
  <c r="U78" i="1" s="1"/>
  <c r="V78" i="1" s="1"/>
  <c r="U79" i="1" a="1"/>
  <c r="U79" i="1" s="1"/>
  <c r="V79" i="1" s="1"/>
  <c r="U80" i="1" a="1"/>
  <c r="U80" i="1" s="1"/>
  <c r="V80" i="1" s="1"/>
  <c r="U81" i="1" a="1"/>
  <c r="U81" i="1" s="1"/>
  <c r="V81" i="1" s="1"/>
  <c r="U82" i="1" a="1"/>
  <c r="U82" i="1" s="1"/>
  <c r="V82" i="1" s="1"/>
  <c r="U83" i="1" a="1"/>
  <c r="U83" i="1" s="1"/>
  <c r="V83" i="1" s="1"/>
  <c r="U84" i="1" a="1"/>
  <c r="U84" i="1" s="1"/>
  <c r="V84" i="1" s="1"/>
  <c r="U85" i="1" a="1"/>
  <c r="U85" i="1" s="1"/>
  <c r="V85" i="1" s="1"/>
  <c r="U86" i="1" a="1"/>
  <c r="U86" i="1" s="1"/>
  <c r="V86" i="1" s="1"/>
  <c r="U87" i="1" a="1"/>
  <c r="U87" i="1" s="1"/>
  <c r="V87" i="1" s="1"/>
  <c r="U88" i="1" a="1"/>
  <c r="U88" i="1" s="1"/>
  <c r="V88" i="1" s="1"/>
  <c r="U89" i="1" a="1"/>
  <c r="U89" i="1" s="1"/>
  <c r="V89" i="1" s="1"/>
  <c r="U90" i="1" a="1"/>
  <c r="U90" i="1" s="1"/>
  <c r="V90" i="1" s="1"/>
  <c r="U91" i="1" a="1"/>
  <c r="U91" i="1" s="1"/>
  <c r="V91" i="1" s="1"/>
  <c r="U92" i="1" a="1"/>
  <c r="U92" i="1" s="1"/>
  <c r="V92" i="1" s="1"/>
  <c r="U93" i="1" a="1"/>
  <c r="U93" i="1" s="1"/>
  <c r="V93" i="1" s="1"/>
  <c r="U94" i="1" a="1"/>
  <c r="U94" i="1" s="1"/>
  <c r="V94" i="1" s="1"/>
  <c r="U95" i="1" a="1"/>
  <c r="U95" i="1" s="1"/>
  <c r="V95" i="1" s="1"/>
  <c r="U96" i="1" a="1"/>
  <c r="U96" i="1" s="1"/>
  <c r="V96" i="1" s="1"/>
  <c r="U97" i="1" a="1"/>
  <c r="U97" i="1" s="1"/>
  <c r="V97" i="1" s="1"/>
  <c r="U98" i="1" a="1"/>
  <c r="U98" i="1" s="1"/>
  <c r="V98" i="1" s="1"/>
  <c r="U99" i="1" a="1"/>
  <c r="U99" i="1" s="1"/>
  <c r="V99" i="1" s="1"/>
  <c r="U100" i="1" a="1"/>
  <c r="U100" i="1" s="1"/>
  <c r="V100" i="1" s="1"/>
  <c r="U101" i="1" a="1"/>
  <c r="U101" i="1" s="1"/>
  <c r="V101" i="1" s="1"/>
  <c r="U102" i="1" a="1"/>
  <c r="U102" i="1" s="1"/>
  <c r="V102" i="1" s="1"/>
  <c r="U103" i="1" a="1"/>
  <c r="U103" i="1" s="1"/>
  <c r="V103" i="1" s="1"/>
  <c r="U104" i="1" a="1"/>
  <c r="U104" i="1" s="1"/>
  <c r="V104" i="1" s="1"/>
  <c r="U105" i="1" a="1"/>
  <c r="U105" i="1" s="1"/>
  <c r="V105" i="1" s="1"/>
  <c r="U106" i="1" a="1"/>
  <c r="U106" i="1" s="1"/>
  <c r="V106" i="1" s="1"/>
  <c r="U107" i="1" a="1"/>
  <c r="U107" i="1" s="1"/>
  <c r="V107" i="1" s="1"/>
  <c r="U108" i="1" a="1"/>
  <c r="U108" i="1" s="1"/>
  <c r="V108" i="1" s="1"/>
  <c r="U109" i="1" a="1"/>
  <c r="U109" i="1" s="1"/>
  <c r="V109" i="1" s="1"/>
  <c r="U110" i="1" a="1"/>
  <c r="U110" i="1" s="1"/>
  <c r="V110" i="1" s="1"/>
  <c r="U111" i="1" a="1"/>
  <c r="U111" i="1" s="1"/>
  <c r="V111" i="1" s="1"/>
  <c r="U112" i="1" a="1"/>
  <c r="U112" i="1" s="1"/>
  <c r="V112" i="1" s="1"/>
  <c r="U113" i="1" a="1"/>
  <c r="U113" i="1" s="1"/>
  <c r="V113" i="1" s="1"/>
  <c r="U114" i="1" a="1"/>
  <c r="U114" i="1" s="1"/>
  <c r="V114" i="1" s="1"/>
  <c r="U115" i="1" a="1"/>
  <c r="U115" i="1" s="1"/>
  <c r="V115" i="1" s="1"/>
  <c r="U116" i="1" a="1"/>
  <c r="U116" i="1" s="1"/>
  <c r="V116" i="1" s="1"/>
  <c r="U117" i="1" a="1"/>
  <c r="U117" i="1" s="1"/>
  <c r="V117" i="1" s="1"/>
  <c r="U118" i="1" a="1"/>
  <c r="U118" i="1" s="1"/>
  <c r="V118" i="1" s="1"/>
  <c r="U119" i="1" a="1"/>
  <c r="U119" i="1" s="1"/>
  <c r="V119" i="1" s="1"/>
  <c r="U120" i="1" a="1"/>
  <c r="U120" i="1" s="1"/>
  <c r="V120" i="1" s="1"/>
  <c r="U121" i="1" a="1"/>
  <c r="U121" i="1" s="1"/>
  <c r="V121" i="1" s="1"/>
  <c r="U122" i="1" a="1"/>
  <c r="U122" i="1" s="1"/>
  <c r="V122" i="1" s="1"/>
  <c r="U123" i="1" a="1"/>
  <c r="U123" i="1" s="1"/>
  <c r="V123" i="1" s="1"/>
  <c r="U124" i="1" a="1"/>
  <c r="U124" i="1" s="1"/>
  <c r="V124" i="1" s="1"/>
  <c r="U125" i="1" a="1"/>
  <c r="U125" i="1" s="1"/>
  <c r="V125" i="1" s="1"/>
  <c r="U126" i="1" a="1"/>
  <c r="U126" i="1" s="1"/>
  <c r="V126" i="1" s="1"/>
  <c r="U127" i="1" a="1"/>
  <c r="U127" i="1" s="1"/>
  <c r="V127" i="1" s="1"/>
  <c r="U128" i="1" a="1"/>
  <c r="U128" i="1" s="1"/>
  <c r="V128" i="1" s="1"/>
  <c r="U129" i="1" a="1"/>
  <c r="U129" i="1" s="1"/>
  <c r="V129" i="1" s="1"/>
  <c r="U130" i="1" a="1"/>
  <c r="U130" i="1" s="1"/>
  <c r="V130" i="1" s="1"/>
  <c r="U131" i="1" a="1"/>
  <c r="U131" i="1" s="1"/>
  <c r="V131" i="1" s="1"/>
  <c r="U132" i="1" a="1"/>
  <c r="U132" i="1" s="1"/>
  <c r="V132" i="1" s="1"/>
  <c r="U133" i="1" a="1"/>
  <c r="U133" i="1" s="1"/>
  <c r="V133" i="1" s="1"/>
  <c r="U134" i="1" a="1"/>
  <c r="U134" i="1" s="1"/>
  <c r="V134" i="1" s="1"/>
  <c r="U135" i="1" a="1"/>
  <c r="U135" i="1" s="1"/>
  <c r="V135" i="1" s="1"/>
  <c r="U136" i="1" a="1"/>
  <c r="U136" i="1" s="1"/>
  <c r="V136" i="1" s="1"/>
  <c r="U137" i="1" a="1"/>
  <c r="U137" i="1" s="1"/>
  <c r="V137" i="1" s="1"/>
  <c r="U138" i="1" a="1"/>
  <c r="U138" i="1" s="1"/>
  <c r="V138" i="1" s="1"/>
  <c r="U139" i="1" a="1"/>
  <c r="U139" i="1" s="1"/>
  <c r="V139" i="1" s="1"/>
  <c r="U140" i="1" a="1"/>
  <c r="U140" i="1" s="1"/>
  <c r="V140" i="1" s="1"/>
  <c r="U141" i="1" a="1"/>
  <c r="U141" i="1" s="1"/>
  <c r="V141" i="1" s="1"/>
  <c r="U142" i="1" a="1"/>
  <c r="U142" i="1" s="1"/>
  <c r="V142" i="1" s="1"/>
  <c r="U143" i="1" a="1"/>
  <c r="U143" i="1" s="1"/>
  <c r="V143" i="1" s="1"/>
  <c r="U144" i="1" a="1"/>
  <c r="U144" i="1" s="1"/>
  <c r="V144" i="1" s="1"/>
  <c r="U145" i="1" a="1"/>
  <c r="U145" i="1" s="1"/>
  <c r="V145" i="1" s="1"/>
  <c r="U146" i="1" a="1"/>
  <c r="U146" i="1" s="1"/>
  <c r="V146" i="1" s="1"/>
  <c r="U147" i="1" a="1"/>
  <c r="U147" i="1" s="1"/>
  <c r="V147" i="1" s="1"/>
  <c r="U148" i="1" a="1"/>
  <c r="U148" i="1" s="1"/>
  <c r="V148" i="1" s="1"/>
  <c r="U149" i="1" a="1"/>
  <c r="U149" i="1" s="1"/>
  <c r="V149" i="1" s="1"/>
  <c r="U150" i="1" a="1"/>
  <c r="U150" i="1" s="1"/>
  <c r="V150" i="1" s="1"/>
  <c r="U151" i="1" a="1"/>
  <c r="U151" i="1" s="1"/>
  <c r="V151" i="1" s="1"/>
  <c r="U152" i="1" a="1"/>
  <c r="U152" i="1" s="1"/>
  <c r="V152" i="1" s="1"/>
  <c r="U153" i="1" a="1"/>
  <c r="U153" i="1" s="1"/>
  <c r="V153" i="1" s="1"/>
  <c r="U154" i="1" a="1"/>
  <c r="U154" i="1" s="1"/>
  <c r="V154" i="1" s="1"/>
  <c r="U155" i="1" a="1"/>
  <c r="U155" i="1" s="1"/>
  <c r="V155" i="1" s="1"/>
  <c r="U156" i="1" a="1"/>
  <c r="U156" i="1" s="1"/>
  <c r="V156" i="1" s="1"/>
  <c r="U157" i="1" a="1"/>
  <c r="U157" i="1" s="1"/>
  <c r="V157" i="1" s="1"/>
  <c r="U158" i="1" a="1"/>
  <c r="U158" i="1" s="1"/>
  <c r="V158" i="1" s="1"/>
  <c r="U159" i="1" a="1"/>
  <c r="U159" i="1" s="1"/>
  <c r="V159" i="1" s="1"/>
  <c r="U160" i="1" a="1"/>
  <c r="U160" i="1" s="1"/>
  <c r="V160" i="1" s="1"/>
  <c r="U161" i="1" a="1"/>
  <c r="U161" i="1" s="1"/>
  <c r="V161" i="1" s="1"/>
  <c r="U162" i="1" a="1"/>
  <c r="U162" i="1" s="1"/>
  <c r="V162" i="1" s="1"/>
  <c r="U163" i="1" a="1"/>
  <c r="U163" i="1" s="1"/>
  <c r="V163" i="1" s="1"/>
  <c r="U164" i="1" a="1"/>
  <c r="U164" i="1" s="1"/>
  <c r="V164" i="1" s="1"/>
  <c r="U165" i="1" a="1"/>
  <c r="U165" i="1" s="1"/>
  <c r="V165" i="1" s="1"/>
  <c r="U166" i="1" a="1"/>
  <c r="U166" i="1" s="1"/>
  <c r="V166" i="1" s="1"/>
  <c r="U167" i="1" a="1"/>
  <c r="U167" i="1" s="1"/>
  <c r="V167" i="1" s="1"/>
  <c r="U168" i="1" a="1"/>
  <c r="U168" i="1" s="1"/>
  <c r="V168" i="1" s="1"/>
  <c r="U169" i="1" a="1"/>
  <c r="U169" i="1" s="1"/>
  <c r="V169" i="1" s="1"/>
  <c r="U170" i="1" a="1"/>
  <c r="U170" i="1" s="1"/>
  <c r="V170" i="1" s="1"/>
  <c r="U171" i="1" a="1"/>
  <c r="U171" i="1" s="1"/>
  <c r="V171" i="1" s="1"/>
  <c r="U172" i="1" a="1"/>
  <c r="U172" i="1" s="1"/>
  <c r="V172" i="1" s="1"/>
  <c r="U173" i="1" a="1"/>
  <c r="U173" i="1" s="1"/>
  <c r="V173" i="1" s="1"/>
  <c r="U174" i="1" a="1"/>
  <c r="U174" i="1" s="1"/>
  <c r="V174" i="1" s="1"/>
  <c r="U175" i="1" a="1"/>
  <c r="U175" i="1" s="1"/>
  <c r="V175" i="1" s="1"/>
  <c r="U176" i="1" a="1"/>
  <c r="U176" i="1" s="1"/>
  <c r="V176" i="1" s="1"/>
  <c r="U177" i="1" a="1"/>
  <c r="U177" i="1" s="1"/>
  <c r="V177" i="1" s="1"/>
  <c r="U178" i="1" a="1"/>
  <c r="U178" i="1" s="1"/>
  <c r="V178" i="1" s="1"/>
  <c r="U179" i="1" a="1"/>
  <c r="U179" i="1" s="1"/>
  <c r="V179" i="1" s="1"/>
  <c r="U180" i="1" a="1"/>
  <c r="U180" i="1" s="1"/>
  <c r="V180" i="1" s="1"/>
  <c r="U181" i="1" a="1"/>
  <c r="U181" i="1" s="1"/>
  <c r="V181" i="1" s="1"/>
  <c r="U182" i="1" a="1"/>
  <c r="U182" i="1" s="1"/>
  <c r="V182" i="1" s="1"/>
  <c r="U183" i="1" a="1"/>
  <c r="U183" i="1" s="1"/>
  <c r="V183" i="1" s="1"/>
  <c r="U184" i="1" a="1"/>
  <c r="U184" i="1" s="1"/>
  <c r="V184" i="1" s="1"/>
  <c r="U185" i="1" a="1"/>
  <c r="U185" i="1" s="1"/>
  <c r="V185" i="1" s="1"/>
  <c r="U186" i="1" a="1"/>
  <c r="U186" i="1" s="1"/>
  <c r="V186" i="1" s="1"/>
  <c r="U187" i="1" a="1"/>
  <c r="U187" i="1" s="1"/>
  <c r="V187" i="1" s="1"/>
  <c r="U188" i="1" a="1"/>
  <c r="U188" i="1" s="1"/>
  <c r="V188" i="1" s="1"/>
  <c r="U189" i="1" a="1"/>
  <c r="U189" i="1" s="1"/>
  <c r="V189" i="1" s="1"/>
  <c r="U190" i="1" a="1"/>
  <c r="U190" i="1" s="1"/>
  <c r="V190" i="1" s="1"/>
  <c r="U191" i="1" a="1"/>
  <c r="U191" i="1" s="1"/>
  <c r="V191" i="1" s="1"/>
  <c r="U192" i="1" a="1"/>
  <c r="U192" i="1" s="1"/>
  <c r="V192" i="1" s="1"/>
  <c r="U193" i="1" a="1"/>
  <c r="U193" i="1" s="1"/>
  <c r="V193" i="1" s="1"/>
  <c r="U194" i="1" a="1"/>
  <c r="U194" i="1" s="1"/>
  <c r="V194" i="1" s="1"/>
  <c r="U195" i="1" a="1"/>
  <c r="U195" i="1" s="1"/>
  <c r="V195" i="1" s="1"/>
  <c r="U196" i="1" a="1"/>
  <c r="U196" i="1" s="1"/>
  <c r="V196" i="1" s="1"/>
  <c r="U197" i="1" a="1"/>
  <c r="U197" i="1" s="1"/>
  <c r="V197" i="1" s="1"/>
  <c r="U198" i="1" a="1"/>
  <c r="U198" i="1" s="1"/>
  <c r="V198" i="1" s="1"/>
  <c r="U199" i="1" a="1"/>
  <c r="U199" i="1" s="1"/>
  <c r="V199" i="1" s="1"/>
  <c r="U200" i="1" a="1"/>
  <c r="U200" i="1" s="1"/>
  <c r="V200" i="1" s="1"/>
  <c r="U201" i="1" a="1"/>
  <c r="U201" i="1" s="1"/>
  <c r="V201" i="1" s="1"/>
  <c r="U202" i="1" a="1"/>
  <c r="U202" i="1" s="1"/>
  <c r="V202" i="1" s="1"/>
  <c r="U203" i="1" a="1"/>
  <c r="U203" i="1" s="1"/>
  <c r="V203" i="1" s="1"/>
  <c r="U204" i="1" a="1"/>
  <c r="U204" i="1" s="1"/>
  <c r="V204" i="1" s="1"/>
  <c r="U205" i="1" a="1"/>
  <c r="U205" i="1" s="1"/>
  <c r="V205" i="1" s="1"/>
  <c r="U206" i="1" a="1"/>
  <c r="U206" i="1" s="1"/>
  <c r="V206" i="1" s="1"/>
  <c r="U207" i="1" a="1"/>
  <c r="U207" i="1" s="1"/>
  <c r="V207" i="1" s="1"/>
  <c r="U208" i="1" a="1"/>
  <c r="U208" i="1" s="1"/>
  <c r="V208" i="1" s="1"/>
  <c r="U209" i="1" a="1"/>
  <c r="U209" i="1" s="1"/>
  <c r="V209" i="1" s="1"/>
  <c r="U210" i="1" a="1"/>
  <c r="U210" i="1" s="1"/>
  <c r="V210" i="1" s="1"/>
  <c r="U211" i="1" a="1"/>
  <c r="U211" i="1" s="1"/>
  <c r="V211" i="1" s="1"/>
  <c r="U212" i="1" a="1"/>
  <c r="U212" i="1" s="1"/>
  <c r="V212" i="1" s="1"/>
  <c r="U213" i="1" a="1"/>
  <c r="U213" i="1" s="1"/>
  <c r="V213" i="1" s="1"/>
  <c r="U214" i="1" a="1"/>
  <c r="U214" i="1" s="1"/>
  <c r="V214" i="1" s="1"/>
  <c r="U215" i="1" a="1"/>
  <c r="U215" i="1" s="1"/>
  <c r="V215" i="1" s="1"/>
  <c r="U216" i="1" a="1"/>
  <c r="U216" i="1" s="1"/>
  <c r="V216" i="1" s="1"/>
  <c r="U217" i="1" a="1"/>
  <c r="U217" i="1" s="1"/>
  <c r="V217" i="1" s="1"/>
  <c r="U218" i="1" a="1"/>
  <c r="U218" i="1" s="1"/>
  <c r="V218" i="1" s="1"/>
  <c r="U219" i="1" a="1"/>
  <c r="U219" i="1" s="1"/>
  <c r="V219" i="1" s="1"/>
  <c r="U220" i="1" a="1"/>
  <c r="U220" i="1" s="1"/>
  <c r="V220" i="1" s="1"/>
  <c r="U221" i="1" a="1"/>
  <c r="U221" i="1" s="1"/>
  <c r="V221" i="1" s="1"/>
  <c r="U222" i="1" a="1"/>
  <c r="U222" i="1" s="1"/>
  <c r="V222" i="1" s="1"/>
  <c r="U223" i="1" a="1"/>
  <c r="U223" i="1" s="1"/>
  <c r="V223" i="1" s="1"/>
  <c r="U224" i="1" a="1"/>
  <c r="U224" i="1" s="1"/>
  <c r="V224" i="1" s="1"/>
  <c r="U225" i="1" a="1"/>
  <c r="U225" i="1" s="1"/>
  <c r="V225" i="1" s="1"/>
  <c r="U226" i="1" a="1"/>
  <c r="U226" i="1" s="1"/>
  <c r="V226" i="1" s="1"/>
  <c r="U227" i="1" a="1"/>
  <c r="U227" i="1" s="1"/>
  <c r="V227" i="1" s="1"/>
  <c r="U228" i="1" a="1"/>
  <c r="U228" i="1" s="1"/>
  <c r="V228" i="1" s="1"/>
  <c r="U229" i="1" a="1"/>
  <c r="U229" i="1" s="1"/>
  <c r="V229" i="1" s="1"/>
  <c r="U230" i="1" a="1"/>
  <c r="U230" i="1" s="1"/>
  <c r="V230" i="1" s="1"/>
  <c r="U231" i="1" a="1"/>
  <c r="U231" i="1" s="1"/>
  <c r="V231" i="1" s="1"/>
  <c r="U232" i="1" a="1"/>
  <c r="U232" i="1" s="1"/>
  <c r="V232" i="1" s="1"/>
  <c r="U233" i="1" a="1"/>
  <c r="U233" i="1" s="1"/>
  <c r="V233" i="1" s="1"/>
  <c r="U234" i="1" a="1"/>
  <c r="U234" i="1" s="1"/>
  <c r="V234" i="1" s="1"/>
  <c r="U235" i="1" a="1"/>
  <c r="U235" i="1" s="1"/>
  <c r="V235" i="1" s="1"/>
  <c r="U236" i="1" a="1"/>
  <c r="U236" i="1" s="1"/>
  <c r="V236" i="1" s="1"/>
  <c r="U237" i="1" a="1"/>
  <c r="U237" i="1" s="1"/>
  <c r="V237" i="1" s="1"/>
  <c r="U238" i="1" a="1"/>
  <c r="U238" i="1" s="1"/>
  <c r="V238" i="1" s="1"/>
  <c r="U239" i="1" a="1"/>
  <c r="U239" i="1" s="1"/>
  <c r="V239" i="1" s="1"/>
  <c r="U240" i="1" a="1"/>
  <c r="U240" i="1" s="1"/>
  <c r="V240" i="1" s="1"/>
  <c r="U241" i="1" a="1"/>
  <c r="U241" i="1" s="1"/>
  <c r="V241" i="1" s="1"/>
  <c r="U242" i="1" a="1"/>
  <c r="U242" i="1" s="1"/>
  <c r="V242" i="1" s="1"/>
  <c r="U243" i="1" a="1"/>
  <c r="U243" i="1" s="1"/>
  <c r="V243" i="1" s="1"/>
  <c r="U244" i="1" a="1"/>
  <c r="U244" i="1" s="1"/>
  <c r="V244" i="1" s="1"/>
  <c r="U245" i="1" a="1"/>
  <c r="U245" i="1" s="1"/>
  <c r="V245" i="1" s="1"/>
  <c r="U246" i="1" a="1"/>
  <c r="U246" i="1" s="1"/>
  <c r="V246" i="1" s="1"/>
  <c r="U247" i="1" a="1"/>
  <c r="U247" i="1" s="1"/>
  <c r="V247" i="1" s="1"/>
  <c r="U248" i="1" a="1"/>
  <c r="U248" i="1" s="1"/>
  <c r="V248" i="1" s="1"/>
  <c r="U249" i="1" a="1"/>
  <c r="U249" i="1" s="1"/>
  <c r="V249" i="1" s="1"/>
  <c r="U250" i="1" a="1"/>
  <c r="U250" i="1" s="1"/>
  <c r="V250" i="1" s="1"/>
  <c r="U251" i="1" a="1"/>
  <c r="U251" i="1" s="1"/>
  <c r="V251" i="1" s="1"/>
  <c r="U252" i="1" a="1"/>
  <c r="U252" i="1" s="1"/>
  <c r="V252" i="1" s="1"/>
  <c r="U253" i="1" a="1"/>
  <c r="U253" i="1" s="1"/>
  <c r="V253" i="1" s="1"/>
  <c r="U254" i="1" a="1"/>
  <c r="U254" i="1" s="1"/>
  <c r="V254" i="1" s="1"/>
  <c r="U255" i="1" a="1"/>
  <c r="U255" i="1" s="1"/>
  <c r="V255" i="1" s="1"/>
  <c r="U256" i="1" a="1"/>
  <c r="U256" i="1" s="1"/>
  <c r="V256" i="1" s="1"/>
  <c r="U257" i="1" a="1"/>
  <c r="U257" i="1" s="1"/>
  <c r="V257" i="1" s="1"/>
  <c r="U258" i="1" a="1"/>
  <c r="U258" i="1" s="1"/>
  <c r="V258" i="1" s="1"/>
  <c r="U259" i="1" a="1"/>
  <c r="U259" i="1" s="1"/>
  <c r="V259" i="1" s="1"/>
  <c r="U260" i="1" a="1"/>
  <c r="U260" i="1" s="1"/>
  <c r="V260" i="1" s="1"/>
  <c r="U261" i="1" a="1"/>
  <c r="U261" i="1" s="1"/>
  <c r="V261" i="1" s="1"/>
  <c r="U262" i="1" a="1"/>
  <c r="U262" i="1" s="1"/>
  <c r="V262" i="1" s="1"/>
  <c r="U263" i="1" a="1"/>
  <c r="U263" i="1" s="1"/>
  <c r="V263" i="1" s="1"/>
  <c r="U264" i="1" a="1"/>
  <c r="U264" i="1" s="1"/>
  <c r="V264" i="1" s="1"/>
  <c r="U265" i="1" a="1"/>
  <c r="U265" i="1" s="1"/>
  <c r="V265" i="1" s="1"/>
  <c r="U266" i="1" a="1"/>
  <c r="U266" i="1" s="1"/>
  <c r="V266" i="1" s="1"/>
  <c r="U267" i="1" a="1"/>
  <c r="U267" i="1" s="1"/>
  <c r="V267" i="1" s="1"/>
  <c r="U268" i="1" a="1"/>
  <c r="U268" i="1" s="1"/>
  <c r="V268" i="1" s="1"/>
  <c r="U269" i="1" a="1"/>
  <c r="U269" i="1" s="1"/>
  <c r="V269" i="1" s="1"/>
  <c r="U270" i="1" a="1"/>
  <c r="U270" i="1" s="1"/>
  <c r="V270" i="1" s="1"/>
  <c r="U271" i="1" a="1"/>
  <c r="U271" i="1" s="1"/>
  <c r="V271" i="1" s="1"/>
  <c r="U272" i="1" a="1"/>
  <c r="U272" i="1" s="1"/>
  <c r="V272" i="1" s="1"/>
  <c r="U273" i="1" a="1"/>
  <c r="U273" i="1" s="1"/>
  <c r="V273" i="1" s="1"/>
  <c r="U274" i="1" a="1"/>
  <c r="U274" i="1" s="1"/>
  <c r="V274" i="1" s="1"/>
  <c r="U275" i="1" a="1"/>
  <c r="U275" i="1" s="1"/>
  <c r="V275" i="1" s="1"/>
  <c r="U276" i="1" a="1"/>
  <c r="U276" i="1" s="1"/>
  <c r="V276" i="1" s="1"/>
  <c r="U277" i="1" a="1"/>
  <c r="U277" i="1" s="1"/>
  <c r="V277" i="1" s="1"/>
  <c r="U278" i="1" a="1"/>
  <c r="U278" i="1" s="1"/>
  <c r="V278" i="1" s="1"/>
  <c r="U279" i="1" a="1"/>
  <c r="U279" i="1" s="1"/>
  <c r="V279" i="1" s="1"/>
  <c r="U280" i="1" a="1"/>
  <c r="U280" i="1" s="1"/>
  <c r="V280" i="1" s="1"/>
  <c r="U281" i="1" a="1"/>
  <c r="U281" i="1" s="1"/>
  <c r="V281" i="1" s="1"/>
  <c r="U282" i="1" a="1"/>
  <c r="U282" i="1" s="1"/>
  <c r="V282" i="1" s="1"/>
  <c r="U283" i="1" a="1"/>
  <c r="U283" i="1" s="1"/>
  <c r="V283" i="1" s="1"/>
  <c r="U284" i="1" a="1"/>
  <c r="U284" i="1" s="1"/>
  <c r="V284" i="1" s="1"/>
  <c r="U285" i="1" a="1"/>
  <c r="U285" i="1" s="1"/>
  <c r="V285" i="1" s="1"/>
  <c r="U286" i="1" a="1"/>
  <c r="U286" i="1" s="1"/>
  <c r="V286" i="1" s="1"/>
  <c r="U287" i="1" a="1"/>
  <c r="U287" i="1" s="1"/>
  <c r="V287" i="1" s="1"/>
  <c r="U288" i="1" a="1"/>
  <c r="U288" i="1" s="1"/>
  <c r="V288" i="1" s="1"/>
  <c r="U289" i="1" a="1"/>
  <c r="U289" i="1" s="1"/>
  <c r="V289" i="1" s="1"/>
  <c r="U290" i="1" a="1"/>
  <c r="U290" i="1" s="1"/>
  <c r="V290" i="1" s="1"/>
  <c r="U291" i="1" a="1"/>
  <c r="U291" i="1" s="1"/>
  <c r="V291" i="1" s="1"/>
  <c r="U292" i="1" a="1"/>
  <c r="U292" i="1" s="1"/>
  <c r="V292" i="1" s="1"/>
  <c r="U293" i="1" a="1"/>
  <c r="U293" i="1" s="1"/>
  <c r="V293" i="1" s="1"/>
  <c r="U294" i="1" a="1"/>
  <c r="U294" i="1" s="1"/>
  <c r="V294" i="1" s="1"/>
  <c r="U295" i="1" a="1"/>
  <c r="U295" i="1" s="1"/>
  <c r="V295" i="1" s="1"/>
  <c r="U296" i="1" a="1"/>
  <c r="U296" i="1" s="1"/>
  <c r="V296" i="1" s="1"/>
  <c r="U297" i="1" a="1"/>
  <c r="U297" i="1" s="1"/>
  <c r="V297" i="1" s="1"/>
  <c r="U298" i="1" a="1"/>
  <c r="U298" i="1" s="1"/>
  <c r="V298" i="1" s="1"/>
  <c r="U299" i="1" a="1"/>
  <c r="U299" i="1" s="1"/>
  <c r="V299" i="1" s="1"/>
  <c r="U300" i="1" a="1"/>
  <c r="U300" i="1" s="1"/>
  <c r="V300" i="1" s="1"/>
  <c r="U301" i="1" a="1"/>
  <c r="U301" i="1" s="1"/>
  <c r="V301" i="1" s="1"/>
  <c r="U302" i="1" a="1"/>
  <c r="U302" i="1" s="1"/>
  <c r="V302" i="1" s="1"/>
  <c r="U303" i="1" a="1"/>
  <c r="U303" i="1" s="1"/>
  <c r="V303" i="1" s="1"/>
  <c r="U304" i="1" a="1"/>
  <c r="U304" i="1" s="1"/>
  <c r="V304" i="1" s="1"/>
  <c r="U305" i="1" a="1"/>
  <c r="U305" i="1" s="1"/>
  <c r="V305" i="1" s="1"/>
  <c r="U306" i="1" a="1"/>
  <c r="U306" i="1" s="1"/>
  <c r="V306" i="1" s="1"/>
  <c r="U307" i="1" a="1"/>
  <c r="U307" i="1" s="1"/>
  <c r="V307" i="1" s="1"/>
  <c r="U308" i="1" a="1"/>
  <c r="U308" i="1" s="1"/>
  <c r="V308" i="1" s="1"/>
  <c r="U309" i="1" a="1"/>
  <c r="U309" i="1" s="1"/>
  <c r="V309" i="1" s="1"/>
  <c r="U310" i="1" a="1"/>
  <c r="U310" i="1" s="1"/>
  <c r="V310" i="1" s="1"/>
  <c r="U311" i="1" a="1"/>
  <c r="U311" i="1" s="1"/>
  <c r="V311" i="1" s="1"/>
  <c r="U312" i="1" a="1"/>
  <c r="U312" i="1" s="1"/>
  <c r="V312" i="1" s="1"/>
  <c r="U313" i="1" a="1"/>
  <c r="U313" i="1" s="1"/>
  <c r="V313" i="1" s="1"/>
  <c r="U314" i="1" a="1"/>
  <c r="U314" i="1" s="1"/>
  <c r="V314" i="1" s="1"/>
  <c r="U315" i="1" a="1"/>
  <c r="U315" i="1" s="1"/>
  <c r="V315" i="1" s="1"/>
  <c r="U316" i="1" a="1"/>
  <c r="U316" i="1" s="1"/>
  <c r="V316" i="1" s="1"/>
  <c r="U317" i="1" a="1"/>
  <c r="U317" i="1" s="1"/>
  <c r="V317" i="1" s="1"/>
  <c r="U318" i="1" a="1"/>
  <c r="U318" i="1" s="1"/>
  <c r="V318" i="1" s="1"/>
  <c r="U319" i="1" a="1"/>
  <c r="U319" i="1" s="1"/>
  <c r="V319" i="1" s="1"/>
  <c r="U320" i="1" a="1"/>
  <c r="U320" i="1" s="1"/>
  <c r="V320" i="1" s="1"/>
  <c r="U321" i="1" a="1"/>
  <c r="U321" i="1" s="1"/>
  <c r="V321" i="1" s="1"/>
  <c r="U322" i="1" a="1"/>
  <c r="U322" i="1" s="1"/>
  <c r="V322" i="1" s="1"/>
  <c r="U323" i="1" a="1"/>
  <c r="U323" i="1" s="1"/>
  <c r="V323" i="1" s="1"/>
  <c r="U324" i="1" a="1"/>
  <c r="U324" i="1" s="1"/>
  <c r="V324" i="1" s="1"/>
  <c r="U325" i="1" a="1"/>
  <c r="U325" i="1" s="1"/>
  <c r="V325" i="1" s="1"/>
  <c r="U326" i="1" a="1"/>
  <c r="U326" i="1" s="1"/>
  <c r="V326" i="1" s="1"/>
  <c r="U327" i="1" a="1"/>
  <c r="U327" i="1" s="1"/>
  <c r="V327" i="1" s="1"/>
  <c r="U328" i="1" a="1"/>
  <c r="U328" i="1" s="1"/>
  <c r="V328" i="1" s="1"/>
  <c r="U329" i="1" a="1"/>
  <c r="U329" i="1" s="1"/>
  <c r="V329" i="1" s="1"/>
  <c r="U330" i="1" a="1"/>
  <c r="U330" i="1" s="1"/>
  <c r="V330" i="1" s="1"/>
  <c r="U331" i="1" a="1"/>
  <c r="U331" i="1" s="1"/>
  <c r="V331" i="1" s="1"/>
  <c r="U332" i="1" a="1"/>
  <c r="U332" i="1" s="1"/>
  <c r="V332" i="1" s="1"/>
  <c r="U333" i="1" a="1"/>
  <c r="U333" i="1" s="1"/>
  <c r="V333" i="1" s="1"/>
  <c r="U334" i="1" a="1"/>
  <c r="U334" i="1" s="1"/>
  <c r="V334" i="1" s="1"/>
  <c r="U335" i="1" a="1"/>
  <c r="U335" i="1" s="1"/>
  <c r="V335" i="1" s="1"/>
  <c r="U336" i="1" a="1"/>
  <c r="U336" i="1" s="1"/>
  <c r="V336" i="1" s="1"/>
  <c r="U337" i="1" a="1"/>
  <c r="U337" i="1" s="1"/>
  <c r="V337" i="1" s="1"/>
  <c r="U338" i="1" a="1"/>
  <c r="U338" i="1" s="1"/>
  <c r="V338" i="1" s="1"/>
  <c r="U339" i="1" a="1"/>
  <c r="U339" i="1" s="1"/>
  <c r="V339" i="1" s="1"/>
  <c r="U340" i="1" a="1"/>
  <c r="U340" i="1" s="1"/>
  <c r="V340" i="1" s="1"/>
  <c r="U341" i="1" a="1"/>
  <c r="U341" i="1" s="1"/>
  <c r="V341" i="1" s="1"/>
  <c r="U342" i="1" a="1"/>
  <c r="U342" i="1" s="1"/>
  <c r="V342" i="1" s="1"/>
  <c r="U343" i="1" a="1"/>
  <c r="U343" i="1" s="1"/>
  <c r="V343" i="1" s="1"/>
  <c r="U344" i="1" a="1"/>
  <c r="U344" i="1" s="1"/>
  <c r="V344" i="1" s="1"/>
  <c r="U345" i="1" a="1"/>
  <c r="U345" i="1" s="1"/>
  <c r="V345" i="1" s="1"/>
  <c r="U346" i="1" a="1"/>
  <c r="U346" i="1" s="1"/>
  <c r="V346" i="1" s="1"/>
  <c r="U347" i="1" a="1"/>
  <c r="U347" i="1" s="1"/>
  <c r="V347" i="1" s="1"/>
  <c r="U348" i="1" a="1"/>
  <c r="U348" i="1" s="1"/>
  <c r="V348" i="1" s="1"/>
  <c r="U349" i="1" a="1"/>
  <c r="U349" i="1" s="1"/>
  <c r="V349" i="1" s="1"/>
  <c r="U350" i="1" a="1"/>
  <c r="U350" i="1" s="1"/>
  <c r="V350" i="1" s="1"/>
  <c r="U351" i="1" a="1"/>
  <c r="U351" i="1" s="1"/>
  <c r="V351" i="1" s="1"/>
  <c r="U352" i="1" a="1"/>
  <c r="U352" i="1" s="1"/>
  <c r="V352" i="1" s="1"/>
  <c r="U353" i="1" a="1"/>
  <c r="U353" i="1" s="1"/>
  <c r="V353" i="1" s="1"/>
  <c r="U354" i="1" a="1"/>
  <c r="U354" i="1" s="1"/>
  <c r="V354" i="1" s="1"/>
  <c r="U355" i="1" a="1"/>
  <c r="U355" i="1" s="1"/>
  <c r="V355" i="1" s="1"/>
  <c r="U356" i="1" a="1"/>
  <c r="U356" i="1" s="1"/>
  <c r="V356" i="1" s="1"/>
  <c r="U357" i="1" a="1"/>
  <c r="U357" i="1" s="1"/>
  <c r="V357" i="1" s="1"/>
  <c r="U358" i="1" a="1"/>
  <c r="U358" i="1" s="1"/>
  <c r="V358" i="1" s="1"/>
  <c r="U359" i="1" a="1"/>
  <c r="U359" i="1" s="1"/>
  <c r="V359" i="1" s="1"/>
  <c r="U360" i="1" a="1"/>
  <c r="U360" i="1" s="1"/>
  <c r="V360" i="1" s="1"/>
  <c r="U361" i="1" a="1"/>
  <c r="U361" i="1" s="1"/>
  <c r="V361" i="1" s="1"/>
  <c r="U362" i="1" a="1"/>
  <c r="U362" i="1" s="1"/>
  <c r="V362" i="1" s="1"/>
  <c r="U363" i="1" a="1"/>
  <c r="U363" i="1" s="1"/>
  <c r="V363" i="1" s="1"/>
  <c r="U364" i="1" a="1"/>
  <c r="U364" i="1" s="1"/>
  <c r="V364" i="1" s="1"/>
  <c r="U365" i="1" a="1"/>
  <c r="U365" i="1" s="1"/>
  <c r="V365" i="1" s="1"/>
  <c r="U366" i="1" a="1"/>
  <c r="U366" i="1" s="1"/>
  <c r="V366" i="1" s="1"/>
  <c r="U367" i="1" a="1"/>
  <c r="U367" i="1" s="1"/>
  <c r="V367" i="1" s="1"/>
  <c r="U368" i="1" a="1"/>
  <c r="U368" i="1" s="1"/>
  <c r="V368" i="1" s="1"/>
  <c r="U369" i="1" a="1"/>
  <c r="U369" i="1" s="1"/>
  <c r="V369" i="1" s="1"/>
  <c r="U370" i="1" a="1"/>
  <c r="U370" i="1" s="1"/>
  <c r="V370" i="1" s="1"/>
  <c r="U371" i="1" a="1"/>
  <c r="U371" i="1" s="1"/>
  <c r="V371" i="1" s="1"/>
  <c r="U372" i="1" a="1"/>
  <c r="U372" i="1" s="1"/>
  <c r="V372" i="1" s="1"/>
  <c r="U373" i="1" a="1"/>
  <c r="U373" i="1" s="1"/>
  <c r="V373" i="1" s="1"/>
  <c r="U374" i="1" a="1"/>
  <c r="U374" i="1" s="1"/>
  <c r="V374" i="1" s="1"/>
  <c r="U375" i="1" a="1"/>
  <c r="U375" i="1" s="1"/>
  <c r="V375" i="1" s="1"/>
  <c r="U376" i="1" a="1"/>
  <c r="U376" i="1" s="1"/>
  <c r="V376" i="1" s="1"/>
  <c r="U377" i="1" a="1"/>
  <c r="U377" i="1" s="1"/>
  <c r="V377" i="1" s="1"/>
  <c r="U378" i="1" a="1"/>
  <c r="U378" i="1" s="1"/>
  <c r="V378" i="1" s="1"/>
  <c r="U379" i="1" a="1"/>
  <c r="U379" i="1" s="1"/>
  <c r="V379" i="1" s="1"/>
  <c r="U380" i="1" a="1"/>
  <c r="U380" i="1" s="1"/>
  <c r="V380" i="1" s="1"/>
  <c r="U381" i="1" a="1"/>
  <c r="U381" i="1" s="1"/>
  <c r="V381" i="1" s="1"/>
  <c r="U382" i="1" a="1"/>
  <c r="U382" i="1" s="1"/>
  <c r="V382" i="1" s="1"/>
  <c r="U383" i="1" a="1"/>
  <c r="U383" i="1" s="1"/>
  <c r="V383" i="1" s="1"/>
  <c r="U384" i="1" a="1"/>
  <c r="U384" i="1" s="1"/>
  <c r="V384" i="1" s="1"/>
  <c r="U385" i="1" a="1"/>
  <c r="U385" i="1" s="1"/>
  <c r="V385" i="1" s="1"/>
  <c r="U386" i="1" a="1"/>
  <c r="U386" i="1" s="1"/>
  <c r="V386" i="1" s="1"/>
  <c r="U387" i="1" a="1"/>
  <c r="U387" i="1" s="1"/>
  <c r="V387" i="1" s="1"/>
  <c r="U388" i="1" a="1"/>
  <c r="U388" i="1" s="1"/>
  <c r="V388" i="1" s="1"/>
  <c r="U389" i="1" a="1"/>
  <c r="U389" i="1" s="1"/>
  <c r="V389" i="1" s="1"/>
  <c r="U390" i="1" a="1"/>
  <c r="U390" i="1" s="1"/>
  <c r="V390" i="1" s="1"/>
  <c r="U391" i="1" a="1"/>
  <c r="U391" i="1" s="1"/>
  <c r="V391" i="1" s="1"/>
  <c r="U392" i="1" a="1"/>
  <c r="U392" i="1" s="1"/>
  <c r="V392" i="1" s="1"/>
  <c r="U393" i="1" a="1"/>
  <c r="U393" i="1" s="1"/>
  <c r="V393" i="1" s="1"/>
  <c r="U394" i="1" a="1"/>
  <c r="U394" i="1" s="1"/>
  <c r="V394" i="1" s="1"/>
  <c r="U395" i="1" a="1"/>
  <c r="U395" i="1" s="1"/>
  <c r="V395" i="1" s="1"/>
  <c r="U396" i="1" a="1"/>
  <c r="U396" i="1" s="1"/>
  <c r="V396" i="1" s="1"/>
  <c r="U397" i="1" a="1"/>
  <c r="U397" i="1" s="1"/>
  <c r="V397" i="1" s="1"/>
  <c r="U398" i="1" a="1"/>
  <c r="U398" i="1" s="1"/>
  <c r="V398" i="1" s="1"/>
  <c r="U399" i="1" a="1"/>
  <c r="U399" i="1" s="1"/>
  <c r="V399" i="1" s="1"/>
  <c r="U400" i="1" a="1"/>
  <c r="U400" i="1" s="1"/>
  <c r="V400" i="1" s="1"/>
  <c r="U401" i="1" a="1"/>
  <c r="U401" i="1" s="1"/>
  <c r="V401" i="1" s="1"/>
  <c r="U402" i="1" a="1"/>
  <c r="U402" i="1" s="1"/>
  <c r="V402" i="1" s="1"/>
  <c r="U403" i="1" a="1"/>
  <c r="U403" i="1" s="1"/>
  <c r="V403" i="1" s="1"/>
  <c r="U404" i="1" a="1"/>
  <c r="U404" i="1" s="1"/>
  <c r="V404" i="1" s="1"/>
  <c r="U405" i="1" a="1"/>
  <c r="U405" i="1" s="1"/>
  <c r="V405" i="1" s="1"/>
  <c r="U406" i="1" a="1"/>
  <c r="U406" i="1" s="1"/>
  <c r="V406" i="1" s="1"/>
  <c r="U407" i="1" a="1"/>
  <c r="U407" i="1" s="1"/>
  <c r="V407" i="1" s="1"/>
  <c r="U408" i="1" a="1"/>
  <c r="U408" i="1" s="1"/>
  <c r="V408" i="1" s="1"/>
  <c r="U409" i="1" a="1"/>
  <c r="U409" i="1" s="1"/>
  <c r="V409" i="1" s="1"/>
  <c r="U410" i="1" a="1"/>
  <c r="U410" i="1" s="1"/>
  <c r="V410" i="1" s="1"/>
  <c r="U411" i="1" a="1"/>
  <c r="U411" i="1" s="1"/>
  <c r="V411" i="1" s="1"/>
  <c r="U412" i="1" a="1"/>
  <c r="U412" i="1" s="1"/>
  <c r="V412" i="1" s="1"/>
  <c r="U413" i="1" a="1"/>
  <c r="U413" i="1" s="1"/>
  <c r="V413" i="1" s="1"/>
  <c r="U414" i="1" a="1"/>
  <c r="U414" i="1" s="1"/>
  <c r="V414" i="1" s="1"/>
  <c r="U415" i="1" a="1"/>
  <c r="U415" i="1" s="1"/>
  <c r="V415" i="1" s="1"/>
  <c r="U416" i="1" a="1"/>
  <c r="U416" i="1" s="1"/>
  <c r="V416" i="1" s="1"/>
  <c r="U417" i="1" a="1"/>
  <c r="U417" i="1" s="1"/>
  <c r="V417" i="1" s="1"/>
  <c r="U418" i="1" a="1"/>
  <c r="U418" i="1" s="1"/>
  <c r="V418" i="1" s="1"/>
  <c r="U419" i="1" a="1"/>
  <c r="U419" i="1" s="1"/>
  <c r="V419" i="1" s="1"/>
  <c r="U420" i="1" a="1"/>
  <c r="U420" i="1" s="1"/>
  <c r="V420" i="1" s="1"/>
  <c r="U421" i="1" a="1"/>
  <c r="U421" i="1" s="1"/>
  <c r="V421" i="1" s="1"/>
  <c r="U422" i="1" a="1"/>
  <c r="U422" i="1" s="1"/>
  <c r="V422" i="1" s="1"/>
  <c r="U423" i="1" a="1"/>
  <c r="U423" i="1" s="1"/>
  <c r="V423" i="1" s="1"/>
  <c r="U424" i="1" a="1"/>
  <c r="U424" i="1" s="1"/>
  <c r="V424" i="1" s="1"/>
  <c r="U425" i="1" a="1"/>
  <c r="U425" i="1" s="1"/>
  <c r="V425" i="1" s="1"/>
  <c r="U426" i="1" a="1"/>
  <c r="U426" i="1" s="1"/>
  <c r="V426" i="1" s="1"/>
  <c r="U427" i="1" a="1"/>
  <c r="U427" i="1" s="1"/>
  <c r="V427" i="1" s="1"/>
  <c r="U428" i="1" a="1"/>
  <c r="U428" i="1" s="1"/>
  <c r="V428" i="1" s="1"/>
  <c r="U429" i="1" a="1"/>
  <c r="U429" i="1" s="1"/>
  <c r="V429" i="1" s="1"/>
  <c r="U430" i="1" a="1"/>
  <c r="U430" i="1" s="1"/>
  <c r="V430" i="1" s="1"/>
  <c r="U431" i="1" a="1"/>
  <c r="U431" i="1" s="1"/>
  <c r="V431" i="1" s="1"/>
  <c r="U432" i="1" a="1"/>
  <c r="U432" i="1" s="1"/>
  <c r="V432" i="1" s="1"/>
  <c r="U433" i="1" a="1"/>
  <c r="U433" i="1" s="1"/>
  <c r="V433" i="1" s="1"/>
  <c r="U434" i="1" a="1"/>
  <c r="U434" i="1" s="1"/>
  <c r="V434" i="1" s="1"/>
  <c r="U435" i="1" a="1"/>
  <c r="U435" i="1" s="1"/>
  <c r="V435" i="1" s="1"/>
  <c r="U436" i="1" a="1"/>
  <c r="U436" i="1" s="1"/>
  <c r="V436" i="1" s="1"/>
  <c r="U437" i="1" a="1"/>
  <c r="U437" i="1" s="1"/>
  <c r="V437" i="1" s="1"/>
  <c r="U438" i="1" a="1"/>
  <c r="U438" i="1" s="1"/>
  <c r="V438" i="1" s="1"/>
  <c r="U439" i="1" a="1"/>
  <c r="U439" i="1" s="1"/>
  <c r="V439" i="1" s="1"/>
  <c r="U440" i="1" a="1"/>
  <c r="U440" i="1" s="1"/>
  <c r="V440" i="1" s="1"/>
  <c r="U441" i="1" a="1"/>
  <c r="U441" i="1" s="1"/>
  <c r="V441" i="1" s="1"/>
  <c r="U442" i="1" a="1"/>
  <c r="U442" i="1" s="1"/>
  <c r="V442" i="1" s="1"/>
  <c r="U443" i="1" a="1"/>
  <c r="U443" i="1" s="1"/>
  <c r="V443" i="1" s="1"/>
  <c r="U444" i="1" a="1"/>
  <c r="U444" i="1" s="1"/>
  <c r="V444" i="1" s="1"/>
  <c r="U445" i="1" a="1"/>
  <c r="U445" i="1" s="1"/>
  <c r="V445" i="1" s="1"/>
  <c r="U446" i="1" a="1"/>
  <c r="U446" i="1" s="1"/>
  <c r="V446" i="1" s="1"/>
  <c r="U447" i="1" a="1"/>
  <c r="U447" i="1" s="1"/>
  <c r="V447" i="1" s="1"/>
  <c r="U448" i="1" a="1"/>
  <c r="U448" i="1" s="1"/>
  <c r="V448" i="1" s="1"/>
  <c r="U449" i="1" a="1"/>
  <c r="U449" i="1" s="1"/>
  <c r="V449" i="1" s="1"/>
  <c r="U450" i="1" a="1"/>
  <c r="U450" i="1" s="1"/>
  <c r="V450" i="1" s="1"/>
  <c r="U451" i="1" a="1"/>
  <c r="U451" i="1" s="1"/>
  <c r="V451" i="1" s="1"/>
  <c r="U452" i="1" a="1"/>
  <c r="U452" i="1" s="1"/>
  <c r="V452" i="1" s="1"/>
  <c r="U453" i="1" a="1"/>
  <c r="U453" i="1" s="1"/>
  <c r="V453" i="1" s="1"/>
  <c r="U454" i="1" a="1"/>
  <c r="U454" i="1" s="1"/>
  <c r="V454" i="1" s="1"/>
  <c r="U455" i="1" a="1"/>
  <c r="U455" i="1" s="1"/>
  <c r="V455" i="1" s="1"/>
  <c r="U456" i="1" a="1"/>
  <c r="U456" i="1" s="1"/>
  <c r="V456" i="1" s="1"/>
  <c r="U457" i="1" a="1"/>
  <c r="U457" i="1" s="1"/>
  <c r="V457" i="1" s="1"/>
  <c r="U458" i="1" a="1"/>
  <c r="U458" i="1" s="1"/>
  <c r="V458" i="1" s="1"/>
  <c r="U459" i="1" a="1"/>
  <c r="U459" i="1" s="1"/>
  <c r="V459" i="1" s="1"/>
  <c r="U460" i="1" a="1"/>
  <c r="U460" i="1" s="1"/>
  <c r="V460" i="1" s="1"/>
  <c r="U461" i="1" a="1"/>
  <c r="U461" i="1" s="1"/>
  <c r="V461" i="1" s="1"/>
  <c r="U462" i="1" a="1"/>
  <c r="U462" i="1" s="1"/>
  <c r="V462" i="1" s="1"/>
  <c r="U463" i="1" a="1"/>
  <c r="U463" i="1" s="1"/>
  <c r="V463" i="1" s="1"/>
  <c r="U464" i="1" a="1"/>
  <c r="U464" i="1" s="1"/>
  <c r="V464" i="1" s="1"/>
  <c r="U465" i="1" a="1"/>
  <c r="U465" i="1" s="1"/>
  <c r="V465" i="1" s="1"/>
  <c r="U466" i="1" a="1"/>
  <c r="U466" i="1" s="1"/>
  <c r="V466" i="1" s="1"/>
  <c r="U467" i="1" a="1"/>
  <c r="U467" i="1" s="1"/>
  <c r="V467" i="1" s="1"/>
  <c r="U468" i="1" a="1"/>
  <c r="U468" i="1" s="1"/>
  <c r="V468" i="1" s="1"/>
  <c r="U469" i="1" a="1"/>
  <c r="U469" i="1" s="1"/>
  <c r="V469" i="1" s="1"/>
  <c r="U470" i="1" a="1"/>
  <c r="U470" i="1" s="1"/>
  <c r="V470" i="1" s="1"/>
  <c r="U471" i="1" a="1"/>
  <c r="U471" i="1" s="1"/>
  <c r="V471" i="1" s="1"/>
  <c r="U472" i="1" a="1"/>
  <c r="U472" i="1" s="1"/>
  <c r="V472" i="1" s="1"/>
  <c r="U473" i="1" a="1"/>
  <c r="U473" i="1" s="1"/>
  <c r="V473" i="1" s="1"/>
  <c r="U474" i="1" a="1"/>
  <c r="U474" i="1" s="1"/>
  <c r="V474" i="1" s="1"/>
  <c r="U475" i="1" a="1"/>
  <c r="U475" i="1" s="1"/>
  <c r="V475" i="1" s="1"/>
  <c r="U476" i="1" a="1"/>
  <c r="U476" i="1" s="1"/>
  <c r="V476" i="1" s="1"/>
  <c r="U477" i="1" a="1"/>
  <c r="U477" i="1" s="1"/>
  <c r="V477" i="1" s="1"/>
  <c r="U478" i="1" a="1"/>
  <c r="U478" i="1" s="1"/>
  <c r="V478" i="1" s="1"/>
  <c r="U479" i="1" a="1"/>
  <c r="U479" i="1" s="1"/>
  <c r="V479" i="1" s="1"/>
  <c r="U480" i="1" a="1"/>
  <c r="U480" i="1" s="1"/>
  <c r="V480" i="1" s="1"/>
  <c r="U481" i="1" a="1"/>
  <c r="U481" i="1" s="1"/>
  <c r="V481" i="1" s="1"/>
  <c r="U482" i="1" a="1"/>
  <c r="U482" i="1" s="1"/>
  <c r="V482" i="1" s="1"/>
  <c r="U483" i="1" a="1"/>
  <c r="U483" i="1" s="1"/>
  <c r="V483" i="1" s="1"/>
  <c r="U484" i="1" a="1"/>
  <c r="U484" i="1" s="1"/>
  <c r="V484" i="1" s="1"/>
  <c r="U485" i="1" a="1"/>
  <c r="U485" i="1" s="1"/>
  <c r="V485" i="1" s="1"/>
  <c r="U486" i="1" a="1"/>
  <c r="U486" i="1" s="1"/>
  <c r="V486" i="1" s="1"/>
  <c r="U487" i="1" a="1"/>
  <c r="U487" i="1" s="1"/>
  <c r="V487" i="1" s="1"/>
  <c r="U488" i="1" a="1"/>
  <c r="U488" i="1" s="1"/>
  <c r="V488" i="1" s="1"/>
  <c r="U489" i="1" a="1"/>
  <c r="U489" i="1" s="1"/>
  <c r="V489" i="1" s="1"/>
  <c r="U490" i="1" a="1"/>
  <c r="U490" i="1" s="1"/>
  <c r="V490" i="1" s="1"/>
  <c r="U491" i="1" a="1"/>
  <c r="U491" i="1" s="1"/>
  <c r="V491" i="1" s="1"/>
  <c r="U492" i="1" a="1"/>
  <c r="U492" i="1" s="1"/>
  <c r="V492" i="1" s="1"/>
  <c r="U493" i="1" a="1"/>
  <c r="U493" i="1" s="1"/>
  <c r="V493" i="1" s="1"/>
  <c r="U494" i="1" a="1"/>
  <c r="U494" i="1" s="1"/>
  <c r="V494" i="1" s="1"/>
  <c r="U495" i="1" a="1"/>
  <c r="U495" i="1" s="1"/>
  <c r="V495" i="1" s="1"/>
  <c r="U496" i="1" a="1"/>
  <c r="U496" i="1" s="1"/>
  <c r="V496" i="1" s="1"/>
  <c r="U497" i="1" a="1"/>
  <c r="U497" i="1" s="1"/>
  <c r="V497" i="1" s="1"/>
  <c r="U498" i="1" a="1"/>
  <c r="U498" i="1" s="1"/>
  <c r="V498" i="1" s="1"/>
  <c r="U499" i="1" a="1"/>
  <c r="U499" i="1" s="1"/>
  <c r="V499" i="1" s="1"/>
  <c r="U500" i="1" a="1"/>
  <c r="U500" i="1" s="1"/>
  <c r="V500" i="1" s="1"/>
  <c r="U501" i="1" a="1"/>
  <c r="U501" i="1" s="1"/>
  <c r="V501" i="1" s="1"/>
  <c r="U502" i="1" a="1"/>
  <c r="U502" i="1" s="1"/>
  <c r="V502" i="1" s="1"/>
  <c r="U503" i="1" a="1"/>
  <c r="U503" i="1" s="1"/>
  <c r="V503" i="1" s="1"/>
  <c r="U504" i="1" a="1"/>
  <c r="U504" i="1" s="1"/>
  <c r="V504" i="1" s="1"/>
  <c r="U505" i="1" a="1"/>
  <c r="U505" i="1" s="1"/>
  <c r="V505" i="1" s="1"/>
  <c r="U506" i="1" a="1"/>
  <c r="U506" i="1" s="1"/>
  <c r="V506" i="1" s="1"/>
  <c r="U507" i="1" a="1"/>
  <c r="U507" i="1" s="1"/>
  <c r="V507" i="1" s="1"/>
  <c r="U508" i="1" a="1"/>
  <c r="U508" i="1" s="1"/>
  <c r="V508" i="1" s="1"/>
  <c r="U509" i="1" a="1"/>
  <c r="U509" i="1" s="1"/>
  <c r="V509" i="1" s="1"/>
  <c r="U510" i="1" a="1"/>
  <c r="U510" i="1" s="1"/>
  <c r="V510" i="1" s="1"/>
  <c r="U511" i="1" a="1"/>
  <c r="U511" i="1" s="1"/>
  <c r="V511" i="1" s="1"/>
  <c r="U512" i="1" a="1"/>
  <c r="U512" i="1" s="1"/>
  <c r="V512" i="1" s="1"/>
  <c r="U513" i="1" a="1"/>
  <c r="U513" i="1" s="1"/>
  <c r="V513" i="1" s="1"/>
  <c r="U514" i="1" a="1"/>
  <c r="U514" i="1" s="1"/>
  <c r="V514" i="1" s="1"/>
  <c r="U515" i="1" a="1"/>
  <c r="U515" i="1" s="1"/>
  <c r="V515" i="1" s="1"/>
  <c r="U516" i="1" a="1"/>
  <c r="U516" i="1" s="1"/>
  <c r="V516" i="1" s="1"/>
  <c r="U517" i="1" a="1"/>
  <c r="U517" i="1" s="1"/>
  <c r="V517" i="1" s="1"/>
  <c r="U518" i="1" a="1"/>
  <c r="U518" i="1" s="1"/>
  <c r="V518" i="1" s="1"/>
  <c r="U519" i="1" a="1"/>
  <c r="U519" i="1" s="1"/>
  <c r="V519" i="1" s="1"/>
  <c r="U520" i="1" a="1"/>
  <c r="U520" i="1" s="1"/>
  <c r="V520" i="1" s="1"/>
  <c r="U521" i="1" a="1"/>
  <c r="U521" i="1" s="1"/>
  <c r="V521" i="1" s="1"/>
  <c r="U522" i="1" a="1"/>
  <c r="U522" i="1" s="1"/>
  <c r="V522" i="1" s="1"/>
  <c r="U523" i="1" a="1"/>
  <c r="U523" i="1" s="1"/>
  <c r="V523" i="1" s="1"/>
  <c r="U524" i="1" a="1"/>
  <c r="U524" i="1" s="1"/>
  <c r="V524" i="1" s="1"/>
  <c r="U525" i="1" a="1"/>
  <c r="U525" i="1" s="1"/>
  <c r="V525" i="1" s="1"/>
  <c r="U526" i="1" a="1"/>
  <c r="U526" i="1" s="1"/>
  <c r="V526" i="1" s="1"/>
  <c r="U527" i="1" a="1"/>
  <c r="U527" i="1" s="1"/>
  <c r="V527" i="1" s="1"/>
  <c r="U528" i="1" a="1"/>
  <c r="U528" i="1" s="1"/>
  <c r="V528" i="1" s="1"/>
  <c r="U529" i="1" a="1"/>
  <c r="U529" i="1" s="1"/>
  <c r="V529" i="1" s="1"/>
  <c r="U530" i="1" a="1"/>
  <c r="U530" i="1" s="1"/>
  <c r="V530" i="1" s="1"/>
  <c r="U531" i="1" a="1"/>
  <c r="U531" i="1" s="1"/>
  <c r="V531" i="1" s="1"/>
  <c r="U532" i="1" a="1"/>
  <c r="U532" i="1" s="1"/>
  <c r="V532" i="1" s="1"/>
  <c r="U533" i="1" a="1"/>
  <c r="U533" i="1" s="1"/>
  <c r="V533" i="1" s="1"/>
  <c r="U534" i="1" a="1"/>
  <c r="U534" i="1" s="1"/>
  <c r="V534" i="1" s="1"/>
  <c r="U535" i="1" a="1"/>
  <c r="U535" i="1" s="1"/>
  <c r="V535" i="1" s="1"/>
  <c r="U536" i="1" a="1"/>
  <c r="U536" i="1" s="1"/>
  <c r="V536" i="1" s="1"/>
  <c r="U537" i="1" a="1"/>
  <c r="U537" i="1" s="1"/>
  <c r="V537" i="1" s="1"/>
  <c r="U538" i="1" a="1"/>
  <c r="U538" i="1" s="1"/>
  <c r="V538" i="1" s="1"/>
  <c r="U539" i="1" a="1"/>
  <c r="U539" i="1" s="1"/>
  <c r="V539" i="1" s="1"/>
  <c r="U540" i="1" a="1"/>
  <c r="U540" i="1" s="1"/>
  <c r="V540" i="1" s="1"/>
  <c r="U541" i="1" a="1"/>
  <c r="U541" i="1" s="1"/>
  <c r="V541" i="1" s="1"/>
  <c r="U542" i="1" a="1"/>
  <c r="U542" i="1" s="1"/>
  <c r="V542" i="1" s="1"/>
  <c r="U543" i="1" a="1"/>
  <c r="U543" i="1" s="1"/>
  <c r="V543" i="1" s="1"/>
  <c r="U544" i="1" a="1"/>
  <c r="U544" i="1" s="1"/>
  <c r="V544" i="1" s="1"/>
  <c r="U545" i="1" a="1"/>
  <c r="U545" i="1" s="1"/>
  <c r="V545" i="1" s="1"/>
  <c r="U546" i="1" a="1"/>
  <c r="U546" i="1" s="1"/>
  <c r="V546" i="1" s="1"/>
  <c r="U547" i="1" a="1"/>
  <c r="U547" i="1" s="1"/>
  <c r="V547" i="1" s="1"/>
  <c r="U548" i="1" a="1"/>
  <c r="U548" i="1" s="1"/>
  <c r="V548" i="1" s="1"/>
  <c r="U549" i="1" a="1"/>
  <c r="U549" i="1" s="1"/>
  <c r="V549" i="1" s="1"/>
  <c r="U550" i="1" a="1"/>
  <c r="U550" i="1" s="1"/>
  <c r="V550" i="1" s="1"/>
  <c r="U551" i="1" a="1"/>
  <c r="U551" i="1" s="1"/>
  <c r="V551" i="1" s="1"/>
  <c r="U552" i="1" a="1"/>
  <c r="U552" i="1" s="1"/>
  <c r="V552" i="1" s="1"/>
  <c r="U553" i="1" a="1"/>
  <c r="U553" i="1" s="1"/>
  <c r="V553" i="1" s="1"/>
  <c r="U554" i="1" a="1"/>
  <c r="U554" i="1" s="1"/>
  <c r="V554" i="1" s="1"/>
  <c r="U555" i="1" a="1"/>
  <c r="U555" i="1" s="1"/>
  <c r="V555" i="1" s="1"/>
  <c r="U556" i="1" a="1"/>
  <c r="U556" i="1" s="1"/>
  <c r="V556" i="1" s="1"/>
  <c r="U557" i="1" a="1"/>
  <c r="U557" i="1" s="1"/>
  <c r="V557" i="1" s="1"/>
  <c r="U558" i="1" a="1"/>
  <c r="U558" i="1" s="1"/>
  <c r="V558" i="1" s="1"/>
  <c r="U559" i="1" a="1"/>
  <c r="U559" i="1" s="1"/>
  <c r="V559" i="1" s="1"/>
  <c r="U560" i="1" a="1"/>
  <c r="U560" i="1" s="1"/>
  <c r="V560" i="1" s="1"/>
  <c r="U561" i="1" a="1"/>
  <c r="U561" i="1" s="1"/>
  <c r="V561" i="1" s="1"/>
  <c r="U562" i="1" a="1"/>
  <c r="U562" i="1" s="1"/>
  <c r="V562" i="1" s="1"/>
  <c r="U563" i="1" a="1"/>
  <c r="U563" i="1" s="1"/>
  <c r="V563" i="1" s="1"/>
  <c r="U564" i="1" a="1"/>
  <c r="U564" i="1" s="1"/>
  <c r="V564" i="1" s="1"/>
  <c r="U565" i="1" a="1"/>
  <c r="U565" i="1" s="1"/>
  <c r="V565" i="1" s="1"/>
  <c r="U566" i="1" a="1"/>
  <c r="U566" i="1" s="1"/>
  <c r="V566" i="1" s="1"/>
  <c r="U567" i="1" a="1"/>
  <c r="U567" i="1" s="1"/>
  <c r="V567" i="1" s="1"/>
  <c r="U568" i="1" a="1"/>
  <c r="U568" i="1" s="1"/>
  <c r="V568" i="1" s="1"/>
  <c r="U569" i="1" a="1"/>
  <c r="U569" i="1" s="1"/>
  <c r="V569" i="1" s="1"/>
  <c r="U570" i="1" a="1"/>
  <c r="U570" i="1" s="1"/>
  <c r="V570" i="1" s="1"/>
  <c r="U571" i="1" a="1"/>
  <c r="U571" i="1" s="1"/>
  <c r="V571" i="1" s="1"/>
  <c r="U572" i="1" a="1"/>
  <c r="U572" i="1" s="1"/>
  <c r="V572" i="1" s="1"/>
  <c r="U573" i="1" a="1"/>
  <c r="U573" i="1" s="1"/>
  <c r="V573" i="1" s="1"/>
  <c r="U574" i="1" a="1"/>
  <c r="U574" i="1" s="1"/>
  <c r="V574" i="1" s="1"/>
  <c r="U575" i="1" a="1"/>
  <c r="U575" i="1" s="1"/>
  <c r="V575" i="1" s="1"/>
  <c r="U576" i="1" a="1"/>
  <c r="U576" i="1" s="1"/>
  <c r="V576" i="1" s="1"/>
  <c r="U577" i="1" a="1"/>
  <c r="U577" i="1" s="1"/>
  <c r="V577" i="1" s="1"/>
  <c r="U578" i="1" a="1"/>
  <c r="U578" i="1" s="1"/>
  <c r="V578" i="1" s="1"/>
  <c r="U579" i="1" a="1"/>
  <c r="U579" i="1" s="1"/>
  <c r="V579" i="1" s="1"/>
  <c r="U580" i="1" a="1"/>
  <c r="U580" i="1" s="1"/>
  <c r="V580" i="1" s="1"/>
  <c r="U581" i="1" a="1"/>
  <c r="U581" i="1" s="1"/>
  <c r="V581" i="1" s="1"/>
  <c r="U582" i="1" a="1"/>
  <c r="U582" i="1" s="1"/>
  <c r="V582" i="1" s="1"/>
  <c r="U583" i="1" a="1"/>
  <c r="U583" i="1" s="1"/>
  <c r="V583" i="1" s="1"/>
  <c r="U584" i="1" a="1"/>
  <c r="U584" i="1" s="1"/>
  <c r="V584" i="1" s="1"/>
  <c r="U585" i="1" a="1"/>
  <c r="U585" i="1" s="1"/>
  <c r="V585" i="1" s="1"/>
  <c r="U586" i="1" a="1"/>
  <c r="U586" i="1" s="1"/>
  <c r="V586" i="1" s="1"/>
  <c r="U587" i="1" a="1"/>
  <c r="U587" i="1" s="1"/>
  <c r="V587" i="1" s="1"/>
  <c r="U588" i="1" a="1"/>
  <c r="U588" i="1" s="1"/>
  <c r="V588" i="1" s="1"/>
  <c r="U589" i="1" a="1"/>
  <c r="U589" i="1" s="1"/>
  <c r="V589" i="1" s="1"/>
  <c r="U590" i="1" a="1"/>
  <c r="U590" i="1" s="1"/>
  <c r="V590" i="1" s="1"/>
  <c r="U591" i="1" a="1"/>
  <c r="U591" i="1" s="1"/>
  <c r="V591" i="1" s="1"/>
  <c r="U592" i="1" a="1"/>
  <c r="U592" i="1" s="1"/>
  <c r="V592" i="1" s="1"/>
  <c r="U593" i="1" a="1"/>
  <c r="U593" i="1" s="1"/>
  <c r="V593" i="1" s="1"/>
  <c r="U594" i="1" a="1"/>
  <c r="U594" i="1" s="1"/>
  <c r="V594" i="1" s="1"/>
  <c r="U595" i="1" a="1"/>
  <c r="U595" i="1" s="1"/>
  <c r="V595" i="1" s="1"/>
  <c r="U596" i="1" a="1"/>
  <c r="U596" i="1" s="1"/>
  <c r="V596" i="1" s="1"/>
  <c r="U597" i="1" a="1"/>
  <c r="U597" i="1" s="1"/>
  <c r="V597" i="1" s="1"/>
  <c r="U598" i="1" a="1"/>
  <c r="U598" i="1" s="1"/>
  <c r="V598" i="1" s="1"/>
  <c r="U599" i="1" a="1"/>
  <c r="U599" i="1" s="1"/>
  <c r="V599" i="1" s="1"/>
  <c r="U600" i="1" a="1"/>
  <c r="U600" i="1" s="1"/>
  <c r="V600" i="1" s="1"/>
  <c r="U601" i="1" a="1"/>
  <c r="U601" i="1" s="1"/>
  <c r="V601" i="1" s="1"/>
  <c r="U602" i="1" a="1"/>
  <c r="U602" i="1" s="1"/>
  <c r="V602" i="1" s="1"/>
  <c r="U603" i="1" a="1"/>
  <c r="U603" i="1" s="1"/>
  <c r="V603" i="1" s="1"/>
  <c r="U604" i="1" a="1"/>
  <c r="U604" i="1" s="1"/>
  <c r="V604" i="1" s="1"/>
  <c r="U605" i="1" a="1"/>
  <c r="U605" i="1" s="1"/>
  <c r="V605" i="1" s="1"/>
  <c r="U606" i="1" a="1"/>
  <c r="U606" i="1" s="1"/>
  <c r="V606" i="1" s="1"/>
  <c r="U607" i="1" a="1"/>
  <c r="U607" i="1" s="1"/>
  <c r="V607" i="1" s="1"/>
  <c r="U608" i="1" a="1"/>
  <c r="U608" i="1" s="1"/>
  <c r="V608" i="1" s="1"/>
  <c r="U609" i="1" a="1"/>
  <c r="U609" i="1" s="1"/>
  <c r="V609" i="1" s="1"/>
  <c r="U610" i="1" a="1"/>
  <c r="U610" i="1" s="1"/>
  <c r="V610" i="1" s="1"/>
  <c r="U611" i="1" a="1"/>
  <c r="U611" i="1" s="1"/>
  <c r="V611" i="1" s="1"/>
  <c r="U612" i="1" a="1"/>
  <c r="U612" i="1" s="1"/>
  <c r="V612" i="1" s="1"/>
  <c r="U613" i="1" a="1"/>
  <c r="U613" i="1" s="1"/>
  <c r="V613" i="1" s="1"/>
  <c r="U614" i="1" a="1"/>
  <c r="U614" i="1" s="1"/>
  <c r="V614" i="1" s="1"/>
  <c r="U615" i="1" a="1"/>
  <c r="U615" i="1" s="1"/>
  <c r="V615" i="1" s="1"/>
  <c r="U616" i="1" a="1"/>
  <c r="U616" i="1" s="1"/>
  <c r="V616" i="1" s="1"/>
  <c r="U617" i="1" a="1"/>
  <c r="U617" i="1" s="1"/>
  <c r="V617" i="1" s="1"/>
  <c r="U618" i="1" a="1"/>
  <c r="U618" i="1" s="1"/>
  <c r="V618" i="1" s="1"/>
  <c r="U619" i="1" a="1"/>
  <c r="U619" i="1" s="1"/>
  <c r="V619" i="1" s="1"/>
  <c r="U620" i="1" a="1"/>
  <c r="U620" i="1" s="1"/>
  <c r="V620" i="1" s="1"/>
  <c r="U621" i="1" a="1"/>
  <c r="U621" i="1" s="1"/>
  <c r="V621" i="1" s="1"/>
  <c r="U622" i="1" a="1"/>
  <c r="U622" i="1" s="1"/>
  <c r="V622" i="1" s="1"/>
  <c r="U623" i="1" a="1"/>
  <c r="U623" i="1" s="1"/>
  <c r="V623" i="1" s="1"/>
  <c r="U624" i="1" a="1"/>
  <c r="U624" i="1" s="1"/>
  <c r="V624" i="1" s="1"/>
  <c r="U625" i="1" a="1"/>
  <c r="U625" i="1" s="1"/>
  <c r="V625" i="1" s="1"/>
  <c r="U626" i="1" a="1"/>
  <c r="U626" i="1" s="1"/>
  <c r="V626" i="1" s="1"/>
  <c r="U627" i="1" a="1"/>
  <c r="U627" i="1" s="1"/>
  <c r="V627" i="1" s="1"/>
  <c r="U628" i="1" a="1"/>
  <c r="U628" i="1" s="1"/>
  <c r="V628" i="1" s="1"/>
  <c r="U629" i="1" a="1"/>
  <c r="U629" i="1" s="1"/>
  <c r="V629" i="1" s="1"/>
  <c r="U630" i="1" a="1"/>
  <c r="U630" i="1" s="1"/>
  <c r="V630" i="1" s="1"/>
  <c r="U631" i="1" a="1"/>
  <c r="U631" i="1" s="1"/>
  <c r="V631" i="1" s="1"/>
  <c r="U632" i="1" a="1"/>
  <c r="U632" i="1" s="1"/>
  <c r="V632" i="1" s="1"/>
  <c r="U633" i="1" a="1"/>
  <c r="U633" i="1" s="1"/>
  <c r="V633" i="1" s="1"/>
  <c r="U634" i="1" a="1"/>
  <c r="U634" i="1" s="1"/>
  <c r="V634" i="1" s="1"/>
  <c r="U635" i="1" a="1"/>
  <c r="U635" i="1" s="1"/>
  <c r="V635" i="1" s="1"/>
  <c r="U636" i="1" a="1"/>
  <c r="U636" i="1" s="1"/>
  <c r="V636" i="1" s="1"/>
  <c r="U637" i="1" a="1"/>
  <c r="U637" i="1" s="1"/>
  <c r="V637" i="1" s="1"/>
  <c r="U638" i="1" a="1"/>
  <c r="U638" i="1" s="1"/>
  <c r="V638" i="1" s="1"/>
  <c r="U639" i="1" a="1"/>
  <c r="U639" i="1" s="1"/>
  <c r="V639" i="1" s="1"/>
  <c r="U640" i="1" a="1"/>
  <c r="U640" i="1" s="1"/>
  <c r="V640" i="1" s="1"/>
  <c r="U641" i="1" a="1"/>
  <c r="U641" i="1" s="1"/>
  <c r="V641" i="1" s="1"/>
  <c r="U642" i="1" a="1"/>
  <c r="U642" i="1" s="1"/>
  <c r="V642" i="1" s="1"/>
  <c r="U643" i="1" a="1"/>
  <c r="U643" i="1" s="1"/>
  <c r="V643" i="1" s="1"/>
  <c r="U644" i="1" a="1"/>
  <c r="U644" i="1" s="1"/>
  <c r="V644" i="1" s="1"/>
  <c r="U645" i="1" a="1"/>
  <c r="U645" i="1" s="1"/>
  <c r="V645" i="1" s="1"/>
  <c r="U646" i="1" a="1"/>
  <c r="U646" i="1" s="1"/>
  <c r="V646" i="1" s="1"/>
  <c r="U647" i="1" a="1"/>
  <c r="U647" i="1" s="1"/>
  <c r="V647" i="1" s="1"/>
  <c r="U648" i="1" a="1"/>
  <c r="U648" i="1" s="1"/>
  <c r="V648" i="1" s="1"/>
  <c r="U649" i="1" a="1"/>
  <c r="U649" i="1" s="1"/>
  <c r="V649" i="1" s="1"/>
  <c r="U650" i="1" a="1"/>
  <c r="U650" i="1" s="1"/>
  <c r="V650" i="1" s="1"/>
  <c r="U651" i="1" a="1"/>
  <c r="U651" i="1" s="1"/>
  <c r="V651" i="1" s="1"/>
  <c r="U652" i="1" a="1"/>
  <c r="U652" i="1" s="1"/>
  <c r="V652" i="1" s="1"/>
  <c r="U653" i="1" a="1"/>
  <c r="U653" i="1" s="1"/>
  <c r="V653" i="1" s="1"/>
  <c r="U654" i="1" a="1"/>
  <c r="U654" i="1" s="1"/>
  <c r="V654" i="1" s="1"/>
  <c r="U655" i="1" a="1"/>
  <c r="U655" i="1" s="1"/>
  <c r="V655" i="1" s="1"/>
  <c r="U656" i="1" a="1"/>
  <c r="U656" i="1" s="1"/>
  <c r="V656" i="1" s="1"/>
  <c r="U657" i="1" a="1"/>
  <c r="U657" i="1" s="1"/>
  <c r="V657" i="1" s="1"/>
  <c r="U658" i="1" a="1"/>
  <c r="U658" i="1" s="1"/>
  <c r="V658" i="1" s="1"/>
  <c r="U659" i="1" a="1"/>
  <c r="U659" i="1" s="1"/>
  <c r="V659" i="1" s="1"/>
  <c r="U660" i="1" a="1"/>
  <c r="U660" i="1" s="1"/>
  <c r="V660" i="1" s="1"/>
  <c r="U661" i="1" a="1"/>
  <c r="U661" i="1" s="1"/>
  <c r="V661" i="1" s="1"/>
  <c r="U662" i="1" a="1"/>
  <c r="U662" i="1" s="1"/>
  <c r="V662" i="1" s="1"/>
  <c r="U663" i="1" a="1"/>
  <c r="U663" i="1" s="1"/>
  <c r="V663" i="1" s="1"/>
  <c r="U664" i="1" a="1"/>
  <c r="U664" i="1" s="1"/>
  <c r="V664" i="1" s="1"/>
  <c r="U665" i="1" a="1"/>
  <c r="U665" i="1" s="1"/>
  <c r="V665" i="1" s="1"/>
  <c r="U666" i="1" a="1"/>
  <c r="U666" i="1" s="1"/>
  <c r="V666" i="1" s="1"/>
  <c r="U667" i="1" a="1"/>
  <c r="U667" i="1" s="1"/>
  <c r="V667" i="1" s="1"/>
  <c r="U668" i="1" a="1"/>
  <c r="U668" i="1" s="1"/>
  <c r="V668" i="1" s="1"/>
  <c r="U669" i="1" a="1"/>
  <c r="U669" i="1" s="1"/>
  <c r="V669" i="1" s="1"/>
  <c r="U670" i="1" a="1"/>
  <c r="U670" i="1" s="1"/>
  <c r="V670" i="1" s="1"/>
  <c r="U671" i="1" a="1"/>
  <c r="U671" i="1" s="1"/>
  <c r="V671" i="1" s="1"/>
  <c r="U672" i="1" a="1"/>
  <c r="U672" i="1" s="1"/>
  <c r="V672" i="1" s="1"/>
  <c r="U673" i="1" a="1"/>
  <c r="U673" i="1" s="1"/>
  <c r="V673" i="1" s="1"/>
  <c r="U674" i="1" a="1"/>
  <c r="U674" i="1" s="1"/>
  <c r="V674" i="1" s="1"/>
  <c r="U675" i="1" a="1"/>
  <c r="U675" i="1" s="1"/>
  <c r="V675" i="1" s="1"/>
  <c r="U676" i="1" a="1"/>
  <c r="U676" i="1" s="1"/>
  <c r="V676" i="1" s="1"/>
  <c r="U677" i="1" a="1"/>
  <c r="U677" i="1" s="1"/>
  <c r="V677" i="1" s="1"/>
  <c r="U678" i="1" a="1"/>
  <c r="U678" i="1" s="1"/>
  <c r="V678" i="1" s="1"/>
  <c r="U679" i="1" a="1"/>
  <c r="U679" i="1" s="1"/>
  <c r="V679" i="1" s="1"/>
  <c r="U680" i="1" a="1"/>
  <c r="U680" i="1" s="1"/>
  <c r="V680" i="1" s="1"/>
  <c r="U681" i="1" a="1"/>
  <c r="U681" i="1" s="1"/>
  <c r="V681" i="1" s="1"/>
  <c r="U682" i="1" a="1"/>
  <c r="U682" i="1" s="1"/>
  <c r="V682" i="1" s="1"/>
  <c r="U683" i="1" a="1"/>
  <c r="U683" i="1" s="1"/>
  <c r="V683" i="1" s="1"/>
  <c r="U684" i="1" a="1"/>
  <c r="U684" i="1" s="1"/>
  <c r="V684" i="1" s="1"/>
  <c r="U685" i="1" a="1"/>
  <c r="U685" i="1" s="1"/>
  <c r="V685" i="1" s="1"/>
  <c r="U686" i="1" a="1"/>
  <c r="U686" i="1" s="1"/>
  <c r="V686" i="1" s="1"/>
  <c r="U687" i="1" a="1"/>
  <c r="U687" i="1" s="1"/>
  <c r="V687" i="1" s="1"/>
  <c r="U688" i="1" a="1"/>
  <c r="U688" i="1" s="1"/>
  <c r="V688" i="1" s="1"/>
  <c r="U689" i="1" a="1"/>
  <c r="U689" i="1" s="1"/>
  <c r="V689" i="1" s="1"/>
  <c r="U690" i="1" a="1"/>
  <c r="U690" i="1" s="1"/>
  <c r="V690" i="1" s="1"/>
  <c r="U691" i="1" a="1"/>
  <c r="U691" i="1" s="1"/>
  <c r="V691" i="1" s="1"/>
  <c r="U692" i="1" a="1"/>
  <c r="U692" i="1" s="1"/>
  <c r="V692" i="1" s="1"/>
  <c r="U693" i="1" a="1"/>
  <c r="U693" i="1" s="1"/>
  <c r="V693" i="1" s="1"/>
  <c r="U694" i="1" a="1"/>
  <c r="U694" i="1" s="1"/>
  <c r="V694" i="1" s="1"/>
  <c r="U695" i="1" a="1"/>
  <c r="U695" i="1" s="1"/>
  <c r="V695" i="1" s="1"/>
  <c r="U696" i="1" a="1"/>
  <c r="U696" i="1" s="1"/>
  <c r="V696" i="1" s="1"/>
  <c r="U697" i="1" a="1"/>
  <c r="U697" i="1" s="1"/>
  <c r="V697" i="1" s="1"/>
  <c r="U698" i="1" a="1"/>
  <c r="U698" i="1" s="1"/>
  <c r="V698" i="1" s="1"/>
  <c r="U699" i="1" a="1"/>
  <c r="U699" i="1" s="1"/>
  <c r="V699" i="1" s="1"/>
  <c r="U700" i="1" a="1"/>
  <c r="U700" i="1" s="1"/>
  <c r="V700" i="1" s="1"/>
  <c r="U701" i="1" a="1"/>
  <c r="U701" i="1" s="1"/>
  <c r="V701" i="1" s="1"/>
  <c r="U702" i="1" a="1"/>
  <c r="U702" i="1" s="1"/>
  <c r="V702" i="1" s="1"/>
  <c r="U703" i="1" a="1"/>
  <c r="U703" i="1" s="1"/>
  <c r="V703" i="1" s="1"/>
  <c r="U704" i="1" a="1"/>
  <c r="U704" i="1" s="1"/>
  <c r="V704" i="1" s="1"/>
  <c r="U705" i="1" a="1"/>
  <c r="U705" i="1" s="1"/>
  <c r="V705" i="1" s="1"/>
  <c r="U706" i="1" a="1"/>
  <c r="U706" i="1" s="1"/>
  <c r="V706" i="1" s="1"/>
  <c r="U707" i="1" a="1"/>
  <c r="U707" i="1" s="1"/>
  <c r="V707" i="1" s="1"/>
  <c r="U708" i="1" a="1"/>
  <c r="U708" i="1" s="1"/>
  <c r="V708" i="1" s="1"/>
  <c r="U709" i="1" a="1"/>
  <c r="U709" i="1" s="1"/>
  <c r="V709" i="1" s="1"/>
  <c r="U710" i="1" a="1"/>
  <c r="U710" i="1" s="1"/>
  <c r="V710" i="1" s="1"/>
  <c r="U711" i="1" a="1"/>
  <c r="U711" i="1" s="1"/>
  <c r="V711" i="1" s="1"/>
  <c r="U712" i="1" a="1"/>
  <c r="U712" i="1" s="1"/>
  <c r="V712" i="1" s="1"/>
  <c r="U713" i="1" a="1"/>
  <c r="U713" i="1" s="1"/>
  <c r="V713" i="1" s="1"/>
  <c r="U714" i="1" a="1"/>
  <c r="U714" i="1" s="1"/>
  <c r="V714" i="1" s="1"/>
  <c r="U715" i="1" a="1"/>
  <c r="U715" i="1" s="1"/>
  <c r="V715" i="1" s="1"/>
  <c r="U716" i="1" a="1"/>
  <c r="U716" i="1" s="1"/>
  <c r="V716" i="1" s="1"/>
  <c r="U717" i="1" a="1"/>
  <c r="U717" i="1" s="1"/>
  <c r="V717" i="1" s="1"/>
  <c r="U718" i="1" a="1"/>
  <c r="U718" i="1" s="1"/>
  <c r="V718" i="1" s="1"/>
  <c r="U719" i="1" a="1"/>
  <c r="U719" i="1" s="1"/>
  <c r="V719" i="1" s="1"/>
  <c r="U720" i="1" a="1"/>
  <c r="U720" i="1" s="1"/>
  <c r="V720" i="1" s="1"/>
  <c r="U721" i="1" a="1"/>
  <c r="U721" i="1" s="1"/>
  <c r="V721" i="1" s="1"/>
  <c r="U722" i="1" a="1"/>
  <c r="U722" i="1" s="1"/>
  <c r="V722" i="1" s="1"/>
  <c r="U723" i="1" a="1"/>
  <c r="U723" i="1" s="1"/>
  <c r="V723" i="1" s="1"/>
  <c r="U724" i="1" a="1"/>
  <c r="U724" i="1" s="1"/>
  <c r="V724" i="1" s="1"/>
  <c r="U725" i="1" a="1"/>
  <c r="U725" i="1" s="1"/>
  <c r="V725" i="1" s="1"/>
  <c r="U726" i="1" a="1"/>
  <c r="U726" i="1" s="1"/>
  <c r="V726" i="1" s="1"/>
  <c r="U727" i="1" a="1"/>
  <c r="U727" i="1" s="1"/>
  <c r="V727" i="1" s="1"/>
  <c r="U728" i="1" a="1"/>
  <c r="U728" i="1" s="1"/>
  <c r="V728" i="1" s="1"/>
  <c r="U729" i="1" a="1"/>
  <c r="U729" i="1" s="1"/>
  <c r="V729" i="1" s="1"/>
  <c r="U730" i="1" a="1"/>
  <c r="U730" i="1" s="1"/>
  <c r="V730" i="1" s="1"/>
  <c r="U731" i="1" a="1"/>
  <c r="U731" i="1" s="1"/>
  <c r="V731" i="1" s="1"/>
  <c r="U732" i="1" a="1"/>
  <c r="U732" i="1" s="1"/>
  <c r="V732" i="1" s="1"/>
  <c r="U733" i="1" a="1"/>
  <c r="U733" i="1" s="1"/>
  <c r="V733" i="1" s="1"/>
  <c r="U734" i="1" a="1"/>
  <c r="U734" i="1" s="1"/>
  <c r="V734" i="1" s="1"/>
  <c r="U735" i="1" a="1"/>
  <c r="U735" i="1" s="1"/>
  <c r="V735" i="1" s="1"/>
  <c r="U736" i="1" a="1"/>
  <c r="U736" i="1" s="1"/>
  <c r="V736" i="1" s="1"/>
  <c r="U737" i="1" a="1"/>
  <c r="U737" i="1" s="1"/>
  <c r="V737" i="1" s="1"/>
  <c r="U738" i="1" a="1"/>
  <c r="U738" i="1" s="1"/>
  <c r="V738" i="1" s="1"/>
  <c r="U739" i="1" a="1"/>
  <c r="U739" i="1" s="1"/>
  <c r="V739" i="1" s="1"/>
  <c r="U740" i="1" a="1"/>
  <c r="U740" i="1" s="1"/>
  <c r="V740" i="1" s="1"/>
  <c r="U741" i="1" a="1"/>
  <c r="U741" i="1" s="1"/>
  <c r="V741" i="1" s="1"/>
  <c r="U742" i="1" a="1"/>
  <c r="U742" i="1" s="1"/>
  <c r="V742" i="1" s="1"/>
  <c r="U743" i="1" a="1"/>
  <c r="U743" i="1" s="1"/>
  <c r="V743" i="1" s="1"/>
  <c r="U744" i="1" a="1"/>
  <c r="U744" i="1" s="1"/>
  <c r="V744" i="1" s="1"/>
  <c r="U745" i="1" a="1"/>
  <c r="U745" i="1" s="1"/>
  <c r="V745" i="1" s="1"/>
  <c r="U746" i="1" a="1"/>
  <c r="U746" i="1" s="1"/>
  <c r="V746" i="1" s="1"/>
  <c r="U747" i="1" a="1"/>
  <c r="U747" i="1" s="1"/>
  <c r="V747" i="1" s="1"/>
  <c r="U748" i="1" a="1"/>
  <c r="U748" i="1" s="1"/>
  <c r="V748" i="1" s="1"/>
  <c r="U749" i="1" a="1"/>
  <c r="U749" i="1" s="1"/>
  <c r="V749" i="1" s="1"/>
  <c r="U750" i="1" a="1"/>
  <c r="U750" i="1" s="1"/>
  <c r="V750" i="1" s="1"/>
  <c r="U751" i="1" a="1"/>
  <c r="U751" i="1" s="1"/>
  <c r="V751" i="1" s="1"/>
  <c r="U752" i="1" a="1"/>
  <c r="U752" i="1" s="1"/>
  <c r="V752" i="1" s="1"/>
  <c r="U753" i="1" a="1"/>
  <c r="U753" i="1" s="1"/>
  <c r="V753" i="1" s="1"/>
  <c r="U754" i="1" a="1"/>
  <c r="U754" i="1" s="1"/>
  <c r="V754" i="1" s="1"/>
  <c r="U755" i="1" a="1"/>
  <c r="U755" i="1" s="1"/>
  <c r="V755" i="1" s="1"/>
  <c r="U756" i="1" a="1"/>
  <c r="U756" i="1" s="1"/>
  <c r="V756" i="1" s="1"/>
  <c r="U757" i="1" a="1"/>
  <c r="U757" i="1" s="1"/>
  <c r="V757" i="1" s="1"/>
  <c r="U758" i="1" a="1"/>
  <c r="U758" i="1" s="1"/>
  <c r="V758" i="1" s="1"/>
  <c r="U759" i="1" a="1"/>
  <c r="U759" i="1" s="1"/>
  <c r="V759" i="1" s="1"/>
  <c r="U760" i="1" a="1"/>
  <c r="U760" i="1" s="1"/>
  <c r="V760" i="1" s="1"/>
  <c r="U761" i="1" a="1"/>
  <c r="U761" i="1" s="1"/>
  <c r="V761" i="1" s="1"/>
  <c r="U762" i="1" a="1"/>
  <c r="U762" i="1" s="1"/>
  <c r="V762" i="1" s="1"/>
  <c r="U763" i="1" a="1"/>
  <c r="U763" i="1" s="1"/>
  <c r="V763" i="1" s="1"/>
  <c r="U764" i="1" a="1"/>
  <c r="U764" i="1" s="1"/>
  <c r="V764" i="1" s="1"/>
  <c r="U765" i="1" a="1"/>
  <c r="U765" i="1" s="1"/>
  <c r="V765" i="1" s="1"/>
  <c r="U766" i="1" a="1"/>
  <c r="U766" i="1" s="1"/>
  <c r="V766" i="1" s="1"/>
  <c r="U767" i="1" a="1"/>
  <c r="U767" i="1" s="1"/>
  <c r="V767" i="1" s="1"/>
  <c r="U768" i="1" a="1"/>
  <c r="U768" i="1" s="1"/>
  <c r="V768" i="1" s="1"/>
  <c r="U769" i="1" a="1"/>
  <c r="U769" i="1" s="1"/>
  <c r="V769" i="1" s="1"/>
  <c r="U770" i="1" a="1"/>
  <c r="U770" i="1" s="1"/>
  <c r="V770" i="1" s="1"/>
  <c r="U771" i="1" a="1"/>
  <c r="U771" i="1" s="1"/>
  <c r="V771" i="1" s="1"/>
  <c r="U772" i="1" a="1"/>
  <c r="U772" i="1" s="1"/>
  <c r="V772" i="1" s="1"/>
  <c r="U773" i="1" a="1"/>
  <c r="U773" i="1" s="1"/>
  <c r="V773" i="1" s="1"/>
  <c r="U774" i="1" a="1"/>
  <c r="U774" i="1" s="1"/>
  <c r="V774" i="1" s="1"/>
  <c r="U775" i="1" a="1"/>
  <c r="U775" i="1" s="1"/>
  <c r="V775" i="1" s="1"/>
  <c r="U776" i="1" a="1"/>
  <c r="U776" i="1" s="1"/>
  <c r="V776" i="1" s="1"/>
  <c r="U777" i="1" a="1"/>
  <c r="U777" i="1" s="1"/>
  <c r="V777" i="1" s="1"/>
  <c r="U778" i="1" a="1"/>
  <c r="U778" i="1" s="1"/>
  <c r="V778" i="1" s="1"/>
  <c r="U779" i="1" a="1"/>
  <c r="U779" i="1" s="1"/>
  <c r="V779" i="1" s="1"/>
  <c r="U780" i="1" a="1"/>
  <c r="U780" i="1" s="1"/>
  <c r="V780" i="1" s="1"/>
  <c r="U781" i="1" a="1"/>
  <c r="U781" i="1" s="1"/>
  <c r="V781" i="1" s="1"/>
  <c r="U782" i="1" a="1"/>
  <c r="U782" i="1" s="1"/>
  <c r="V782" i="1" s="1"/>
  <c r="U783" i="1" a="1"/>
  <c r="U783" i="1" s="1"/>
  <c r="V783" i="1" s="1"/>
  <c r="U784" i="1" a="1"/>
  <c r="U784" i="1" s="1"/>
  <c r="V784" i="1" s="1"/>
  <c r="U785" i="1" a="1"/>
  <c r="U785" i="1" s="1"/>
  <c r="V785" i="1" s="1"/>
  <c r="U786" i="1" a="1"/>
  <c r="U786" i="1" s="1"/>
  <c r="V786" i="1" s="1"/>
  <c r="U787" i="1" a="1"/>
  <c r="U787" i="1" s="1"/>
  <c r="V787" i="1" s="1"/>
  <c r="U788" i="1" a="1"/>
  <c r="U788" i="1" s="1"/>
  <c r="V788" i="1" s="1"/>
  <c r="U789" i="1" a="1"/>
  <c r="U789" i="1" s="1"/>
  <c r="V789" i="1" s="1"/>
  <c r="U790" i="1" a="1"/>
  <c r="U790" i="1" s="1"/>
  <c r="V790" i="1" s="1"/>
  <c r="U791" i="1" a="1"/>
  <c r="U791" i="1" s="1"/>
  <c r="V791" i="1" s="1"/>
  <c r="U792" i="1" a="1"/>
  <c r="U792" i="1" s="1"/>
  <c r="V792" i="1" s="1"/>
  <c r="U793" i="1" a="1"/>
  <c r="U793" i="1" s="1"/>
  <c r="V793" i="1" s="1"/>
  <c r="U794" i="1" a="1"/>
  <c r="U794" i="1" s="1"/>
  <c r="V794" i="1" s="1"/>
  <c r="U795" i="1" a="1"/>
  <c r="U795" i="1" s="1"/>
  <c r="V795" i="1" s="1"/>
  <c r="U796" i="1" a="1"/>
  <c r="U796" i="1" s="1"/>
  <c r="V796" i="1" s="1"/>
  <c r="U797" i="1" a="1"/>
  <c r="U797" i="1" s="1"/>
  <c r="V797" i="1" s="1"/>
  <c r="U798" i="1" a="1"/>
  <c r="U798" i="1" s="1"/>
  <c r="V798" i="1" s="1"/>
  <c r="U799" i="1" a="1"/>
  <c r="U799" i="1" s="1"/>
  <c r="V799" i="1" s="1"/>
  <c r="U800" i="1" a="1"/>
  <c r="U800" i="1" s="1"/>
  <c r="V800" i="1" s="1"/>
  <c r="U801" i="1" a="1"/>
  <c r="U801" i="1" s="1"/>
  <c r="V801" i="1" s="1"/>
  <c r="U802" i="1" a="1"/>
  <c r="U802" i="1" s="1"/>
  <c r="V802" i="1" s="1"/>
  <c r="U803" i="1" a="1"/>
  <c r="U803" i="1" s="1"/>
  <c r="V803" i="1" s="1"/>
  <c r="U804" i="1" a="1"/>
  <c r="U804" i="1" s="1"/>
  <c r="V804" i="1" s="1"/>
  <c r="U805" i="1" a="1"/>
  <c r="U805" i="1" s="1"/>
  <c r="V805" i="1" s="1"/>
  <c r="U806" i="1" a="1"/>
  <c r="U806" i="1" s="1"/>
  <c r="V806" i="1" s="1"/>
  <c r="U807" i="1" a="1"/>
  <c r="U807" i="1" s="1"/>
  <c r="V807" i="1" s="1"/>
  <c r="U808" i="1" a="1"/>
  <c r="U808" i="1" s="1"/>
  <c r="V808" i="1" s="1"/>
  <c r="U809" i="1" a="1"/>
  <c r="U809" i="1" s="1"/>
  <c r="V809" i="1" s="1"/>
  <c r="U810" i="1" a="1"/>
  <c r="U810" i="1" s="1"/>
  <c r="V810" i="1" s="1"/>
  <c r="U811" i="1" a="1"/>
  <c r="U811" i="1" s="1"/>
  <c r="V811" i="1" s="1"/>
  <c r="U812" i="1" a="1"/>
  <c r="U812" i="1" s="1"/>
  <c r="V812" i="1" s="1"/>
  <c r="U813" i="1" a="1"/>
  <c r="U813" i="1" s="1"/>
  <c r="V813" i="1" s="1"/>
  <c r="U814" i="1" a="1"/>
  <c r="U814" i="1" s="1"/>
  <c r="V814" i="1" s="1"/>
  <c r="U815" i="1" a="1"/>
  <c r="U815" i="1" s="1"/>
  <c r="V815" i="1" s="1"/>
  <c r="U816" i="1" a="1"/>
  <c r="U816" i="1" s="1"/>
  <c r="V816" i="1" s="1"/>
  <c r="U817" i="1" a="1"/>
  <c r="U817" i="1" s="1"/>
  <c r="V817" i="1" s="1"/>
  <c r="U818" i="1" a="1"/>
  <c r="U818" i="1" s="1"/>
  <c r="V818" i="1" s="1"/>
  <c r="U819" i="1" a="1"/>
  <c r="U819" i="1" s="1"/>
  <c r="V819" i="1" s="1"/>
  <c r="U820" i="1" a="1"/>
  <c r="U820" i="1" s="1"/>
  <c r="V820" i="1" s="1"/>
  <c r="U821" i="1" a="1"/>
  <c r="U821" i="1" s="1"/>
  <c r="V821" i="1" s="1"/>
  <c r="U822" i="1" a="1"/>
  <c r="U822" i="1" s="1"/>
  <c r="V822" i="1" s="1"/>
  <c r="U823" i="1" a="1"/>
  <c r="U823" i="1" s="1"/>
  <c r="V823" i="1" s="1"/>
  <c r="U824" i="1" a="1"/>
  <c r="U824" i="1" s="1"/>
  <c r="V824" i="1" s="1"/>
  <c r="U825" i="1" a="1"/>
  <c r="U825" i="1" s="1"/>
  <c r="V825" i="1" s="1"/>
  <c r="U826" i="1" a="1"/>
  <c r="U826" i="1" s="1"/>
  <c r="V826" i="1" s="1"/>
  <c r="U827" i="1" a="1"/>
  <c r="U827" i="1" s="1"/>
  <c r="V827" i="1" s="1"/>
  <c r="U828" i="1" a="1"/>
  <c r="U828" i="1" s="1"/>
  <c r="V828" i="1" s="1"/>
  <c r="U829" i="1" a="1"/>
  <c r="U829" i="1" s="1"/>
  <c r="V829" i="1" s="1"/>
  <c r="U830" i="1" a="1"/>
  <c r="U830" i="1" s="1"/>
  <c r="V830" i="1" s="1"/>
  <c r="U831" i="1" a="1"/>
  <c r="U831" i="1" s="1"/>
  <c r="V831" i="1" s="1"/>
  <c r="U832" i="1" a="1"/>
  <c r="U832" i="1" s="1"/>
  <c r="V832" i="1" s="1"/>
  <c r="U833" i="1" a="1"/>
  <c r="U833" i="1" s="1"/>
  <c r="V833" i="1" s="1"/>
  <c r="U834" i="1" a="1"/>
  <c r="U834" i="1" s="1"/>
  <c r="V834" i="1" s="1"/>
  <c r="U835" i="1" a="1"/>
  <c r="U835" i="1" s="1"/>
  <c r="V835" i="1" s="1"/>
  <c r="U836" i="1" a="1"/>
  <c r="U836" i="1" s="1"/>
  <c r="V836" i="1" s="1"/>
  <c r="U837" i="1" a="1"/>
  <c r="U837" i="1" s="1"/>
  <c r="V837" i="1" s="1"/>
  <c r="U838" i="1" a="1"/>
  <c r="U838" i="1" s="1"/>
  <c r="V838" i="1" s="1"/>
  <c r="U839" i="1" a="1"/>
  <c r="U839" i="1" s="1"/>
  <c r="V839" i="1" s="1"/>
  <c r="U840" i="1" a="1"/>
  <c r="U840" i="1" s="1"/>
  <c r="V840" i="1" s="1"/>
  <c r="U841" i="1" a="1"/>
  <c r="U841" i="1" s="1"/>
  <c r="V841" i="1" s="1"/>
  <c r="U842" i="1" a="1"/>
  <c r="U842" i="1" s="1"/>
  <c r="V842" i="1" s="1"/>
  <c r="U843" i="1" a="1"/>
  <c r="U843" i="1" s="1"/>
  <c r="V843" i="1" s="1"/>
  <c r="U844" i="1" a="1"/>
  <c r="U844" i="1" s="1"/>
  <c r="V844" i="1" s="1"/>
  <c r="U845" i="1" a="1"/>
  <c r="U845" i="1" s="1"/>
  <c r="V845" i="1" s="1"/>
  <c r="U846" i="1" a="1"/>
  <c r="U846" i="1" s="1"/>
  <c r="V846" i="1" s="1"/>
  <c r="U847" i="1" a="1"/>
  <c r="U847" i="1" s="1"/>
  <c r="V847" i="1" s="1"/>
  <c r="U848" i="1" a="1"/>
  <c r="U848" i="1" s="1"/>
  <c r="V848" i="1" s="1"/>
  <c r="U849" i="1" a="1"/>
  <c r="U849" i="1" s="1"/>
  <c r="V849" i="1" s="1"/>
  <c r="U850" i="1" a="1"/>
  <c r="U850" i="1" s="1"/>
  <c r="V850" i="1" s="1"/>
  <c r="U851" i="1" a="1"/>
  <c r="U851" i="1" s="1"/>
  <c r="V851" i="1" s="1"/>
  <c r="U852" i="1" a="1"/>
  <c r="U852" i="1" s="1"/>
  <c r="V852" i="1" s="1"/>
  <c r="U853" i="1" a="1"/>
  <c r="U853" i="1" s="1"/>
  <c r="V853" i="1" s="1"/>
  <c r="U854" i="1" a="1"/>
  <c r="U854" i="1" s="1"/>
  <c r="V854" i="1" s="1"/>
  <c r="U855" i="1" a="1"/>
  <c r="U855" i="1" s="1"/>
  <c r="V855" i="1" s="1"/>
  <c r="U856" i="1" a="1"/>
  <c r="U856" i="1" s="1"/>
  <c r="V856" i="1" s="1"/>
  <c r="U857" i="1" a="1"/>
  <c r="U857" i="1" s="1"/>
  <c r="V857" i="1" s="1"/>
  <c r="U858" i="1" a="1"/>
  <c r="U858" i="1" s="1"/>
  <c r="V858" i="1" s="1"/>
  <c r="U859" i="1" a="1"/>
  <c r="U859" i="1" s="1"/>
  <c r="V859" i="1" s="1"/>
  <c r="U860" i="1" a="1"/>
  <c r="U860" i="1" s="1"/>
  <c r="V860" i="1" s="1"/>
  <c r="U861" i="1" a="1"/>
  <c r="U861" i="1" s="1"/>
  <c r="V861" i="1" s="1"/>
  <c r="U862" i="1" a="1"/>
  <c r="U862" i="1" s="1"/>
  <c r="V862" i="1" s="1"/>
  <c r="U863" i="1" a="1"/>
  <c r="U863" i="1" s="1"/>
  <c r="V863" i="1" s="1"/>
  <c r="U864" i="1" a="1"/>
  <c r="U864" i="1" s="1"/>
  <c r="V864" i="1" s="1"/>
  <c r="U865" i="1" a="1"/>
  <c r="U865" i="1" s="1"/>
  <c r="V865" i="1" s="1"/>
  <c r="U866" i="1" a="1"/>
  <c r="U866" i="1" s="1"/>
  <c r="V866" i="1" s="1"/>
  <c r="U867" i="1" a="1"/>
  <c r="U867" i="1" s="1"/>
  <c r="V867" i="1" s="1"/>
  <c r="U868" i="1" a="1"/>
  <c r="U868" i="1" s="1"/>
  <c r="V868" i="1" s="1"/>
  <c r="U869" i="1" a="1"/>
  <c r="U869" i="1" s="1"/>
  <c r="V869" i="1" s="1"/>
  <c r="U870" i="1" a="1"/>
  <c r="U870" i="1" s="1"/>
  <c r="V870" i="1" s="1"/>
  <c r="U871" i="1" a="1"/>
  <c r="U871" i="1" s="1"/>
  <c r="V871" i="1" s="1"/>
  <c r="U872" i="1" a="1"/>
  <c r="U872" i="1" s="1"/>
  <c r="V872" i="1" s="1"/>
  <c r="U873" i="1" a="1"/>
  <c r="U873" i="1" s="1"/>
  <c r="V873" i="1" s="1"/>
  <c r="U874" i="1" a="1"/>
  <c r="U874" i="1" s="1"/>
  <c r="V874" i="1" s="1"/>
  <c r="U875" i="1" a="1"/>
  <c r="U875" i="1" s="1"/>
  <c r="V875" i="1" s="1"/>
  <c r="U876" i="1" a="1"/>
  <c r="U876" i="1" s="1"/>
  <c r="V876" i="1" s="1"/>
  <c r="U877" i="1" a="1"/>
  <c r="U877" i="1" s="1"/>
  <c r="V877" i="1" s="1"/>
  <c r="U878" i="1" a="1"/>
  <c r="U878" i="1" s="1"/>
  <c r="V878" i="1" s="1"/>
  <c r="U879" i="1" a="1"/>
  <c r="U879" i="1" s="1"/>
  <c r="V879" i="1" s="1"/>
  <c r="U880" i="1" a="1"/>
  <c r="U880" i="1" s="1"/>
  <c r="V880" i="1" s="1"/>
  <c r="U881" i="1" a="1"/>
  <c r="U881" i="1" s="1"/>
  <c r="V881" i="1" s="1"/>
  <c r="U882" i="1" a="1"/>
  <c r="U882" i="1" s="1"/>
  <c r="V882" i="1" s="1"/>
  <c r="U883" i="1" a="1"/>
  <c r="U883" i="1" s="1"/>
  <c r="V883" i="1" s="1"/>
  <c r="U884" i="1" a="1"/>
  <c r="U884" i="1" s="1"/>
  <c r="V884" i="1" s="1"/>
  <c r="U885" i="1" a="1"/>
  <c r="U885" i="1" s="1"/>
  <c r="V885" i="1" s="1"/>
  <c r="U886" i="1" a="1"/>
  <c r="U886" i="1" s="1"/>
  <c r="V886" i="1" s="1"/>
  <c r="U887" i="1" a="1"/>
  <c r="U887" i="1" s="1"/>
  <c r="V887" i="1" s="1"/>
  <c r="U888" i="1" a="1"/>
  <c r="U888" i="1" s="1"/>
  <c r="V888" i="1" s="1"/>
  <c r="U889" i="1" a="1"/>
  <c r="U889" i="1" s="1"/>
  <c r="V889" i="1" s="1"/>
  <c r="U890" i="1" a="1"/>
  <c r="U890" i="1" s="1"/>
  <c r="V890" i="1" s="1"/>
  <c r="U891" i="1" a="1"/>
  <c r="U891" i="1" s="1"/>
  <c r="V891" i="1" s="1"/>
  <c r="U892" i="1" a="1"/>
  <c r="U892" i="1" s="1"/>
  <c r="V892" i="1" s="1"/>
  <c r="U893" i="1" a="1"/>
  <c r="U893" i="1" s="1"/>
  <c r="V893" i="1" s="1"/>
  <c r="U894" i="1" a="1"/>
  <c r="U894" i="1" s="1"/>
  <c r="V894" i="1" s="1"/>
  <c r="U895" i="1" a="1"/>
  <c r="U895" i="1" s="1"/>
  <c r="V895" i="1" s="1"/>
  <c r="U896" i="1" a="1"/>
  <c r="U896" i="1" s="1"/>
  <c r="V896" i="1" s="1"/>
  <c r="U897" i="1" a="1"/>
  <c r="U897" i="1" s="1"/>
  <c r="V897" i="1" s="1"/>
  <c r="U898" i="1" a="1"/>
  <c r="U898" i="1" s="1"/>
  <c r="V898" i="1" s="1"/>
  <c r="U899" i="1" a="1"/>
  <c r="U899" i="1" s="1"/>
  <c r="V899" i="1" s="1"/>
  <c r="U900" i="1" a="1"/>
  <c r="U900" i="1" s="1"/>
  <c r="V900" i="1" s="1"/>
  <c r="U901" i="1" a="1"/>
  <c r="U901" i="1" s="1"/>
  <c r="V901" i="1" s="1"/>
  <c r="U902" i="1" a="1"/>
  <c r="U902" i="1" s="1"/>
  <c r="V902" i="1" s="1"/>
  <c r="U903" i="1" a="1"/>
  <c r="U903" i="1" s="1"/>
  <c r="V903" i="1" s="1"/>
  <c r="U904" i="1" a="1"/>
  <c r="U904" i="1" s="1"/>
  <c r="V904" i="1" s="1"/>
  <c r="U905" i="1" a="1"/>
  <c r="U905" i="1" s="1"/>
  <c r="V905" i="1" s="1"/>
  <c r="U906" i="1" a="1"/>
  <c r="U906" i="1" s="1"/>
  <c r="V906" i="1" s="1"/>
  <c r="U907" i="1" a="1"/>
  <c r="U907" i="1" s="1"/>
  <c r="V907" i="1" s="1"/>
  <c r="U908" i="1" a="1"/>
  <c r="U908" i="1" s="1"/>
  <c r="V908" i="1" s="1"/>
  <c r="U909" i="1" a="1"/>
  <c r="U909" i="1" s="1"/>
  <c r="V909" i="1" s="1"/>
  <c r="U910" i="1" a="1"/>
  <c r="U910" i="1" s="1"/>
  <c r="V910" i="1" s="1"/>
  <c r="U911" i="1" a="1"/>
  <c r="U911" i="1" s="1"/>
  <c r="V911" i="1" s="1"/>
  <c r="U912" i="1" a="1"/>
  <c r="U912" i="1" s="1"/>
  <c r="V912" i="1" s="1"/>
  <c r="U913" i="1" a="1"/>
  <c r="U913" i="1" s="1"/>
  <c r="V913" i="1" s="1"/>
  <c r="U914" i="1" a="1"/>
  <c r="U914" i="1" s="1"/>
  <c r="V914" i="1" s="1"/>
  <c r="U915" i="1" a="1"/>
  <c r="U915" i="1" s="1"/>
  <c r="V915" i="1" s="1"/>
  <c r="U916" i="1" a="1"/>
  <c r="U916" i="1" s="1"/>
  <c r="V916" i="1" s="1"/>
  <c r="U917" i="1" a="1"/>
  <c r="U917" i="1" s="1"/>
  <c r="V917" i="1" s="1"/>
  <c r="U918" i="1" a="1"/>
  <c r="U918" i="1" s="1"/>
  <c r="V918" i="1" s="1"/>
  <c r="U919" i="1" a="1"/>
  <c r="U919" i="1" s="1"/>
  <c r="V919" i="1" s="1"/>
  <c r="U920" i="1" a="1"/>
  <c r="U920" i="1" s="1"/>
  <c r="V920" i="1" s="1"/>
  <c r="U921" i="1" a="1"/>
  <c r="U921" i="1" s="1"/>
  <c r="V921" i="1" s="1"/>
  <c r="U922" i="1" a="1"/>
  <c r="U922" i="1" s="1"/>
  <c r="V922" i="1" s="1"/>
  <c r="U923" i="1" a="1"/>
  <c r="U923" i="1" s="1"/>
  <c r="V923" i="1" s="1"/>
  <c r="U924" i="1" a="1"/>
  <c r="U924" i="1" s="1"/>
  <c r="V924" i="1" s="1"/>
  <c r="U925" i="1" a="1"/>
  <c r="U925" i="1" s="1"/>
  <c r="V925" i="1" s="1"/>
  <c r="U926" i="1" a="1"/>
  <c r="U926" i="1" s="1"/>
  <c r="V926" i="1" s="1"/>
  <c r="U927" i="1" a="1"/>
  <c r="U927" i="1" s="1"/>
  <c r="V927" i="1" s="1"/>
  <c r="U928" i="1" a="1"/>
  <c r="U928" i="1" s="1"/>
  <c r="V928" i="1" s="1"/>
  <c r="U929" i="1" a="1"/>
  <c r="U929" i="1" s="1"/>
  <c r="V929" i="1" s="1"/>
  <c r="U930" i="1" a="1"/>
  <c r="U930" i="1" s="1"/>
  <c r="V930" i="1" s="1"/>
  <c r="U931" i="1" a="1"/>
  <c r="U931" i="1" s="1"/>
  <c r="V931" i="1" s="1"/>
  <c r="U932" i="1" a="1"/>
  <c r="U932" i="1" s="1"/>
  <c r="V932" i="1" s="1"/>
  <c r="U933" i="1" a="1"/>
  <c r="U933" i="1" s="1"/>
  <c r="V933" i="1" s="1"/>
  <c r="U934" i="1" a="1"/>
  <c r="U934" i="1" s="1"/>
  <c r="V934" i="1" s="1"/>
  <c r="U935" i="1" a="1"/>
  <c r="U935" i="1" s="1"/>
  <c r="V935" i="1" s="1"/>
  <c r="U936" i="1" a="1"/>
  <c r="U936" i="1" s="1"/>
  <c r="V936" i="1" s="1"/>
  <c r="U937" i="1" a="1"/>
  <c r="U937" i="1" s="1"/>
  <c r="V937" i="1" s="1"/>
  <c r="U938" i="1" a="1"/>
  <c r="U938" i="1" s="1"/>
  <c r="V938" i="1" s="1"/>
  <c r="U939" i="1" a="1"/>
  <c r="U939" i="1" s="1"/>
  <c r="V939" i="1" s="1"/>
  <c r="U940" i="1" a="1"/>
  <c r="U940" i="1" s="1"/>
  <c r="V940" i="1" s="1"/>
  <c r="U941" i="1" a="1"/>
  <c r="U941" i="1" s="1"/>
  <c r="V941" i="1" s="1"/>
  <c r="U942" i="1" a="1"/>
  <c r="U942" i="1" s="1"/>
  <c r="V942" i="1" s="1"/>
  <c r="U943" i="1" a="1"/>
  <c r="U943" i="1" s="1"/>
  <c r="V943" i="1" s="1"/>
  <c r="U944" i="1" a="1"/>
  <c r="U944" i="1" s="1"/>
  <c r="V944" i="1" s="1"/>
  <c r="U945" i="1" a="1"/>
  <c r="U945" i="1" s="1"/>
  <c r="V945" i="1" s="1"/>
  <c r="U946" i="1" a="1"/>
  <c r="U946" i="1" s="1"/>
  <c r="V946" i="1" s="1"/>
  <c r="U947" i="1" a="1"/>
  <c r="U947" i="1" s="1"/>
  <c r="V947" i="1" s="1"/>
  <c r="U948" i="1" a="1"/>
  <c r="U948" i="1" s="1"/>
  <c r="V948" i="1" s="1"/>
  <c r="U949" i="1" a="1"/>
  <c r="U949" i="1" s="1"/>
  <c r="V949" i="1" s="1"/>
  <c r="U950" i="1" a="1"/>
  <c r="U950" i="1" s="1"/>
  <c r="V950" i="1" s="1"/>
  <c r="U951" i="1" a="1"/>
  <c r="U951" i="1" s="1"/>
  <c r="V951" i="1" s="1"/>
  <c r="U952" i="1" a="1"/>
  <c r="U952" i="1" s="1"/>
  <c r="V952" i="1" s="1"/>
  <c r="U953" i="1" a="1"/>
  <c r="U953" i="1" s="1"/>
  <c r="V953" i="1" s="1"/>
  <c r="U954" i="1" a="1"/>
  <c r="U954" i="1" s="1"/>
  <c r="V954" i="1" s="1"/>
  <c r="U955" i="1" a="1"/>
  <c r="U955" i="1" s="1"/>
  <c r="V955" i="1" s="1"/>
  <c r="U956" i="1" a="1"/>
  <c r="U956" i="1" s="1"/>
  <c r="V956" i="1" s="1"/>
  <c r="U957" i="1" a="1"/>
  <c r="U957" i="1" s="1"/>
  <c r="V957" i="1" s="1"/>
  <c r="U958" i="1" a="1"/>
  <c r="U958" i="1" s="1"/>
  <c r="V958" i="1" s="1"/>
  <c r="U959" i="1" a="1"/>
  <c r="U959" i="1" s="1"/>
  <c r="V959" i="1" s="1"/>
  <c r="U960" i="1" a="1"/>
  <c r="U960" i="1" s="1"/>
  <c r="V960" i="1" s="1"/>
  <c r="U961" i="1" a="1"/>
  <c r="U961" i="1" s="1"/>
  <c r="V961" i="1" s="1"/>
  <c r="U962" i="1" a="1"/>
  <c r="U962" i="1" s="1"/>
  <c r="V962" i="1" s="1"/>
  <c r="U963" i="1" a="1"/>
  <c r="U963" i="1" s="1"/>
  <c r="V963" i="1" s="1"/>
  <c r="U964" i="1" a="1"/>
  <c r="U964" i="1" s="1"/>
  <c r="V964" i="1" s="1"/>
  <c r="U965" i="1" a="1"/>
  <c r="U965" i="1" s="1"/>
  <c r="V965" i="1" s="1"/>
  <c r="U966" i="1" a="1"/>
  <c r="U966" i="1" s="1"/>
  <c r="V966" i="1" s="1"/>
  <c r="U967" i="1" a="1"/>
  <c r="U967" i="1" s="1"/>
  <c r="V967" i="1" s="1"/>
  <c r="U968" i="1" a="1"/>
  <c r="U968" i="1" s="1"/>
  <c r="V968" i="1" s="1"/>
  <c r="U969" i="1" a="1"/>
  <c r="U969" i="1" s="1"/>
  <c r="V969" i="1" s="1"/>
  <c r="U970" i="1" a="1"/>
  <c r="U970" i="1" s="1"/>
  <c r="V970" i="1" s="1"/>
  <c r="U971" i="1" a="1"/>
  <c r="U971" i="1" s="1"/>
  <c r="V971" i="1" s="1"/>
  <c r="U972" i="1" a="1"/>
  <c r="U972" i="1" s="1"/>
  <c r="V972" i="1" s="1"/>
  <c r="U973" i="1" a="1"/>
  <c r="U973" i="1" s="1"/>
  <c r="V973" i="1" s="1"/>
  <c r="U974" i="1" a="1"/>
  <c r="U974" i="1" s="1"/>
  <c r="V974" i="1" s="1"/>
  <c r="U975" i="1" a="1"/>
  <c r="U975" i="1" s="1"/>
  <c r="V975" i="1" s="1"/>
  <c r="U976" i="1" a="1"/>
  <c r="U976" i="1" s="1"/>
  <c r="V976" i="1" s="1"/>
  <c r="U977" i="1" a="1"/>
  <c r="U977" i="1" s="1"/>
  <c r="V977" i="1" s="1"/>
  <c r="U978" i="1" a="1"/>
  <c r="U978" i="1" s="1"/>
  <c r="V978" i="1" s="1"/>
  <c r="U979" i="1" a="1"/>
  <c r="U979" i="1" s="1"/>
  <c r="V979" i="1" s="1"/>
  <c r="U980" i="1" a="1"/>
  <c r="U980" i="1" s="1"/>
  <c r="V980" i="1" s="1"/>
  <c r="U981" i="1" a="1"/>
  <c r="U981" i="1" s="1"/>
  <c r="V981" i="1" s="1"/>
  <c r="U982" i="1" a="1"/>
  <c r="U982" i="1" s="1"/>
  <c r="V982" i="1" s="1"/>
  <c r="U983" i="1" a="1"/>
  <c r="U983" i="1" s="1"/>
  <c r="V983" i="1" s="1"/>
  <c r="U984" i="1" a="1"/>
  <c r="U984" i="1" s="1"/>
  <c r="V984" i="1" s="1"/>
  <c r="U985" i="1" a="1"/>
  <c r="U985" i="1" s="1"/>
  <c r="V985" i="1" s="1"/>
  <c r="U986" i="1" a="1"/>
  <c r="U986" i="1" s="1"/>
  <c r="V986" i="1" s="1"/>
  <c r="U987" i="1" a="1"/>
  <c r="U987" i="1" s="1"/>
  <c r="V987" i="1" s="1"/>
  <c r="U988" i="1" a="1"/>
  <c r="U988" i="1" s="1"/>
  <c r="V988" i="1" s="1"/>
  <c r="U989" i="1" a="1"/>
  <c r="U989" i="1" s="1"/>
  <c r="V989" i="1" s="1"/>
  <c r="U990" i="1" a="1"/>
  <c r="U990" i="1" s="1"/>
  <c r="V990" i="1" s="1"/>
  <c r="U991" i="1" a="1"/>
  <c r="U991" i="1" s="1"/>
  <c r="V991" i="1" s="1"/>
  <c r="U992" i="1" a="1"/>
  <c r="U992" i="1" s="1"/>
  <c r="V992" i="1" s="1"/>
  <c r="U993" i="1" a="1"/>
  <c r="U993" i="1" s="1"/>
  <c r="V993" i="1" s="1"/>
  <c r="U994" i="1" a="1"/>
  <c r="U994" i="1" s="1"/>
  <c r="V994" i="1" s="1"/>
  <c r="U995" i="1" a="1"/>
  <c r="U995" i="1" s="1"/>
  <c r="V995" i="1" s="1"/>
  <c r="U996" i="1" a="1"/>
  <c r="U996" i="1" s="1"/>
  <c r="V996" i="1" s="1"/>
  <c r="U997" i="1" a="1"/>
  <c r="U997" i="1" s="1"/>
  <c r="V997" i="1" s="1"/>
  <c r="U998" i="1" a="1"/>
  <c r="U998" i="1" s="1"/>
  <c r="V998" i="1" s="1"/>
  <c r="U999" i="1" a="1"/>
  <c r="U999" i="1" s="1"/>
  <c r="V999" i="1" s="1"/>
  <c r="U1000" i="1" a="1"/>
  <c r="U1000" i="1" s="1"/>
  <c r="V1000" i="1" s="1"/>
  <c r="U1001" i="1" a="1"/>
  <c r="U1001" i="1" s="1"/>
  <c r="V1001" i="1" s="1"/>
  <c r="U1002" i="1" a="1"/>
  <c r="U1002" i="1" s="1"/>
  <c r="V1002" i="1" s="1"/>
  <c r="U1003" i="1" a="1"/>
  <c r="U1003" i="1" s="1"/>
  <c r="V1003" i="1" s="1"/>
  <c r="U1004" i="1" a="1"/>
  <c r="U1004" i="1" s="1"/>
  <c r="V1004" i="1" s="1"/>
  <c r="U1005" i="1" a="1"/>
  <c r="U1005" i="1" s="1"/>
  <c r="V1005" i="1" s="1"/>
  <c r="U1006" i="1" a="1"/>
  <c r="U1006" i="1" s="1"/>
  <c r="V1006" i="1" s="1"/>
  <c r="U1007" i="1" a="1"/>
  <c r="U1007" i="1" s="1"/>
  <c r="V1007" i="1" s="1"/>
  <c r="U1008" i="1" a="1"/>
  <c r="U1008" i="1" s="1"/>
  <c r="V1008" i="1" s="1"/>
  <c r="U1009" i="1" a="1"/>
  <c r="U1009" i="1" s="1"/>
  <c r="V1009" i="1" s="1"/>
  <c r="U1010" i="1" a="1"/>
  <c r="U1010" i="1" s="1"/>
  <c r="V1010" i="1" s="1"/>
  <c r="U1011" i="1" a="1"/>
  <c r="U1011" i="1" s="1"/>
  <c r="V1011" i="1" s="1"/>
  <c r="U1012" i="1" a="1"/>
  <c r="U1012" i="1" s="1"/>
  <c r="V1012" i="1" s="1"/>
  <c r="U1013" i="1" a="1"/>
  <c r="U1013" i="1" s="1"/>
  <c r="V1013" i="1" s="1"/>
  <c r="U1014" i="1" a="1"/>
  <c r="U1014" i="1" s="1"/>
  <c r="V1014" i="1" s="1"/>
  <c r="I11" i="21"/>
  <c r="H11" i="21"/>
  <c r="I10" i="21"/>
  <c r="H10" i="21"/>
  <c r="I9" i="21"/>
  <c r="H9" i="21"/>
  <c r="I8" i="21"/>
  <c r="H8" i="21"/>
  <c r="I7" i="21"/>
  <c r="H7" i="21"/>
  <c r="I6" i="21"/>
  <c r="H6" i="21"/>
  <c r="I5" i="21"/>
  <c r="H5" i="21"/>
  <c r="I4" i="21"/>
  <c r="H4" i="21"/>
  <c r="I3" i="21"/>
  <c r="H3" i="21"/>
  <c r="I2" i="21"/>
  <c r="H2" i="21"/>
  <c r="T361" i="1"/>
  <c r="T820" i="1"/>
  <c r="T30" i="1"/>
  <c r="T875" i="1"/>
  <c r="T270" i="1"/>
  <c r="T244" i="1"/>
  <c r="T36" i="1"/>
  <c r="T964" i="1"/>
  <c r="T562" i="1"/>
  <c r="T876" i="1"/>
  <c r="T779" i="1"/>
  <c r="T929" i="1"/>
  <c r="T352" i="1"/>
  <c r="T342" i="1"/>
  <c r="T798" i="1"/>
  <c r="T331" i="1"/>
  <c r="T74" i="1"/>
  <c r="T1006" i="1"/>
  <c r="T932" i="1"/>
  <c r="T720" i="1"/>
  <c r="T534" i="1"/>
  <c r="T428" i="1"/>
  <c r="T857" i="1"/>
  <c r="T386" i="1"/>
  <c r="T301" i="1"/>
  <c r="T353" i="1"/>
  <c r="T687" i="1"/>
  <c r="T420" i="1"/>
  <c r="T476" i="1"/>
  <c r="T454" i="1"/>
  <c r="T371" i="1"/>
  <c r="T612" i="1"/>
  <c r="T581" i="1"/>
  <c r="T966" i="1"/>
  <c r="T62" i="1"/>
  <c r="T178" i="1"/>
  <c r="T198" i="1"/>
  <c r="T721" i="1"/>
  <c r="T116" i="1"/>
  <c r="T745" i="1"/>
  <c r="T746" i="1"/>
  <c r="T529" i="1"/>
  <c r="T701" i="1"/>
  <c r="T607" i="1"/>
  <c r="T807" i="1"/>
  <c r="T702" i="1"/>
  <c r="T659" i="1"/>
  <c r="T405" i="1"/>
  <c r="T455" i="1"/>
  <c r="T142" i="1"/>
  <c r="T826" i="1"/>
  <c r="T891" i="1"/>
  <c r="T916" i="1"/>
  <c r="T179" i="1"/>
  <c r="T171" i="1"/>
  <c r="T973" i="1"/>
  <c r="T117" i="1"/>
  <c r="T827" i="1"/>
  <c r="T710" i="1"/>
  <c r="T1014" i="1"/>
  <c r="T302" i="1"/>
  <c r="T982" i="1"/>
  <c r="T688" i="1"/>
  <c r="T343" i="1"/>
  <c r="T703" i="1"/>
  <c r="T591" i="1"/>
  <c r="T968" i="1"/>
  <c r="T466" i="1"/>
  <c r="T979" i="1"/>
  <c r="T808" i="1"/>
  <c r="T571" i="1"/>
  <c r="T666" i="1"/>
  <c r="T910" i="1"/>
  <c r="T718" i="1"/>
  <c r="T917" i="1"/>
  <c r="T960" i="1"/>
  <c r="T1007" i="1"/>
  <c r="T190" i="1"/>
  <c r="T456" i="1"/>
  <c r="T535" i="1"/>
  <c r="T885" i="1"/>
  <c r="T918" i="1"/>
  <c r="T858" i="1"/>
  <c r="T530" i="1"/>
  <c r="T977" i="1"/>
  <c r="T221" i="1"/>
  <c r="T148" i="1"/>
  <c r="T377" i="1"/>
  <c r="T563" i="1"/>
  <c r="T180" i="1"/>
  <c r="T421" i="1"/>
  <c r="T994" i="1"/>
  <c r="T337" i="1"/>
  <c r="T922" i="1"/>
  <c r="T99" i="1"/>
  <c r="T181" i="1"/>
  <c r="T582" i="1"/>
  <c r="T477" i="1"/>
  <c r="T622" i="1"/>
  <c r="T572" i="1"/>
  <c r="T406" i="1"/>
  <c r="T378" i="1"/>
  <c r="T67" i="1"/>
  <c r="T859" i="1"/>
  <c r="T41" i="1"/>
  <c r="T956" i="1"/>
  <c r="T22" i="1"/>
  <c r="T583" i="1"/>
  <c r="T536" i="1"/>
  <c r="T926" i="1"/>
  <c r="T72" i="1"/>
  <c r="T772" i="1"/>
  <c r="T841" i="1"/>
  <c r="T787" i="1"/>
  <c r="T5" i="1"/>
  <c r="T222" i="1"/>
  <c r="T172" i="1"/>
  <c r="T191" i="1"/>
  <c r="T711" i="1"/>
  <c r="T613" i="1"/>
  <c r="T87" i="1"/>
  <c r="T45" i="1"/>
  <c r="T42" i="1"/>
  <c r="T704" i="1"/>
  <c r="T212" i="1"/>
  <c r="T53" i="1"/>
  <c r="T457" i="1"/>
  <c r="T379" i="1"/>
  <c r="T199" i="1"/>
  <c r="T860" i="1"/>
  <c r="T108" i="1"/>
  <c r="T943" i="1"/>
  <c r="T257" i="1"/>
  <c r="T186" i="1"/>
  <c r="T276" i="1"/>
  <c r="T799" i="1"/>
  <c r="T886" i="1"/>
  <c r="T667" i="1"/>
  <c r="T957" i="1"/>
  <c r="T514" i="1"/>
  <c r="T354" i="1"/>
  <c r="T637" i="1"/>
  <c r="T861" i="1"/>
  <c r="T879" i="1"/>
  <c r="T192" i="1"/>
  <c r="T997" i="1"/>
  <c r="T149" i="1"/>
  <c r="T458" i="1"/>
  <c r="T312" i="1"/>
  <c r="T10" i="1"/>
  <c r="T537" i="1"/>
  <c r="T416" i="1"/>
  <c r="T564" i="1"/>
  <c r="T865" i="1"/>
  <c r="T608" i="1"/>
  <c r="T150" i="1"/>
  <c r="T362" i="1"/>
  <c r="T673" i="1"/>
  <c r="T229" i="1"/>
  <c r="T592" i="1"/>
  <c r="T230" i="1"/>
  <c r="T143" i="1"/>
  <c r="T842" i="1"/>
  <c r="T843" i="1"/>
  <c r="T73" i="1"/>
  <c r="T8" i="1"/>
  <c r="T830" i="1"/>
  <c r="T417" i="1"/>
  <c r="T271" i="1"/>
  <c r="T418" i="1"/>
  <c r="T887" i="1"/>
  <c r="T730" i="1"/>
  <c r="T158" i="1"/>
  <c r="T522" i="1"/>
  <c r="T877" i="1"/>
  <c r="T90" i="1"/>
  <c r="T814" i="1"/>
  <c r="T303" i="1"/>
  <c r="T644" i="1"/>
  <c r="T6" i="1"/>
  <c r="T478" i="1"/>
  <c r="T705" i="1"/>
  <c r="T880" i="1"/>
  <c r="T489" i="1"/>
  <c r="T888" i="1"/>
  <c r="T546" i="1"/>
  <c r="T338" i="1"/>
  <c r="T553" i="1"/>
  <c r="T892" i="1"/>
  <c r="T118" i="1"/>
  <c r="T523" i="1"/>
  <c r="T200" i="1"/>
  <c r="T593" i="1"/>
  <c r="T515" i="1"/>
  <c r="T201" i="1"/>
  <c r="T755" i="1"/>
  <c r="T584" i="1"/>
  <c r="T791" i="1"/>
  <c r="T849" i="1"/>
  <c r="T239" i="1"/>
  <c r="T205" i="1"/>
  <c r="T907" i="1"/>
  <c r="T387" i="1"/>
  <c r="T573" i="1"/>
  <c r="T908" i="1"/>
  <c r="T320" i="1"/>
  <c r="T467" i="1"/>
  <c r="T206" i="1"/>
  <c r="T258" i="1"/>
  <c r="T638" i="1"/>
  <c r="T202" i="1"/>
  <c r="T1001" i="1"/>
  <c r="T780" i="1"/>
  <c r="T765" i="1"/>
  <c r="T91" i="1"/>
  <c r="T173" i="1"/>
  <c r="T100" i="1"/>
  <c r="T978" i="1"/>
  <c r="T407" i="1"/>
  <c r="T722" i="1"/>
  <c r="T538" i="1"/>
  <c r="T161" i="1"/>
  <c r="T660" i="1"/>
  <c r="T182" i="1"/>
  <c r="T599" i="1"/>
  <c r="T831" i="1"/>
  <c r="T388" i="1"/>
  <c r="T800" i="1"/>
  <c r="T490" i="1"/>
  <c r="T33" i="1"/>
  <c r="T468" i="1"/>
  <c r="T941" i="1"/>
  <c r="T213" i="1"/>
  <c r="T101" i="1"/>
  <c r="T134" i="1"/>
  <c r="T245" i="1"/>
  <c r="T554" i="1"/>
  <c r="T539" i="1"/>
  <c r="T821" i="1"/>
  <c r="T165" i="1"/>
  <c r="T459" i="1"/>
  <c r="T159" i="1"/>
  <c r="T788" i="1"/>
  <c r="T850" i="1"/>
  <c r="T363" i="1"/>
  <c r="T246" i="1"/>
  <c r="T193" i="1"/>
  <c r="T555" i="1"/>
  <c r="T600" i="1"/>
  <c r="T668" i="1"/>
  <c r="T996" i="1"/>
  <c r="T207" i="1"/>
  <c r="T524" i="1"/>
  <c r="T247" i="1"/>
  <c r="T815" i="1"/>
  <c r="T479" i="1"/>
  <c r="T480" i="1"/>
  <c r="T844" i="1"/>
  <c r="T321" i="1"/>
  <c r="T285" i="1"/>
  <c r="T344" i="1"/>
  <c r="T214" i="1"/>
  <c r="T893" i="1"/>
  <c r="T23" i="1"/>
  <c r="T372" i="1"/>
  <c r="T1005" i="1"/>
  <c r="T898" i="1"/>
  <c r="T364" i="1"/>
  <c r="T37" i="1"/>
  <c r="T373" i="1"/>
  <c r="T585" i="1"/>
  <c r="T871" i="1"/>
  <c r="T816" i="1"/>
  <c r="T930" i="1"/>
  <c r="T723" i="1"/>
  <c r="T231" i="1"/>
  <c r="T49" i="1"/>
  <c r="T547" i="1"/>
  <c r="T259" i="1"/>
  <c r="T631" i="1"/>
  <c r="T881" i="1"/>
  <c r="T1000" i="1"/>
  <c r="T215" i="1"/>
  <c r="T295" i="1"/>
  <c r="T949" i="1"/>
  <c r="T162" i="1"/>
  <c r="T57" i="1"/>
  <c r="T203" i="1"/>
  <c r="T194" i="1"/>
  <c r="T265" i="1"/>
  <c r="T394" i="1"/>
  <c r="T272" i="1"/>
  <c r="T674" i="1"/>
  <c r="T408" i="1"/>
  <c r="T223" i="1"/>
  <c r="T951" i="1"/>
  <c r="T944" i="1"/>
  <c r="T409" i="1"/>
  <c r="T927" i="1"/>
  <c r="T119" i="1"/>
  <c r="T187" i="1"/>
  <c r="T792" i="1"/>
  <c r="T248" i="1"/>
  <c r="T345" i="1"/>
  <c r="T249" i="1"/>
  <c r="T481" i="1"/>
  <c r="T58" i="1"/>
  <c r="T882" i="1"/>
  <c r="T601" i="1"/>
  <c r="T817" i="1"/>
  <c r="T273" i="1"/>
  <c r="T653" i="1"/>
  <c r="T556" i="1"/>
  <c r="T491" i="1"/>
  <c r="T540" i="1"/>
  <c r="T509" i="1"/>
  <c r="T130" i="1"/>
  <c r="T240" i="1"/>
  <c r="T503" i="1"/>
  <c r="T645" i="1"/>
  <c r="T266" i="1"/>
  <c r="T188" i="1"/>
  <c r="T250" i="1"/>
  <c r="T872" i="1"/>
  <c r="T945" i="1"/>
  <c r="T63" i="1"/>
  <c r="T646" i="1"/>
  <c r="T1009" i="1"/>
  <c r="T232" i="1"/>
  <c r="T883" i="1"/>
  <c r="T594" i="1"/>
  <c r="T969" i="1"/>
  <c r="T739" i="1"/>
  <c r="T135" i="1"/>
  <c r="T46" i="1"/>
  <c r="T565" i="1"/>
  <c r="T389" i="1"/>
  <c r="T904" i="1"/>
  <c r="T1002" i="1"/>
  <c r="T866" i="1"/>
  <c r="T740" i="1"/>
  <c r="T548" i="1"/>
  <c r="T355" i="1"/>
  <c r="T469" i="1"/>
  <c r="T356" i="1"/>
  <c r="T286" i="1"/>
  <c r="T675" i="1"/>
  <c r="T64" i="1"/>
  <c r="T390" i="1"/>
  <c r="T208" i="1"/>
  <c r="T632" i="1"/>
  <c r="T712" i="1"/>
  <c r="T339" i="1"/>
  <c r="T801" i="1"/>
  <c r="T525" i="1"/>
  <c r="T936" i="1"/>
  <c r="T639" i="1"/>
  <c r="T983" i="1"/>
  <c r="T661" i="1"/>
  <c r="T92" i="1"/>
  <c r="T682" i="1"/>
  <c r="T151" i="1"/>
  <c r="T756" i="1"/>
  <c r="T998" i="1"/>
  <c r="T693" i="1"/>
  <c r="T766" i="1"/>
  <c r="T676" i="1"/>
  <c r="T952" i="1"/>
  <c r="T990" i="1"/>
  <c r="T174" i="1"/>
  <c r="T251" i="1"/>
  <c r="T619" i="1"/>
  <c r="T346" i="1"/>
  <c r="T38" i="1"/>
  <c r="T510" i="1"/>
  <c r="T946" i="1"/>
  <c r="T120" i="1"/>
  <c r="T677" i="1"/>
  <c r="T260" i="1"/>
  <c r="T595" i="1"/>
  <c r="T136" i="1"/>
  <c r="T24" i="1"/>
  <c r="T261" i="1"/>
  <c r="T938" i="1"/>
  <c r="T959" i="1"/>
  <c r="T365" i="1"/>
  <c r="T460" i="1"/>
  <c r="T511" i="1"/>
  <c r="T609" i="1"/>
  <c r="T366" i="1"/>
  <c r="T531" i="1"/>
  <c r="T332" i="1"/>
  <c r="T429" i="1"/>
  <c r="T767" i="1"/>
  <c r="T380" i="1"/>
  <c r="T933" i="1"/>
  <c r="T678" i="1"/>
  <c r="T51" i="1"/>
  <c r="T574" i="1"/>
  <c r="T724" i="1"/>
  <c r="T679" i="1"/>
  <c r="T919" i="1"/>
  <c r="T749" i="1"/>
  <c r="T623" i="1"/>
  <c r="T713" i="1"/>
  <c r="T492" i="1"/>
  <c r="T586" i="1"/>
  <c r="T195" i="1"/>
  <c r="T776" i="1"/>
  <c r="T104" i="1"/>
  <c r="T391" i="1"/>
  <c r="T163" i="1"/>
  <c r="T549" i="1"/>
  <c r="T550" i="1"/>
  <c r="T961" i="1"/>
  <c r="T296" i="1"/>
  <c r="T410" i="1"/>
  <c r="T395" i="1"/>
  <c r="T614" i="1"/>
  <c r="T768" i="1"/>
  <c r="T54" i="1"/>
  <c r="T683" i="1"/>
  <c r="T731" i="1"/>
  <c r="T313" i="1"/>
  <c r="T980" i="1"/>
  <c r="T602" i="1"/>
  <c r="T109" i="1"/>
  <c r="T482" i="1"/>
  <c r="T694" i="1"/>
  <c r="T640" i="1"/>
  <c r="T615" i="1"/>
  <c r="T504" i="1"/>
  <c r="T732" i="1"/>
  <c r="T828" i="1"/>
  <c r="T483" i="1"/>
  <c r="T991" i="1"/>
  <c r="T920" i="1"/>
  <c r="T396" i="1"/>
  <c r="T695" i="1"/>
  <c r="T93" i="1"/>
  <c r="T287" i="1"/>
  <c r="T196" i="1"/>
  <c r="T516" i="1"/>
  <c r="T252" i="1"/>
  <c r="T233" i="1"/>
  <c r="T367" i="1"/>
  <c r="T566" i="1"/>
  <c r="T152" i="1"/>
  <c r="T931" i="1"/>
  <c r="T297" i="1"/>
  <c r="T234" i="1"/>
  <c r="T18" i="1"/>
  <c r="T381" i="1"/>
  <c r="T733" i="1"/>
  <c r="T706" i="1"/>
  <c r="T911" i="1"/>
  <c r="T102" i="1"/>
  <c r="T832" i="1"/>
  <c r="T2" i="1"/>
  <c r="T484" i="1"/>
  <c r="T773" i="1"/>
  <c r="T851" i="1"/>
  <c r="T374" i="1"/>
  <c r="T96" i="1"/>
  <c r="T567" i="1"/>
  <c r="T76" i="1"/>
  <c r="T1011" i="1"/>
  <c r="T493" i="1"/>
  <c r="T131" i="1"/>
  <c r="T183" i="1"/>
  <c r="T725" i="1"/>
  <c r="T470" i="1"/>
  <c r="T845" i="1"/>
  <c r="T624" i="1"/>
  <c r="T47" i="1"/>
  <c r="T267" i="1"/>
  <c r="T494" i="1"/>
  <c r="T347" i="1"/>
  <c r="T616" i="1"/>
  <c r="T397" i="1"/>
  <c r="T921" i="1"/>
  <c r="T769" i="1"/>
  <c r="T551" i="1"/>
  <c r="T822" i="1"/>
  <c r="T833" i="1"/>
  <c r="T392" i="1"/>
  <c r="T781" i="1"/>
  <c r="T440" i="1"/>
  <c r="T719" i="1"/>
  <c r="T169" i="1"/>
  <c r="T802" i="1"/>
  <c r="T541" i="1"/>
  <c r="T105" i="1"/>
  <c r="T741" i="1"/>
  <c r="T633" i="1"/>
  <c r="T939" i="1"/>
  <c r="T846" i="1"/>
  <c r="T411" i="1"/>
  <c r="T505" i="1"/>
  <c r="T357" i="1"/>
  <c r="T224" i="1"/>
  <c r="T44" i="1"/>
  <c r="T689" i="1"/>
  <c r="T34" i="1"/>
  <c r="T852" i="1"/>
  <c r="T793" i="1"/>
  <c r="T495" i="1"/>
  <c r="T757" i="1"/>
  <c r="T235" i="1"/>
  <c r="T68" i="1"/>
  <c r="T348" i="1"/>
  <c r="T823" i="1"/>
  <c r="T992" i="1"/>
  <c r="T696" i="1"/>
  <c r="T55" i="1"/>
  <c r="T144" i="1"/>
  <c r="T153" i="1"/>
  <c r="T412" i="1"/>
  <c r="T333" i="1"/>
  <c r="T314" i="1"/>
  <c r="T734" i="1"/>
  <c r="T81" i="1"/>
  <c r="T647" i="1"/>
  <c r="T789" i="1"/>
  <c r="T847" i="1"/>
  <c r="T625" i="1"/>
  <c r="T697" i="1"/>
  <c r="T940" i="1"/>
  <c r="T974" i="1"/>
  <c r="T471" i="1"/>
  <c r="T445" i="1"/>
  <c r="T848" i="1"/>
  <c r="T962" i="1"/>
  <c r="T82" i="1"/>
  <c r="T430" i="1"/>
  <c r="T253" i="1"/>
  <c r="T750" i="1"/>
  <c r="T684" i="1"/>
  <c r="T334" i="1"/>
  <c r="T617" i="1"/>
  <c r="T419" i="1"/>
  <c r="T184" i="1"/>
  <c r="T209" i="1"/>
  <c r="T65" i="1"/>
  <c r="T587" i="1"/>
  <c r="T185" i="1"/>
  <c r="T19" i="1"/>
  <c r="T506" i="1"/>
  <c r="T588" i="1"/>
  <c r="T349" i="1"/>
  <c r="T834" i="1"/>
  <c r="T69" i="1"/>
  <c r="T923" i="1"/>
  <c r="T507" i="1"/>
  <c r="T924" i="1"/>
  <c r="T987" i="1"/>
  <c r="T472" i="1"/>
  <c r="T575" i="1"/>
  <c r="T589" i="1"/>
  <c r="T517" i="1"/>
  <c r="T277" i="1"/>
  <c r="T422" i="1"/>
  <c r="T31" i="1"/>
  <c r="T322" i="1"/>
  <c r="T995" i="1"/>
  <c r="T928" i="1"/>
  <c r="T13" i="1"/>
  <c r="T431" i="1"/>
  <c r="T818" i="1"/>
  <c r="T508" i="1"/>
  <c r="T382" i="1"/>
  <c r="T29" i="1"/>
  <c r="T742" i="1"/>
  <c r="T680" i="1"/>
  <c r="T298" i="1"/>
  <c r="T878" i="1"/>
  <c r="T782" i="1"/>
  <c r="T83" i="1"/>
  <c r="T794" i="1"/>
  <c r="T662" i="1"/>
  <c r="T43" i="1"/>
  <c r="T216" i="1"/>
  <c r="T398" i="1"/>
  <c r="T278" i="1"/>
  <c r="T323" i="1"/>
  <c r="T375" i="1"/>
  <c r="T889" i="1"/>
  <c r="T751" i="1"/>
  <c r="T654" i="1"/>
  <c r="T685" i="1"/>
  <c r="T752" i="1"/>
  <c r="T655" i="1"/>
  <c r="T526" i="1"/>
  <c r="T324" i="1"/>
  <c r="T15" i="1"/>
  <c r="T461" i="1"/>
  <c r="T1012" i="1"/>
  <c r="T835" i="1"/>
  <c r="T358" i="1"/>
  <c r="T279" i="1"/>
  <c r="T698" i="1"/>
  <c r="T1004" i="1"/>
  <c r="T236" i="1"/>
  <c r="T758" i="1"/>
  <c r="T75" i="1"/>
  <c r="T441" i="1"/>
  <c r="T126" i="1"/>
  <c r="T854" i="1"/>
  <c r="T626" i="1"/>
  <c r="T634" i="1"/>
  <c r="T596" i="1"/>
  <c r="T656" i="1"/>
  <c r="T39" i="1"/>
  <c r="T383" i="1"/>
  <c r="T56" i="1"/>
  <c r="T527" i="1"/>
  <c r="T967" i="1"/>
  <c r="T137" i="1"/>
  <c r="T88" i="1"/>
  <c r="T473" i="1"/>
  <c r="T867" i="1"/>
  <c r="T669" i="1"/>
  <c r="T803" i="1"/>
  <c r="T25" i="1"/>
  <c r="T670" i="1"/>
  <c r="T9" i="1"/>
  <c r="T512" i="1"/>
  <c r="T836" i="1"/>
  <c r="T855" i="1"/>
  <c r="T868" i="1"/>
  <c r="T518" i="1"/>
  <c r="T496" i="1"/>
  <c r="T340" i="1"/>
  <c r="T145" i="1"/>
  <c r="T146" i="1"/>
  <c r="T442" i="1"/>
  <c r="T280" i="1"/>
  <c r="T89" i="1"/>
  <c r="T217" i="1"/>
  <c r="T325" i="1"/>
  <c r="T899" i="1"/>
  <c r="T121" i="1"/>
  <c r="T254" i="1"/>
  <c r="T241" i="1"/>
  <c r="T568" i="1"/>
  <c r="T288" i="1"/>
  <c r="T576" i="1"/>
  <c r="T947" i="1"/>
  <c r="T985" i="1"/>
  <c r="T274" i="1"/>
  <c r="T809" i="1"/>
  <c r="T315" i="1"/>
  <c r="T52" i="1"/>
  <c r="T443" i="1"/>
  <c r="T262" i="1"/>
  <c r="T557" i="1"/>
  <c r="T900" i="1"/>
  <c r="T558" i="1"/>
  <c r="T804" i="1"/>
  <c r="T77" i="1"/>
  <c r="T316" i="1"/>
  <c r="T513" i="1"/>
  <c r="T569" i="1"/>
  <c r="T519" i="1"/>
  <c r="T474" i="1"/>
  <c r="T747" i="1"/>
  <c r="T462" i="1"/>
  <c r="T138" i="1"/>
  <c r="T446" i="1"/>
  <c r="T268" i="1"/>
  <c r="T432" i="1"/>
  <c r="T811" i="1"/>
  <c r="T326" i="1"/>
  <c r="T242" i="1"/>
  <c r="T317" i="1"/>
  <c r="T681" i="1"/>
  <c r="T289" i="1"/>
  <c r="T281" i="1"/>
  <c r="T812" i="1"/>
  <c r="T648" i="1"/>
  <c r="T413" i="1"/>
  <c r="T620" i="1"/>
  <c r="T743" i="1"/>
  <c r="T981" i="1"/>
  <c r="T559" i="1"/>
  <c r="T11" i="1"/>
  <c r="T282" i="1"/>
  <c r="T283" i="1"/>
  <c r="T837" i="1"/>
  <c r="T66" i="1"/>
  <c r="T838" i="1"/>
  <c r="T290" i="1"/>
  <c r="T341" i="1"/>
  <c r="T291" i="1"/>
  <c r="T759" i="1"/>
  <c r="T112" i="1"/>
  <c r="T154" i="1"/>
  <c r="T520" i="1"/>
  <c r="T399" i="1"/>
  <c r="T958" i="1"/>
  <c r="T175" i="1"/>
  <c r="T560" i="1"/>
  <c r="T97" i="1"/>
  <c r="T577" i="1"/>
  <c r="T635" i="1"/>
  <c r="T532" i="1"/>
  <c r="T976" i="1"/>
  <c r="T699" i="1"/>
  <c r="T110" i="1"/>
  <c r="T805" i="1"/>
  <c r="T59" i="1"/>
  <c r="T777" i="1"/>
  <c r="T7" i="1"/>
  <c r="T160" i="1"/>
  <c r="T497" i="1"/>
  <c r="T103" i="1"/>
  <c r="T327" i="1"/>
  <c r="T16" i="1"/>
  <c r="T299" i="1"/>
  <c r="T166" i="1"/>
  <c r="T498" i="1"/>
  <c r="T726" i="1"/>
  <c r="T122" i="1"/>
  <c r="T912" i="1"/>
  <c r="T942" i="1"/>
  <c r="T300" i="1"/>
  <c r="T376" i="1"/>
  <c r="T707" i="1"/>
  <c r="T139" i="1"/>
  <c r="T950" i="1"/>
  <c r="T304" i="1"/>
  <c r="T901" i="1"/>
  <c r="T50" i="1"/>
  <c r="T890" i="1"/>
  <c r="T760" i="1"/>
  <c r="T657" i="1"/>
  <c r="T111" i="1"/>
  <c r="T597" i="1"/>
  <c r="T305" i="1"/>
  <c r="T708" i="1"/>
  <c r="T306" i="1"/>
  <c r="T869" i="1"/>
  <c r="T155" i="1"/>
  <c r="T499" i="1"/>
  <c r="T824" i="1"/>
  <c r="T307" i="1"/>
  <c r="T393" i="1"/>
  <c r="T521" i="1"/>
  <c r="T753" i="1"/>
  <c r="T744" i="1"/>
  <c r="T447" i="1"/>
  <c r="T485" i="1"/>
  <c r="T263" i="1"/>
  <c r="T123" i="1"/>
  <c r="T774" i="1"/>
  <c r="T48" i="1"/>
  <c r="T778" i="1"/>
  <c r="T433" i="1"/>
  <c r="T709" i="1"/>
  <c r="T328" i="1"/>
  <c r="T618" i="1"/>
  <c r="T810" i="1"/>
  <c r="T164" i="1"/>
  <c r="T627" i="1"/>
  <c r="T663" i="1"/>
  <c r="T368" i="1"/>
  <c r="T434" i="1"/>
  <c r="T542" i="1"/>
  <c r="T400" i="1"/>
  <c r="T714" i="1"/>
  <c r="T873" i="1"/>
  <c r="T335" i="1"/>
  <c r="T603" i="1"/>
  <c r="T359" i="1"/>
  <c r="T604" i="1"/>
  <c r="T795" i="1"/>
  <c r="T448" i="1"/>
  <c r="T965" i="1"/>
  <c r="T243" i="1"/>
  <c r="T84" i="1"/>
  <c r="T813" i="1"/>
  <c r="T127" i="1"/>
  <c r="T170" i="1"/>
  <c r="T727" i="1"/>
  <c r="T128" i="1"/>
  <c r="T953" i="1"/>
  <c r="T284" i="1"/>
  <c r="T1003" i="1"/>
  <c r="T578" i="1"/>
  <c r="T690" i="1"/>
  <c r="T748" i="1"/>
  <c r="T561" i="1"/>
  <c r="T444" i="1"/>
  <c r="T132" i="1"/>
  <c r="T894" i="1"/>
  <c r="T543" i="1"/>
  <c r="T435" i="1"/>
  <c r="T862" i="1"/>
  <c r="T658" i="1"/>
  <c r="T783" i="1"/>
  <c r="T449" i="1"/>
  <c r="T275" i="1"/>
  <c r="T35" i="1"/>
  <c r="T113" i="1"/>
  <c r="T292" i="1"/>
  <c r="T269" i="1"/>
  <c r="T414" i="1"/>
  <c r="T954" i="1"/>
  <c r="T237" i="1"/>
  <c r="T784" i="1"/>
  <c r="T971" i="1"/>
  <c r="T909" i="1"/>
  <c r="T641" i="1"/>
  <c r="T156" i="1"/>
  <c r="T225" i="1"/>
  <c r="T60" i="1"/>
  <c r="T761" i="1"/>
  <c r="T463" i="1"/>
  <c r="T913" i="1"/>
  <c r="T106" i="1"/>
  <c r="T664" i="1"/>
  <c r="T85" i="1"/>
  <c r="T856" i="1"/>
  <c r="T189" i="1"/>
  <c r="T819" i="1"/>
  <c r="T628" i="1"/>
  <c r="T579" i="1"/>
  <c r="T436" i="1"/>
  <c r="T218" i="1"/>
  <c r="T715" i="1"/>
  <c r="T691" i="1"/>
  <c r="T140" i="1"/>
  <c r="T972" i="1"/>
  <c r="T147" i="1"/>
  <c r="T853" i="1"/>
  <c r="T544" i="1"/>
  <c r="T580" i="1"/>
  <c r="T219" i="1"/>
  <c r="T762" i="1"/>
  <c r="T384" i="1"/>
  <c r="T925" i="1"/>
  <c r="T728" i="1"/>
  <c r="T989" i="1"/>
  <c r="T293" i="1"/>
  <c r="T754" i="1"/>
  <c r="T94" i="1"/>
  <c r="T86" i="1"/>
  <c r="T763" i="1"/>
  <c r="T533" i="1"/>
  <c r="T318" i="1"/>
  <c r="T486" i="1"/>
  <c r="T598" i="1"/>
  <c r="T70" i="1"/>
  <c r="T437" i="1"/>
  <c r="T671" i="1"/>
  <c r="T17" i="1"/>
  <c r="T450" i="1"/>
  <c r="T308" i="1"/>
  <c r="T884" i="1"/>
  <c r="T255" i="1"/>
  <c r="T764" i="1"/>
  <c r="T114" i="1"/>
  <c r="T970" i="1"/>
  <c r="T336" i="1"/>
  <c r="T27" i="1"/>
  <c r="T124" i="1"/>
  <c r="T785" i="1"/>
  <c r="T902" i="1"/>
  <c r="T319" i="1"/>
  <c r="T863" i="1"/>
  <c r="T975" i="1"/>
  <c r="T369" i="1"/>
  <c r="T167" i="1"/>
  <c r="T78" i="1"/>
  <c r="T775" i="1"/>
  <c r="T438" i="1"/>
  <c r="T157" i="1"/>
  <c r="T735" i="1"/>
  <c r="T423" i="1"/>
  <c r="T401" i="1"/>
  <c r="T590" i="1"/>
  <c r="T424" i="1"/>
  <c r="T451" i="1"/>
  <c r="T993" i="1"/>
  <c r="T986" i="1"/>
  <c r="T370" i="1"/>
  <c r="T21" i="1"/>
  <c r="T642" i="1"/>
  <c r="T452" i="1"/>
  <c r="T905" i="1"/>
  <c r="T79" i="1"/>
  <c r="T80" i="1"/>
  <c r="T610" i="1"/>
  <c r="T210" i="1"/>
  <c r="T611" i="1"/>
  <c r="T988" i="1"/>
  <c r="T999" i="1"/>
  <c r="T350" i="1"/>
  <c r="T649" i="1"/>
  <c r="T309" i="1"/>
  <c r="T98" i="1"/>
  <c r="T310" i="1"/>
  <c r="T963" i="1"/>
  <c r="T12" i="1"/>
  <c r="T226" i="1"/>
  <c r="T176" i="1"/>
  <c r="T829" i="1"/>
  <c r="T115" i="1"/>
  <c r="T402" i="1"/>
  <c r="T914" i="1"/>
  <c r="T915" i="1"/>
  <c r="T227" i="1"/>
  <c r="T686" i="1"/>
  <c r="T716" i="1"/>
  <c r="T796" i="1"/>
  <c r="T500" i="1"/>
  <c r="T3" i="1"/>
  <c r="T825" i="1"/>
  <c r="T403" i="1"/>
  <c r="T32" i="1"/>
  <c r="T475" i="1"/>
  <c r="T934" i="1"/>
  <c r="T501" i="1"/>
  <c r="T650" i="1"/>
  <c r="T415" i="1"/>
  <c r="T545" i="1"/>
  <c r="T736" i="1"/>
  <c r="T552" i="1"/>
  <c r="T937" i="1"/>
  <c r="T839" i="1"/>
  <c r="T425" i="1"/>
  <c r="T672" i="1"/>
  <c r="T487" i="1"/>
  <c r="T895" i="1"/>
  <c r="T40" i="1"/>
  <c r="T605" i="1"/>
  <c r="T700" i="1"/>
  <c r="T737" i="1"/>
  <c r="T129" i="1"/>
  <c r="T404" i="1"/>
  <c r="T439" i="1"/>
  <c r="T71" i="1"/>
  <c r="T426" i="1"/>
  <c r="T651" i="1"/>
  <c r="T629" i="1"/>
  <c r="T729" i="1"/>
  <c r="T168" i="1"/>
  <c r="T770" i="1"/>
  <c r="T864" i="1"/>
  <c r="T488" i="1"/>
  <c r="T204" i="1"/>
  <c r="T228" i="1"/>
  <c r="T351" i="1"/>
  <c r="T786" i="1"/>
  <c r="T528" i="1"/>
  <c r="T606" i="1"/>
  <c r="T125" i="1"/>
  <c r="T14" i="1"/>
  <c r="T771" i="1"/>
  <c r="T294" i="1"/>
  <c r="T692" i="1"/>
  <c r="T840" i="1"/>
  <c r="T4" i="1"/>
  <c r="T385" i="1"/>
  <c r="T630" i="1"/>
  <c r="T502" i="1"/>
  <c r="T948" i="1"/>
  <c r="T636" i="1"/>
  <c r="T427" i="1"/>
  <c r="T197" i="1"/>
  <c r="T20" i="1"/>
  <c r="T360" i="1"/>
  <c r="T790" i="1"/>
  <c r="T717" i="1"/>
  <c r="T652" i="1"/>
  <c r="T329" i="1"/>
  <c r="T665" i="1"/>
  <c r="T643" i="1"/>
  <c r="T903" i="1"/>
  <c r="T28" i="1"/>
  <c r="T1013" i="1"/>
  <c r="T211" i="1"/>
  <c r="T133" i="1"/>
  <c r="T107" i="1"/>
  <c r="T264" i="1"/>
  <c r="T797" i="1"/>
  <c r="T870" i="1"/>
  <c r="T256" i="1"/>
  <c r="T935" i="1"/>
  <c r="T220" i="1"/>
  <c r="T177" i="1"/>
  <c r="T311" i="1"/>
  <c r="T464" i="1"/>
  <c r="T453" i="1"/>
  <c r="T621" i="1"/>
  <c r="T26" i="1"/>
  <c r="T738" i="1"/>
  <c r="T570" i="1"/>
  <c r="T330" i="1"/>
  <c r="T141" i="1"/>
  <c r="T238" i="1"/>
  <c r="T955" i="1"/>
  <c r="T896" i="1"/>
  <c r="T1008" i="1"/>
  <c r="T806" i="1"/>
  <c r="T1010" i="1"/>
  <c r="T61" i="1"/>
  <c r="T95" i="1"/>
  <c r="T906" i="1"/>
  <c r="T465" i="1"/>
  <c r="T874" i="1"/>
  <c r="T897" i="1"/>
  <c r="T984" i="1"/>
  <c r="S361" i="1"/>
  <c r="S820" i="1"/>
  <c r="S30" i="1"/>
  <c r="S875" i="1"/>
  <c r="S270" i="1"/>
  <c r="S244" i="1"/>
  <c r="S36" i="1"/>
  <c r="S964" i="1"/>
  <c r="S562" i="1"/>
  <c r="S876" i="1"/>
  <c r="S779" i="1"/>
  <c r="S929" i="1"/>
  <c r="S352" i="1"/>
  <c r="S342" i="1"/>
  <c r="S798" i="1"/>
  <c r="S331" i="1"/>
  <c r="S74" i="1"/>
  <c r="S1006" i="1"/>
  <c r="S932" i="1"/>
  <c r="S720" i="1"/>
  <c r="S534" i="1"/>
  <c r="S428" i="1"/>
  <c r="S857" i="1"/>
  <c r="S386" i="1"/>
  <c r="S301" i="1"/>
  <c r="S353" i="1"/>
  <c r="S687" i="1"/>
  <c r="S420" i="1"/>
  <c r="S476" i="1"/>
  <c r="S454" i="1"/>
  <c r="S371" i="1"/>
  <c r="S612" i="1"/>
  <c r="S581" i="1"/>
  <c r="S966" i="1"/>
  <c r="S62" i="1"/>
  <c r="S178" i="1"/>
  <c r="S198" i="1"/>
  <c r="S721" i="1"/>
  <c r="S116" i="1"/>
  <c r="S745" i="1"/>
  <c r="S746" i="1"/>
  <c r="S529" i="1"/>
  <c r="S701" i="1"/>
  <c r="S607" i="1"/>
  <c r="S807" i="1"/>
  <c r="S702" i="1"/>
  <c r="S659" i="1"/>
  <c r="S405" i="1"/>
  <c r="S455" i="1"/>
  <c r="S142" i="1"/>
  <c r="S826" i="1"/>
  <c r="S891" i="1"/>
  <c r="S916" i="1"/>
  <c r="S179" i="1"/>
  <c r="S171" i="1"/>
  <c r="S973" i="1"/>
  <c r="S117" i="1"/>
  <c r="S827" i="1"/>
  <c r="S710" i="1"/>
  <c r="S1014" i="1"/>
  <c r="S302" i="1"/>
  <c r="S982" i="1"/>
  <c r="S688" i="1"/>
  <c r="S343" i="1"/>
  <c r="S703" i="1"/>
  <c r="S591" i="1"/>
  <c r="S968" i="1"/>
  <c r="S466" i="1"/>
  <c r="S979" i="1"/>
  <c r="S808" i="1"/>
  <c r="S571" i="1"/>
  <c r="S666" i="1"/>
  <c r="S910" i="1"/>
  <c r="S718" i="1"/>
  <c r="S917" i="1"/>
  <c r="S960" i="1"/>
  <c r="S1007" i="1"/>
  <c r="S190" i="1"/>
  <c r="S456" i="1"/>
  <c r="S535" i="1"/>
  <c r="S885" i="1"/>
  <c r="S918" i="1"/>
  <c r="S858" i="1"/>
  <c r="S530" i="1"/>
  <c r="S977" i="1"/>
  <c r="S221" i="1"/>
  <c r="S148" i="1"/>
  <c r="S377" i="1"/>
  <c r="S563" i="1"/>
  <c r="S180" i="1"/>
  <c r="S421" i="1"/>
  <c r="S994" i="1"/>
  <c r="S337" i="1"/>
  <c r="S922" i="1"/>
  <c r="S99" i="1"/>
  <c r="S181" i="1"/>
  <c r="S582" i="1"/>
  <c r="S477" i="1"/>
  <c r="S622" i="1"/>
  <c r="S572" i="1"/>
  <c r="S406" i="1"/>
  <c r="S378" i="1"/>
  <c r="S67" i="1"/>
  <c r="S859" i="1"/>
  <c r="S41" i="1"/>
  <c r="S956" i="1"/>
  <c r="S22" i="1"/>
  <c r="S583" i="1"/>
  <c r="S536" i="1"/>
  <c r="S926" i="1"/>
  <c r="S72" i="1"/>
  <c r="S772" i="1"/>
  <c r="S841" i="1"/>
  <c r="S787" i="1"/>
  <c r="S5" i="1"/>
  <c r="S222" i="1"/>
  <c r="S172" i="1"/>
  <c r="S191" i="1"/>
  <c r="S711" i="1"/>
  <c r="S613" i="1"/>
  <c r="S87" i="1"/>
  <c r="S45" i="1"/>
  <c r="S42" i="1"/>
  <c r="S704" i="1"/>
  <c r="S212" i="1"/>
  <c r="S53" i="1"/>
  <c r="S457" i="1"/>
  <c r="S379" i="1"/>
  <c r="S199" i="1"/>
  <c r="S860" i="1"/>
  <c r="S108" i="1"/>
  <c r="S943" i="1"/>
  <c r="S257" i="1"/>
  <c r="S186" i="1"/>
  <c r="S276" i="1"/>
  <c r="S799" i="1"/>
  <c r="S886" i="1"/>
  <c r="S667" i="1"/>
  <c r="S957" i="1"/>
  <c r="S514" i="1"/>
  <c r="S354" i="1"/>
  <c r="S637" i="1"/>
  <c r="S861" i="1"/>
  <c r="S879" i="1"/>
  <c r="S192" i="1"/>
  <c r="S997" i="1"/>
  <c r="S149" i="1"/>
  <c r="S458" i="1"/>
  <c r="S312" i="1"/>
  <c r="S10" i="1"/>
  <c r="S537" i="1"/>
  <c r="S416" i="1"/>
  <c r="S564" i="1"/>
  <c r="S865" i="1"/>
  <c r="S608" i="1"/>
  <c r="S150" i="1"/>
  <c r="S362" i="1"/>
  <c r="S673" i="1"/>
  <c r="S229" i="1"/>
  <c r="S592" i="1"/>
  <c r="S230" i="1"/>
  <c r="S143" i="1"/>
  <c r="S842" i="1"/>
  <c r="S843" i="1"/>
  <c r="S73" i="1"/>
  <c r="S8" i="1"/>
  <c r="S830" i="1"/>
  <c r="S417" i="1"/>
  <c r="S271" i="1"/>
  <c r="S418" i="1"/>
  <c r="S887" i="1"/>
  <c r="S730" i="1"/>
  <c r="S158" i="1"/>
  <c r="S522" i="1"/>
  <c r="S877" i="1"/>
  <c r="S90" i="1"/>
  <c r="S814" i="1"/>
  <c r="S303" i="1"/>
  <c r="S644" i="1"/>
  <c r="S6" i="1"/>
  <c r="S478" i="1"/>
  <c r="S705" i="1"/>
  <c r="S880" i="1"/>
  <c r="S489" i="1"/>
  <c r="S888" i="1"/>
  <c r="S546" i="1"/>
  <c r="S338" i="1"/>
  <c r="S553" i="1"/>
  <c r="S892" i="1"/>
  <c r="S118" i="1"/>
  <c r="S523" i="1"/>
  <c r="S200" i="1"/>
  <c r="S593" i="1"/>
  <c r="S515" i="1"/>
  <c r="S201" i="1"/>
  <c r="S755" i="1"/>
  <c r="S584" i="1"/>
  <c r="S791" i="1"/>
  <c r="S849" i="1"/>
  <c r="S239" i="1"/>
  <c r="S205" i="1"/>
  <c r="S907" i="1"/>
  <c r="S387" i="1"/>
  <c r="S573" i="1"/>
  <c r="S908" i="1"/>
  <c r="S320" i="1"/>
  <c r="S467" i="1"/>
  <c r="S206" i="1"/>
  <c r="S258" i="1"/>
  <c r="S638" i="1"/>
  <c r="S202" i="1"/>
  <c r="S1001" i="1"/>
  <c r="S780" i="1"/>
  <c r="S765" i="1"/>
  <c r="S91" i="1"/>
  <c r="S173" i="1"/>
  <c r="S100" i="1"/>
  <c r="S978" i="1"/>
  <c r="S407" i="1"/>
  <c r="S722" i="1"/>
  <c r="S538" i="1"/>
  <c r="S161" i="1"/>
  <c r="S660" i="1"/>
  <c r="S182" i="1"/>
  <c r="S599" i="1"/>
  <c r="S831" i="1"/>
  <c r="S388" i="1"/>
  <c r="S800" i="1"/>
  <c r="S490" i="1"/>
  <c r="S33" i="1"/>
  <c r="S468" i="1"/>
  <c r="S941" i="1"/>
  <c r="S213" i="1"/>
  <c r="S101" i="1"/>
  <c r="S134" i="1"/>
  <c r="S245" i="1"/>
  <c r="S554" i="1"/>
  <c r="S539" i="1"/>
  <c r="S821" i="1"/>
  <c r="S165" i="1"/>
  <c r="S459" i="1"/>
  <c r="S159" i="1"/>
  <c r="S788" i="1"/>
  <c r="S850" i="1"/>
  <c r="S363" i="1"/>
  <c r="S246" i="1"/>
  <c r="S193" i="1"/>
  <c r="S555" i="1"/>
  <c r="S600" i="1"/>
  <c r="S668" i="1"/>
  <c r="S996" i="1"/>
  <c r="S207" i="1"/>
  <c r="S524" i="1"/>
  <c r="S247" i="1"/>
  <c r="S815" i="1"/>
  <c r="S479" i="1"/>
  <c r="S480" i="1"/>
  <c r="S844" i="1"/>
  <c r="S321" i="1"/>
  <c r="S285" i="1"/>
  <c r="S344" i="1"/>
  <c r="S214" i="1"/>
  <c r="S893" i="1"/>
  <c r="S23" i="1"/>
  <c r="S372" i="1"/>
  <c r="S1005" i="1"/>
  <c r="S898" i="1"/>
  <c r="S364" i="1"/>
  <c r="S37" i="1"/>
  <c r="S373" i="1"/>
  <c r="S585" i="1"/>
  <c r="S871" i="1"/>
  <c r="S816" i="1"/>
  <c r="S930" i="1"/>
  <c r="S723" i="1"/>
  <c r="S231" i="1"/>
  <c r="S49" i="1"/>
  <c r="S547" i="1"/>
  <c r="S259" i="1"/>
  <c r="S631" i="1"/>
  <c r="S881" i="1"/>
  <c r="S1000" i="1"/>
  <c r="S215" i="1"/>
  <c r="S295" i="1"/>
  <c r="S949" i="1"/>
  <c r="S162" i="1"/>
  <c r="S57" i="1"/>
  <c r="S203" i="1"/>
  <c r="S194" i="1"/>
  <c r="S265" i="1"/>
  <c r="S394" i="1"/>
  <c r="S272" i="1"/>
  <c r="S674" i="1"/>
  <c r="S408" i="1"/>
  <c r="S223" i="1"/>
  <c r="S951" i="1"/>
  <c r="S944" i="1"/>
  <c r="S409" i="1"/>
  <c r="S927" i="1"/>
  <c r="S119" i="1"/>
  <c r="S187" i="1"/>
  <c r="S792" i="1"/>
  <c r="S248" i="1"/>
  <c r="S345" i="1"/>
  <c r="S249" i="1"/>
  <c r="S481" i="1"/>
  <c r="S58" i="1"/>
  <c r="S882" i="1"/>
  <c r="S601" i="1"/>
  <c r="S817" i="1"/>
  <c r="S273" i="1"/>
  <c r="S653" i="1"/>
  <c r="S556" i="1"/>
  <c r="S491" i="1"/>
  <c r="S540" i="1"/>
  <c r="S509" i="1"/>
  <c r="S130" i="1"/>
  <c r="S240" i="1"/>
  <c r="S503" i="1"/>
  <c r="S645" i="1"/>
  <c r="S266" i="1"/>
  <c r="S188" i="1"/>
  <c r="S250" i="1"/>
  <c r="S872" i="1"/>
  <c r="S945" i="1"/>
  <c r="S63" i="1"/>
  <c r="S646" i="1"/>
  <c r="S1009" i="1"/>
  <c r="S232" i="1"/>
  <c r="S883" i="1"/>
  <c r="S594" i="1"/>
  <c r="S969" i="1"/>
  <c r="S739" i="1"/>
  <c r="S135" i="1"/>
  <c r="S46" i="1"/>
  <c r="S565" i="1"/>
  <c r="S389" i="1"/>
  <c r="S904" i="1"/>
  <c r="S1002" i="1"/>
  <c r="S866" i="1"/>
  <c r="S740" i="1"/>
  <c r="S548" i="1"/>
  <c r="S355" i="1"/>
  <c r="S469" i="1"/>
  <c r="S356" i="1"/>
  <c r="S286" i="1"/>
  <c r="S675" i="1"/>
  <c r="S64" i="1"/>
  <c r="S390" i="1"/>
  <c r="S208" i="1"/>
  <c r="S632" i="1"/>
  <c r="S712" i="1"/>
  <c r="S339" i="1"/>
  <c r="S801" i="1"/>
  <c r="S525" i="1"/>
  <c r="S936" i="1"/>
  <c r="S639" i="1"/>
  <c r="S983" i="1"/>
  <c r="S661" i="1"/>
  <c r="S92" i="1"/>
  <c r="S682" i="1"/>
  <c r="S151" i="1"/>
  <c r="S756" i="1"/>
  <c r="S998" i="1"/>
  <c r="S693" i="1"/>
  <c r="S766" i="1"/>
  <c r="S676" i="1"/>
  <c r="S952" i="1"/>
  <c r="S990" i="1"/>
  <c r="S174" i="1"/>
  <c r="S251" i="1"/>
  <c r="S619" i="1"/>
  <c r="S346" i="1"/>
  <c r="S38" i="1"/>
  <c r="S510" i="1"/>
  <c r="S946" i="1"/>
  <c r="S120" i="1"/>
  <c r="S677" i="1"/>
  <c r="S260" i="1"/>
  <c r="S595" i="1"/>
  <c r="S136" i="1"/>
  <c r="S24" i="1"/>
  <c r="S261" i="1"/>
  <c r="S938" i="1"/>
  <c r="S959" i="1"/>
  <c r="S365" i="1"/>
  <c r="S460" i="1"/>
  <c r="S511" i="1"/>
  <c r="S609" i="1"/>
  <c r="S366" i="1"/>
  <c r="S531" i="1"/>
  <c r="S332" i="1"/>
  <c r="S429" i="1"/>
  <c r="S767" i="1"/>
  <c r="S380" i="1"/>
  <c r="S933" i="1"/>
  <c r="S678" i="1"/>
  <c r="S51" i="1"/>
  <c r="S574" i="1"/>
  <c r="S724" i="1"/>
  <c r="S679" i="1"/>
  <c r="S919" i="1"/>
  <c r="S749" i="1"/>
  <c r="S623" i="1"/>
  <c r="S713" i="1"/>
  <c r="S492" i="1"/>
  <c r="S586" i="1"/>
  <c r="S195" i="1"/>
  <c r="S776" i="1"/>
  <c r="S104" i="1"/>
  <c r="S391" i="1"/>
  <c r="S163" i="1"/>
  <c r="S549" i="1"/>
  <c r="S550" i="1"/>
  <c r="S961" i="1"/>
  <c r="S296" i="1"/>
  <c r="S410" i="1"/>
  <c r="S395" i="1"/>
  <c r="S614" i="1"/>
  <c r="S768" i="1"/>
  <c r="S54" i="1"/>
  <c r="S683" i="1"/>
  <c r="S731" i="1"/>
  <c r="S313" i="1"/>
  <c r="S980" i="1"/>
  <c r="S602" i="1"/>
  <c r="S109" i="1"/>
  <c r="S482" i="1"/>
  <c r="S694" i="1"/>
  <c r="S640" i="1"/>
  <c r="S615" i="1"/>
  <c r="S504" i="1"/>
  <c r="S732" i="1"/>
  <c r="S828" i="1"/>
  <c r="S483" i="1"/>
  <c r="S991" i="1"/>
  <c r="S920" i="1"/>
  <c r="S396" i="1"/>
  <c r="S695" i="1"/>
  <c r="S93" i="1"/>
  <c r="S287" i="1"/>
  <c r="S196" i="1"/>
  <c r="S516" i="1"/>
  <c r="S252" i="1"/>
  <c r="S233" i="1"/>
  <c r="S367" i="1"/>
  <c r="S566" i="1"/>
  <c r="S152" i="1"/>
  <c r="S931" i="1"/>
  <c r="S297" i="1"/>
  <c r="S234" i="1"/>
  <c r="S18" i="1"/>
  <c r="S381" i="1"/>
  <c r="S733" i="1"/>
  <c r="S706" i="1"/>
  <c r="S911" i="1"/>
  <c r="S102" i="1"/>
  <c r="S832" i="1"/>
  <c r="S2" i="1"/>
  <c r="S484" i="1"/>
  <c r="S773" i="1"/>
  <c r="S851" i="1"/>
  <c r="S374" i="1"/>
  <c r="S96" i="1"/>
  <c r="S567" i="1"/>
  <c r="S76" i="1"/>
  <c r="S1011" i="1"/>
  <c r="S493" i="1"/>
  <c r="S131" i="1"/>
  <c r="S183" i="1"/>
  <c r="S725" i="1"/>
  <c r="S470" i="1"/>
  <c r="S845" i="1"/>
  <c r="S624" i="1"/>
  <c r="S47" i="1"/>
  <c r="S267" i="1"/>
  <c r="S494" i="1"/>
  <c r="S347" i="1"/>
  <c r="S616" i="1"/>
  <c r="S397" i="1"/>
  <c r="S921" i="1"/>
  <c r="S769" i="1"/>
  <c r="S551" i="1"/>
  <c r="S822" i="1"/>
  <c r="S833" i="1"/>
  <c r="S392" i="1"/>
  <c r="S781" i="1"/>
  <c r="S440" i="1"/>
  <c r="S719" i="1"/>
  <c r="S169" i="1"/>
  <c r="S802" i="1"/>
  <c r="S541" i="1"/>
  <c r="S105" i="1"/>
  <c r="S741" i="1"/>
  <c r="S633" i="1"/>
  <c r="S939" i="1"/>
  <c r="S846" i="1"/>
  <c r="S411" i="1"/>
  <c r="S505" i="1"/>
  <c r="S357" i="1"/>
  <c r="S224" i="1"/>
  <c r="S44" i="1"/>
  <c r="S689" i="1"/>
  <c r="S34" i="1"/>
  <c r="S852" i="1"/>
  <c r="S793" i="1"/>
  <c r="S495" i="1"/>
  <c r="S757" i="1"/>
  <c r="S235" i="1"/>
  <c r="S68" i="1"/>
  <c r="S348" i="1"/>
  <c r="S823" i="1"/>
  <c r="S992" i="1"/>
  <c r="S696" i="1"/>
  <c r="S55" i="1"/>
  <c r="S144" i="1"/>
  <c r="S153" i="1"/>
  <c r="S412" i="1"/>
  <c r="S333" i="1"/>
  <c r="S314" i="1"/>
  <c r="S734" i="1"/>
  <c r="S81" i="1"/>
  <c r="S647" i="1"/>
  <c r="S789" i="1"/>
  <c r="S847" i="1"/>
  <c r="S625" i="1"/>
  <c r="S697" i="1"/>
  <c r="S940" i="1"/>
  <c r="S974" i="1"/>
  <c r="S471" i="1"/>
  <c r="S445" i="1"/>
  <c r="S848" i="1"/>
  <c r="S962" i="1"/>
  <c r="S82" i="1"/>
  <c r="S430" i="1"/>
  <c r="S253" i="1"/>
  <c r="S750" i="1"/>
  <c r="S684" i="1"/>
  <c r="S334" i="1"/>
  <c r="S617" i="1"/>
  <c r="S419" i="1"/>
  <c r="S184" i="1"/>
  <c r="S209" i="1"/>
  <c r="S65" i="1"/>
  <c r="S587" i="1"/>
  <c r="S185" i="1"/>
  <c r="S19" i="1"/>
  <c r="S506" i="1"/>
  <c r="S588" i="1"/>
  <c r="S349" i="1"/>
  <c r="S834" i="1"/>
  <c r="S69" i="1"/>
  <c r="S923" i="1"/>
  <c r="S507" i="1"/>
  <c r="S924" i="1"/>
  <c r="S987" i="1"/>
  <c r="S472" i="1"/>
  <c r="S575" i="1"/>
  <c r="S589" i="1"/>
  <c r="S517" i="1"/>
  <c r="S277" i="1"/>
  <c r="S422" i="1"/>
  <c r="S31" i="1"/>
  <c r="S322" i="1"/>
  <c r="S995" i="1"/>
  <c r="S928" i="1"/>
  <c r="S13" i="1"/>
  <c r="S431" i="1"/>
  <c r="S818" i="1"/>
  <c r="S508" i="1"/>
  <c r="S382" i="1"/>
  <c r="S29" i="1"/>
  <c r="S742" i="1"/>
  <c r="S680" i="1"/>
  <c r="S298" i="1"/>
  <c r="S878" i="1"/>
  <c r="S782" i="1"/>
  <c r="S83" i="1"/>
  <c r="S794" i="1"/>
  <c r="S662" i="1"/>
  <c r="S43" i="1"/>
  <c r="S216" i="1"/>
  <c r="S398" i="1"/>
  <c r="S278" i="1"/>
  <c r="S323" i="1"/>
  <c r="S375" i="1"/>
  <c r="S889" i="1"/>
  <c r="S751" i="1"/>
  <c r="S654" i="1"/>
  <c r="S685" i="1"/>
  <c r="S752" i="1"/>
  <c r="S655" i="1"/>
  <c r="S526" i="1"/>
  <c r="S324" i="1"/>
  <c r="S15" i="1"/>
  <c r="S461" i="1"/>
  <c r="S1012" i="1"/>
  <c r="S835" i="1"/>
  <c r="S358" i="1"/>
  <c r="S279" i="1"/>
  <c r="S698" i="1"/>
  <c r="S1004" i="1"/>
  <c r="S236" i="1"/>
  <c r="S758" i="1"/>
  <c r="S75" i="1"/>
  <c r="S441" i="1"/>
  <c r="S126" i="1"/>
  <c r="S854" i="1"/>
  <c r="S626" i="1"/>
  <c r="S634" i="1"/>
  <c r="S596" i="1"/>
  <c r="S656" i="1"/>
  <c r="S39" i="1"/>
  <c r="S383" i="1"/>
  <c r="S56" i="1"/>
  <c r="S527" i="1"/>
  <c r="S967" i="1"/>
  <c r="S137" i="1"/>
  <c r="S88" i="1"/>
  <c r="S473" i="1"/>
  <c r="S867" i="1"/>
  <c r="S669" i="1"/>
  <c r="S803" i="1"/>
  <c r="S25" i="1"/>
  <c r="S670" i="1"/>
  <c r="S9" i="1"/>
  <c r="S512" i="1"/>
  <c r="S836" i="1"/>
  <c r="S855" i="1"/>
  <c r="S868" i="1"/>
  <c r="S518" i="1"/>
  <c r="S496" i="1"/>
  <c r="S340" i="1"/>
  <c r="S145" i="1"/>
  <c r="S146" i="1"/>
  <c r="S442" i="1"/>
  <c r="S280" i="1"/>
  <c r="S89" i="1"/>
  <c r="S217" i="1"/>
  <c r="S325" i="1"/>
  <c r="S899" i="1"/>
  <c r="S121" i="1"/>
  <c r="S254" i="1"/>
  <c r="S241" i="1"/>
  <c r="S568" i="1"/>
  <c r="S288" i="1"/>
  <c r="S576" i="1"/>
  <c r="S947" i="1"/>
  <c r="S985" i="1"/>
  <c r="S274" i="1"/>
  <c r="S809" i="1"/>
  <c r="S315" i="1"/>
  <c r="S52" i="1"/>
  <c r="S443" i="1"/>
  <c r="S262" i="1"/>
  <c r="S557" i="1"/>
  <c r="S900" i="1"/>
  <c r="S558" i="1"/>
  <c r="S804" i="1"/>
  <c r="S77" i="1"/>
  <c r="S316" i="1"/>
  <c r="S513" i="1"/>
  <c r="S569" i="1"/>
  <c r="S519" i="1"/>
  <c r="S474" i="1"/>
  <c r="S747" i="1"/>
  <c r="S462" i="1"/>
  <c r="S138" i="1"/>
  <c r="S446" i="1"/>
  <c r="S268" i="1"/>
  <c r="S432" i="1"/>
  <c r="S811" i="1"/>
  <c r="S326" i="1"/>
  <c r="S242" i="1"/>
  <c r="S317" i="1"/>
  <c r="S681" i="1"/>
  <c r="S289" i="1"/>
  <c r="S281" i="1"/>
  <c r="S812" i="1"/>
  <c r="S648" i="1"/>
  <c r="S413" i="1"/>
  <c r="S620" i="1"/>
  <c r="S743" i="1"/>
  <c r="S981" i="1"/>
  <c r="S559" i="1"/>
  <c r="S11" i="1"/>
  <c r="S282" i="1"/>
  <c r="S283" i="1"/>
  <c r="S837" i="1"/>
  <c r="S66" i="1"/>
  <c r="S838" i="1"/>
  <c r="S290" i="1"/>
  <c r="S341" i="1"/>
  <c r="S291" i="1"/>
  <c r="S759" i="1"/>
  <c r="S112" i="1"/>
  <c r="S154" i="1"/>
  <c r="S520" i="1"/>
  <c r="S399" i="1"/>
  <c r="S958" i="1"/>
  <c r="S175" i="1"/>
  <c r="S560" i="1"/>
  <c r="S97" i="1"/>
  <c r="S577" i="1"/>
  <c r="S635" i="1"/>
  <c r="S532" i="1"/>
  <c r="S976" i="1"/>
  <c r="S699" i="1"/>
  <c r="S110" i="1"/>
  <c r="S805" i="1"/>
  <c r="S59" i="1"/>
  <c r="S777" i="1"/>
  <c r="S7" i="1"/>
  <c r="S160" i="1"/>
  <c r="S497" i="1"/>
  <c r="S103" i="1"/>
  <c r="S327" i="1"/>
  <c r="S16" i="1"/>
  <c r="S299" i="1"/>
  <c r="S166" i="1"/>
  <c r="S498" i="1"/>
  <c r="S726" i="1"/>
  <c r="S122" i="1"/>
  <c r="S912" i="1"/>
  <c r="S942" i="1"/>
  <c r="S300" i="1"/>
  <c r="S376" i="1"/>
  <c r="S707" i="1"/>
  <c r="S139" i="1"/>
  <c r="S950" i="1"/>
  <c r="S304" i="1"/>
  <c r="S901" i="1"/>
  <c r="S50" i="1"/>
  <c r="S890" i="1"/>
  <c r="S760" i="1"/>
  <c r="S657" i="1"/>
  <c r="S111" i="1"/>
  <c r="S597" i="1"/>
  <c r="S305" i="1"/>
  <c r="S708" i="1"/>
  <c r="S306" i="1"/>
  <c r="S869" i="1"/>
  <c r="S155" i="1"/>
  <c r="S499" i="1"/>
  <c r="S824" i="1"/>
  <c r="S307" i="1"/>
  <c r="S393" i="1"/>
  <c r="S521" i="1"/>
  <c r="S753" i="1"/>
  <c r="S744" i="1"/>
  <c r="S447" i="1"/>
  <c r="S485" i="1"/>
  <c r="S263" i="1"/>
  <c r="S123" i="1"/>
  <c r="S774" i="1"/>
  <c r="S48" i="1"/>
  <c r="S778" i="1"/>
  <c r="S433" i="1"/>
  <c r="S709" i="1"/>
  <c r="S328" i="1"/>
  <c r="S618" i="1"/>
  <c r="S810" i="1"/>
  <c r="S164" i="1"/>
  <c r="S627" i="1"/>
  <c r="S663" i="1"/>
  <c r="S368" i="1"/>
  <c r="S434" i="1"/>
  <c r="S542" i="1"/>
  <c r="S400" i="1"/>
  <c r="S714" i="1"/>
  <c r="S873" i="1"/>
  <c r="S335" i="1"/>
  <c r="S603" i="1"/>
  <c r="S359" i="1"/>
  <c r="S604" i="1"/>
  <c r="S795" i="1"/>
  <c r="S448" i="1"/>
  <c r="S965" i="1"/>
  <c r="S243" i="1"/>
  <c r="S84" i="1"/>
  <c r="S813" i="1"/>
  <c r="S127" i="1"/>
  <c r="S170" i="1"/>
  <c r="S727" i="1"/>
  <c r="S128" i="1"/>
  <c r="S953" i="1"/>
  <c r="S284" i="1"/>
  <c r="S1003" i="1"/>
  <c r="S578" i="1"/>
  <c r="S690" i="1"/>
  <c r="S748" i="1"/>
  <c r="S561" i="1"/>
  <c r="S444" i="1"/>
  <c r="S132" i="1"/>
  <c r="S894" i="1"/>
  <c r="S543" i="1"/>
  <c r="S435" i="1"/>
  <c r="S862" i="1"/>
  <c r="S658" i="1"/>
  <c r="S783" i="1"/>
  <c r="S449" i="1"/>
  <c r="S275" i="1"/>
  <c r="S35" i="1"/>
  <c r="S113" i="1"/>
  <c r="S292" i="1"/>
  <c r="S269" i="1"/>
  <c r="S414" i="1"/>
  <c r="S954" i="1"/>
  <c r="S237" i="1"/>
  <c r="S784" i="1"/>
  <c r="S971" i="1"/>
  <c r="S909" i="1"/>
  <c r="S641" i="1"/>
  <c r="S156" i="1"/>
  <c r="S225" i="1"/>
  <c r="S60" i="1"/>
  <c r="S761" i="1"/>
  <c r="S463" i="1"/>
  <c r="S913" i="1"/>
  <c r="S106" i="1"/>
  <c r="S664" i="1"/>
  <c r="S85" i="1"/>
  <c r="S856" i="1"/>
  <c r="S189" i="1"/>
  <c r="S819" i="1"/>
  <c r="S628" i="1"/>
  <c r="S579" i="1"/>
  <c r="S436" i="1"/>
  <c r="S218" i="1"/>
  <c r="S715" i="1"/>
  <c r="S691" i="1"/>
  <c r="S140" i="1"/>
  <c r="S972" i="1"/>
  <c r="S147" i="1"/>
  <c r="S853" i="1"/>
  <c r="S544" i="1"/>
  <c r="S580" i="1"/>
  <c r="S219" i="1"/>
  <c r="S762" i="1"/>
  <c r="S384" i="1"/>
  <c r="S925" i="1"/>
  <c r="S728" i="1"/>
  <c r="S989" i="1"/>
  <c r="S293" i="1"/>
  <c r="S754" i="1"/>
  <c r="S94" i="1"/>
  <c r="S86" i="1"/>
  <c r="S763" i="1"/>
  <c r="S533" i="1"/>
  <c r="S318" i="1"/>
  <c r="S486" i="1"/>
  <c r="S598" i="1"/>
  <c r="S70" i="1"/>
  <c r="S437" i="1"/>
  <c r="S671" i="1"/>
  <c r="S17" i="1"/>
  <c r="S450" i="1"/>
  <c r="S308" i="1"/>
  <c r="S884" i="1"/>
  <c r="S255" i="1"/>
  <c r="S764" i="1"/>
  <c r="S114" i="1"/>
  <c r="S970" i="1"/>
  <c r="S336" i="1"/>
  <c r="S27" i="1"/>
  <c r="S124" i="1"/>
  <c r="S785" i="1"/>
  <c r="S902" i="1"/>
  <c r="S319" i="1"/>
  <c r="S863" i="1"/>
  <c r="S975" i="1"/>
  <c r="S369" i="1"/>
  <c r="S167" i="1"/>
  <c r="S78" i="1"/>
  <c r="S775" i="1"/>
  <c r="S438" i="1"/>
  <c r="S157" i="1"/>
  <c r="S735" i="1"/>
  <c r="S423" i="1"/>
  <c r="S401" i="1"/>
  <c r="S590" i="1"/>
  <c r="S424" i="1"/>
  <c r="S451" i="1"/>
  <c r="S993" i="1"/>
  <c r="S986" i="1"/>
  <c r="S370" i="1"/>
  <c r="S21" i="1"/>
  <c r="S642" i="1"/>
  <c r="S452" i="1"/>
  <c r="S905" i="1"/>
  <c r="S79" i="1"/>
  <c r="S80" i="1"/>
  <c r="S610" i="1"/>
  <c r="S210" i="1"/>
  <c r="S611" i="1"/>
  <c r="S988" i="1"/>
  <c r="S999" i="1"/>
  <c r="S350" i="1"/>
  <c r="S649" i="1"/>
  <c r="S309" i="1"/>
  <c r="S98" i="1"/>
  <c r="S310" i="1"/>
  <c r="S963" i="1"/>
  <c r="S12" i="1"/>
  <c r="S226" i="1"/>
  <c r="S176" i="1"/>
  <c r="S829" i="1"/>
  <c r="S115" i="1"/>
  <c r="S402" i="1"/>
  <c r="S914" i="1"/>
  <c r="S915" i="1"/>
  <c r="S227" i="1"/>
  <c r="S686" i="1"/>
  <c r="S716" i="1"/>
  <c r="S796" i="1"/>
  <c r="S500" i="1"/>
  <c r="S3" i="1"/>
  <c r="S825" i="1"/>
  <c r="S403" i="1"/>
  <c r="S32" i="1"/>
  <c r="S475" i="1"/>
  <c r="S934" i="1"/>
  <c r="S501" i="1"/>
  <c r="S650" i="1"/>
  <c r="S415" i="1"/>
  <c r="S545" i="1"/>
  <c r="S736" i="1"/>
  <c r="S552" i="1"/>
  <c r="S937" i="1"/>
  <c r="S839" i="1"/>
  <c r="S425" i="1"/>
  <c r="S672" i="1"/>
  <c r="S487" i="1"/>
  <c r="S895" i="1"/>
  <c r="S40" i="1"/>
  <c r="S605" i="1"/>
  <c r="S700" i="1"/>
  <c r="S737" i="1"/>
  <c r="S129" i="1"/>
  <c r="S404" i="1"/>
  <c r="S439" i="1"/>
  <c r="S71" i="1"/>
  <c r="S426" i="1"/>
  <c r="S651" i="1"/>
  <c r="S629" i="1"/>
  <c r="S729" i="1"/>
  <c r="S168" i="1"/>
  <c r="S770" i="1"/>
  <c r="S864" i="1"/>
  <c r="S488" i="1"/>
  <c r="S204" i="1"/>
  <c r="S228" i="1"/>
  <c r="S351" i="1"/>
  <c r="S786" i="1"/>
  <c r="S528" i="1"/>
  <c r="S606" i="1"/>
  <c r="S125" i="1"/>
  <c r="S14" i="1"/>
  <c r="S771" i="1"/>
  <c r="S294" i="1"/>
  <c r="S692" i="1"/>
  <c r="S840" i="1"/>
  <c r="S4" i="1"/>
  <c r="S385" i="1"/>
  <c r="S630" i="1"/>
  <c r="S502" i="1"/>
  <c r="S948" i="1"/>
  <c r="S636" i="1"/>
  <c r="S427" i="1"/>
  <c r="S197" i="1"/>
  <c r="S20" i="1"/>
  <c r="S360" i="1"/>
  <c r="S790" i="1"/>
  <c r="S717" i="1"/>
  <c r="S652" i="1"/>
  <c r="S329" i="1"/>
  <c r="S665" i="1"/>
  <c r="S643" i="1"/>
  <c r="S903" i="1"/>
  <c r="S28" i="1"/>
  <c r="S1013" i="1"/>
  <c r="S211" i="1"/>
  <c r="S133" i="1"/>
  <c r="S107" i="1"/>
  <c r="S264" i="1"/>
  <c r="S797" i="1"/>
  <c r="S870" i="1"/>
  <c r="S256" i="1"/>
  <c r="S935" i="1"/>
  <c r="S220" i="1"/>
  <c r="S177" i="1"/>
  <c r="S311" i="1"/>
  <c r="S464" i="1"/>
  <c r="S453" i="1"/>
  <c r="S621" i="1"/>
  <c r="S26" i="1"/>
  <c r="S738" i="1"/>
  <c r="S570" i="1"/>
  <c r="S330" i="1"/>
  <c r="S141" i="1"/>
  <c r="S238" i="1"/>
  <c r="S955" i="1"/>
  <c r="S896" i="1"/>
  <c r="S1008" i="1"/>
  <c r="S806" i="1"/>
  <c r="S1010" i="1"/>
  <c r="S61" i="1"/>
  <c r="S95" i="1"/>
  <c r="S906" i="1"/>
  <c r="S465" i="1"/>
  <c r="S874" i="1"/>
  <c r="S897" i="1"/>
  <c r="S984" i="1"/>
  <c r="R361" i="1"/>
  <c r="R820" i="1"/>
  <c r="R30" i="1"/>
  <c r="R875" i="1"/>
  <c r="R270" i="1"/>
  <c r="R244" i="1"/>
  <c r="R36" i="1"/>
  <c r="R964" i="1"/>
  <c r="R562" i="1"/>
  <c r="R876" i="1"/>
  <c r="R779" i="1"/>
  <c r="R929" i="1"/>
  <c r="R352" i="1"/>
  <c r="R342" i="1"/>
  <c r="R798" i="1"/>
  <c r="R331" i="1"/>
  <c r="R74" i="1"/>
  <c r="R1006" i="1"/>
  <c r="R932" i="1"/>
  <c r="R720" i="1"/>
  <c r="R534" i="1"/>
  <c r="R428" i="1"/>
  <c r="R857" i="1"/>
  <c r="R386" i="1"/>
  <c r="R301" i="1"/>
  <c r="R353" i="1"/>
  <c r="R687" i="1"/>
  <c r="R420" i="1"/>
  <c r="R476" i="1"/>
  <c r="R454" i="1"/>
  <c r="R371" i="1"/>
  <c r="R612" i="1"/>
  <c r="R581" i="1"/>
  <c r="R966" i="1"/>
  <c r="R62" i="1"/>
  <c r="R178" i="1"/>
  <c r="R198" i="1"/>
  <c r="R721" i="1"/>
  <c r="R116" i="1"/>
  <c r="R745" i="1"/>
  <c r="R746" i="1"/>
  <c r="R529" i="1"/>
  <c r="R701" i="1"/>
  <c r="R607" i="1"/>
  <c r="R807" i="1"/>
  <c r="R702" i="1"/>
  <c r="R659" i="1"/>
  <c r="R405" i="1"/>
  <c r="R455" i="1"/>
  <c r="R142" i="1"/>
  <c r="R826" i="1"/>
  <c r="R891" i="1"/>
  <c r="R916" i="1"/>
  <c r="R179" i="1"/>
  <c r="R171" i="1"/>
  <c r="R973" i="1"/>
  <c r="R117" i="1"/>
  <c r="R827" i="1"/>
  <c r="R710" i="1"/>
  <c r="R1014" i="1"/>
  <c r="R302" i="1"/>
  <c r="R982" i="1"/>
  <c r="R688" i="1"/>
  <c r="R343" i="1"/>
  <c r="R703" i="1"/>
  <c r="R591" i="1"/>
  <c r="R968" i="1"/>
  <c r="R466" i="1"/>
  <c r="R979" i="1"/>
  <c r="R808" i="1"/>
  <c r="R571" i="1"/>
  <c r="R666" i="1"/>
  <c r="R910" i="1"/>
  <c r="R718" i="1"/>
  <c r="R917" i="1"/>
  <c r="R960" i="1"/>
  <c r="R1007" i="1"/>
  <c r="R190" i="1"/>
  <c r="R456" i="1"/>
  <c r="R535" i="1"/>
  <c r="R885" i="1"/>
  <c r="R918" i="1"/>
  <c r="R858" i="1"/>
  <c r="R530" i="1"/>
  <c r="R977" i="1"/>
  <c r="R221" i="1"/>
  <c r="R148" i="1"/>
  <c r="R377" i="1"/>
  <c r="R563" i="1"/>
  <c r="R180" i="1"/>
  <c r="R421" i="1"/>
  <c r="R994" i="1"/>
  <c r="R337" i="1"/>
  <c r="R922" i="1"/>
  <c r="R99" i="1"/>
  <c r="R181" i="1"/>
  <c r="R582" i="1"/>
  <c r="R477" i="1"/>
  <c r="R622" i="1"/>
  <c r="R572" i="1"/>
  <c r="R406" i="1"/>
  <c r="R378" i="1"/>
  <c r="R67" i="1"/>
  <c r="R859" i="1"/>
  <c r="R41" i="1"/>
  <c r="R956" i="1"/>
  <c r="R22" i="1"/>
  <c r="R583" i="1"/>
  <c r="R536" i="1"/>
  <c r="R926" i="1"/>
  <c r="R72" i="1"/>
  <c r="R772" i="1"/>
  <c r="R841" i="1"/>
  <c r="R787" i="1"/>
  <c r="R5" i="1"/>
  <c r="R222" i="1"/>
  <c r="R172" i="1"/>
  <c r="R191" i="1"/>
  <c r="R711" i="1"/>
  <c r="R613" i="1"/>
  <c r="R87" i="1"/>
  <c r="R45" i="1"/>
  <c r="R42" i="1"/>
  <c r="R704" i="1"/>
  <c r="R212" i="1"/>
  <c r="R53" i="1"/>
  <c r="R457" i="1"/>
  <c r="R379" i="1"/>
  <c r="R199" i="1"/>
  <c r="R860" i="1"/>
  <c r="R108" i="1"/>
  <c r="R943" i="1"/>
  <c r="R257" i="1"/>
  <c r="R186" i="1"/>
  <c r="R276" i="1"/>
  <c r="R799" i="1"/>
  <c r="R886" i="1"/>
  <c r="R667" i="1"/>
  <c r="R957" i="1"/>
  <c r="R514" i="1"/>
  <c r="R354" i="1"/>
  <c r="R637" i="1"/>
  <c r="R861" i="1"/>
  <c r="R879" i="1"/>
  <c r="R192" i="1"/>
  <c r="R997" i="1"/>
  <c r="R149" i="1"/>
  <c r="R458" i="1"/>
  <c r="R312" i="1"/>
  <c r="R10" i="1"/>
  <c r="R537" i="1"/>
  <c r="R416" i="1"/>
  <c r="R564" i="1"/>
  <c r="R865" i="1"/>
  <c r="R608" i="1"/>
  <c r="R150" i="1"/>
  <c r="R362" i="1"/>
  <c r="R673" i="1"/>
  <c r="R229" i="1"/>
  <c r="R592" i="1"/>
  <c r="R230" i="1"/>
  <c r="R143" i="1"/>
  <c r="R842" i="1"/>
  <c r="R843" i="1"/>
  <c r="R73" i="1"/>
  <c r="R8" i="1"/>
  <c r="R830" i="1"/>
  <c r="R417" i="1"/>
  <c r="R271" i="1"/>
  <c r="R418" i="1"/>
  <c r="R887" i="1"/>
  <c r="R730" i="1"/>
  <c r="R158" i="1"/>
  <c r="R522" i="1"/>
  <c r="R877" i="1"/>
  <c r="R90" i="1"/>
  <c r="R814" i="1"/>
  <c r="R303" i="1"/>
  <c r="R644" i="1"/>
  <c r="R6" i="1"/>
  <c r="R478" i="1"/>
  <c r="R705" i="1"/>
  <c r="R880" i="1"/>
  <c r="R489" i="1"/>
  <c r="R888" i="1"/>
  <c r="R546" i="1"/>
  <c r="R338" i="1"/>
  <c r="R553" i="1"/>
  <c r="R892" i="1"/>
  <c r="R118" i="1"/>
  <c r="R523" i="1"/>
  <c r="R200" i="1"/>
  <c r="R593" i="1"/>
  <c r="R515" i="1"/>
  <c r="R201" i="1"/>
  <c r="R755" i="1"/>
  <c r="R584" i="1"/>
  <c r="R791" i="1"/>
  <c r="R849" i="1"/>
  <c r="R239" i="1"/>
  <c r="R205" i="1"/>
  <c r="R907" i="1"/>
  <c r="R387" i="1"/>
  <c r="R573" i="1"/>
  <c r="R908" i="1"/>
  <c r="R320" i="1"/>
  <c r="R467" i="1"/>
  <c r="R206" i="1"/>
  <c r="R258" i="1"/>
  <c r="R638" i="1"/>
  <c r="R202" i="1"/>
  <c r="R1001" i="1"/>
  <c r="R780" i="1"/>
  <c r="R765" i="1"/>
  <c r="R91" i="1"/>
  <c r="R173" i="1"/>
  <c r="R100" i="1"/>
  <c r="R978" i="1"/>
  <c r="R407" i="1"/>
  <c r="R722" i="1"/>
  <c r="R538" i="1"/>
  <c r="R161" i="1"/>
  <c r="R660" i="1"/>
  <c r="R182" i="1"/>
  <c r="R599" i="1"/>
  <c r="R831" i="1"/>
  <c r="R388" i="1"/>
  <c r="R800" i="1"/>
  <c r="R490" i="1"/>
  <c r="R33" i="1"/>
  <c r="R468" i="1"/>
  <c r="R941" i="1"/>
  <c r="R213" i="1"/>
  <c r="R101" i="1"/>
  <c r="R134" i="1"/>
  <c r="R245" i="1"/>
  <c r="R554" i="1"/>
  <c r="R539" i="1"/>
  <c r="R821" i="1"/>
  <c r="R165" i="1"/>
  <c r="R459" i="1"/>
  <c r="R159" i="1"/>
  <c r="R788" i="1"/>
  <c r="R850" i="1"/>
  <c r="R363" i="1"/>
  <c r="R246" i="1"/>
  <c r="R193" i="1"/>
  <c r="R555" i="1"/>
  <c r="R600" i="1"/>
  <c r="R668" i="1"/>
  <c r="R996" i="1"/>
  <c r="R207" i="1"/>
  <c r="R524" i="1"/>
  <c r="R247" i="1"/>
  <c r="R815" i="1"/>
  <c r="R479" i="1"/>
  <c r="R480" i="1"/>
  <c r="R844" i="1"/>
  <c r="R321" i="1"/>
  <c r="R285" i="1"/>
  <c r="R344" i="1"/>
  <c r="R214" i="1"/>
  <c r="R893" i="1"/>
  <c r="R23" i="1"/>
  <c r="R372" i="1"/>
  <c r="R1005" i="1"/>
  <c r="R898" i="1"/>
  <c r="R364" i="1"/>
  <c r="R37" i="1"/>
  <c r="R373" i="1"/>
  <c r="R585" i="1"/>
  <c r="R871" i="1"/>
  <c r="R816" i="1"/>
  <c r="R930" i="1"/>
  <c r="R723" i="1"/>
  <c r="R231" i="1"/>
  <c r="R49" i="1"/>
  <c r="R547" i="1"/>
  <c r="R259" i="1"/>
  <c r="R631" i="1"/>
  <c r="R881" i="1"/>
  <c r="R1000" i="1"/>
  <c r="R215" i="1"/>
  <c r="R295" i="1"/>
  <c r="R949" i="1"/>
  <c r="R162" i="1"/>
  <c r="R57" i="1"/>
  <c r="R203" i="1"/>
  <c r="R194" i="1"/>
  <c r="R265" i="1"/>
  <c r="R394" i="1"/>
  <c r="R272" i="1"/>
  <c r="R674" i="1"/>
  <c r="R408" i="1"/>
  <c r="R223" i="1"/>
  <c r="R951" i="1"/>
  <c r="R944" i="1"/>
  <c r="R409" i="1"/>
  <c r="R927" i="1"/>
  <c r="R119" i="1"/>
  <c r="R187" i="1"/>
  <c r="R792" i="1"/>
  <c r="R248" i="1"/>
  <c r="R345" i="1"/>
  <c r="R249" i="1"/>
  <c r="R481" i="1"/>
  <c r="R58" i="1"/>
  <c r="R882" i="1"/>
  <c r="R601" i="1"/>
  <c r="R817" i="1"/>
  <c r="R273" i="1"/>
  <c r="R653" i="1"/>
  <c r="R556" i="1"/>
  <c r="R491" i="1"/>
  <c r="R540" i="1"/>
  <c r="R509" i="1"/>
  <c r="R130" i="1"/>
  <c r="R240" i="1"/>
  <c r="R503" i="1"/>
  <c r="R645" i="1"/>
  <c r="R266" i="1"/>
  <c r="R188" i="1"/>
  <c r="R250" i="1"/>
  <c r="R872" i="1"/>
  <c r="R945" i="1"/>
  <c r="R63" i="1"/>
  <c r="R646" i="1"/>
  <c r="R1009" i="1"/>
  <c r="R232" i="1"/>
  <c r="R883" i="1"/>
  <c r="R594" i="1"/>
  <c r="R969" i="1"/>
  <c r="R739" i="1"/>
  <c r="R135" i="1"/>
  <c r="R46" i="1"/>
  <c r="R565" i="1"/>
  <c r="R389" i="1"/>
  <c r="R904" i="1"/>
  <c r="R1002" i="1"/>
  <c r="R866" i="1"/>
  <c r="R740" i="1"/>
  <c r="R548" i="1"/>
  <c r="R355" i="1"/>
  <c r="R469" i="1"/>
  <c r="R356" i="1"/>
  <c r="R286" i="1"/>
  <c r="R675" i="1"/>
  <c r="R64" i="1"/>
  <c r="R390" i="1"/>
  <c r="R208" i="1"/>
  <c r="R632" i="1"/>
  <c r="R712" i="1"/>
  <c r="R339" i="1"/>
  <c r="R801" i="1"/>
  <c r="R525" i="1"/>
  <c r="R936" i="1"/>
  <c r="R639" i="1"/>
  <c r="R983" i="1"/>
  <c r="R661" i="1"/>
  <c r="R92" i="1"/>
  <c r="R682" i="1"/>
  <c r="R151" i="1"/>
  <c r="R756" i="1"/>
  <c r="R998" i="1"/>
  <c r="R693" i="1"/>
  <c r="R766" i="1"/>
  <c r="R676" i="1"/>
  <c r="R952" i="1"/>
  <c r="R990" i="1"/>
  <c r="R174" i="1"/>
  <c r="R251" i="1"/>
  <c r="R619" i="1"/>
  <c r="R346" i="1"/>
  <c r="R38" i="1"/>
  <c r="R510" i="1"/>
  <c r="R946" i="1"/>
  <c r="R120" i="1"/>
  <c r="R677" i="1"/>
  <c r="R260" i="1"/>
  <c r="R595" i="1"/>
  <c r="R136" i="1"/>
  <c r="R24" i="1"/>
  <c r="R261" i="1"/>
  <c r="R938" i="1"/>
  <c r="R959" i="1"/>
  <c r="R365" i="1"/>
  <c r="R460" i="1"/>
  <c r="R511" i="1"/>
  <c r="R609" i="1"/>
  <c r="R366" i="1"/>
  <c r="R531" i="1"/>
  <c r="R332" i="1"/>
  <c r="R429" i="1"/>
  <c r="R767" i="1"/>
  <c r="R380" i="1"/>
  <c r="R933" i="1"/>
  <c r="R678" i="1"/>
  <c r="R51" i="1"/>
  <c r="R574" i="1"/>
  <c r="R724" i="1"/>
  <c r="R679" i="1"/>
  <c r="R919" i="1"/>
  <c r="R749" i="1"/>
  <c r="R623" i="1"/>
  <c r="R713" i="1"/>
  <c r="R492" i="1"/>
  <c r="R586" i="1"/>
  <c r="R195" i="1"/>
  <c r="R776" i="1"/>
  <c r="R104" i="1"/>
  <c r="R391" i="1"/>
  <c r="R163" i="1"/>
  <c r="R549" i="1"/>
  <c r="R550" i="1"/>
  <c r="R961" i="1"/>
  <c r="R296" i="1"/>
  <c r="R410" i="1"/>
  <c r="R395" i="1"/>
  <c r="R614" i="1"/>
  <c r="R768" i="1"/>
  <c r="R54" i="1"/>
  <c r="R683" i="1"/>
  <c r="R731" i="1"/>
  <c r="R313" i="1"/>
  <c r="R980" i="1"/>
  <c r="R602" i="1"/>
  <c r="R109" i="1"/>
  <c r="R482" i="1"/>
  <c r="R694" i="1"/>
  <c r="R640" i="1"/>
  <c r="R615" i="1"/>
  <c r="R504" i="1"/>
  <c r="R732" i="1"/>
  <c r="R828" i="1"/>
  <c r="R483" i="1"/>
  <c r="R991" i="1"/>
  <c r="R920" i="1"/>
  <c r="R396" i="1"/>
  <c r="R695" i="1"/>
  <c r="R93" i="1"/>
  <c r="R287" i="1"/>
  <c r="R196" i="1"/>
  <c r="R516" i="1"/>
  <c r="R252" i="1"/>
  <c r="R233" i="1"/>
  <c r="R367" i="1"/>
  <c r="R566" i="1"/>
  <c r="R152" i="1"/>
  <c r="R931" i="1"/>
  <c r="R297" i="1"/>
  <c r="R234" i="1"/>
  <c r="R18" i="1"/>
  <c r="R381" i="1"/>
  <c r="R733" i="1"/>
  <c r="R706" i="1"/>
  <c r="R911" i="1"/>
  <c r="R102" i="1"/>
  <c r="R832" i="1"/>
  <c r="R2" i="1"/>
  <c r="R484" i="1"/>
  <c r="R773" i="1"/>
  <c r="R851" i="1"/>
  <c r="R374" i="1"/>
  <c r="R96" i="1"/>
  <c r="R567" i="1"/>
  <c r="R76" i="1"/>
  <c r="R1011" i="1"/>
  <c r="R493" i="1"/>
  <c r="R131" i="1"/>
  <c r="R183" i="1"/>
  <c r="R725" i="1"/>
  <c r="R470" i="1"/>
  <c r="R845" i="1"/>
  <c r="R624" i="1"/>
  <c r="R47" i="1"/>
  <c r="R267" i="1"/>
  <c r="R494" i="1"/>
  <c r="R347" i="1"/>
  <c r="R616" i="1"/>
  <c r="R397" i="1"/>
  <c r="R921" i="1"/>
  <c r="R769" i="1"/>
  <c r="R551" i="1"/>
  <c r="R822" i="1"/>
  <c r="R833" i="1"/>
  <c r="R392" i="1"/>
  <c r="R781" i="1"/>
  <c r="R440" i="1"/>
  <c r="R719" i="1"/>
  <c r="R169" i="1"/>
  <c r="R802" i="1"/>
  <c r="R541" i="1"/>
  <c r="R105" i="1"/>
  <c r="R741" i="1"/>
  <c r="R633" i="1"/>
  <c r="R939" i="1"/>
  <c r="R846" i="1"/>
  <c r="R411" i="1"/>
  <c r="R505" i="1"/>
  <c r="R357" i="1"/>
  <c r="R224" i="1"/>
  <c r="R44" i="1"/>
  <c r="R689" i="1"/>
  <c r="R34" i="1"/>
  <c r="R852" i="1"/>
  <c r="R793" i="1"/>
  <c r="R495" i="1"/>
  <c r="R757" i="1"/>
  <c r="R235" i="1"/>
  <c r="R68" i="1"/>
  <c r="R348" i="1"/>
  <c r="R823" i="1"/>
  <c r="R992" i="1"/>
  <c r="R696" i="1"/>
  <c r="R55" i="1"/>
  <c r="R144" i="1"/>
  <c r="R153" i="1"/>
  <c r="R412" i="1"/>
  <c r="R333" i="1"/>
  <c r="R314" i="1"/>
  <c r="R734" i="1"/>
  <c r="R81" i="1"/>
  <c r="R647" i="1"/>
  <c r="R789" i="1"/>
  <c r="R847" i="1"/>
  <c r="R625" i="1"/>
  <c r="R697" i="1"/>
  <c r="R940" i="1"/>
  <c r="R974" i="1"/>
  <c r="R471" i="1"/>
  <c r="R445" i="1"/>
  <c r="R848" i="1"/>
  <c r="R962" i="1"/>
  <c r="R82" i="1"/>
  <c r="R430" i="1"/>
  <c r="R253" i="1"/>
  <c r="R750" i="1"/>
  <c r="R684" i="1"/>
  <c r="R334" i="1"/>
  <c r="R617" i="1"/>
  <c r="R419" i="1"/>
  <c r="R184" i="1"/>
  <c r="R209" i="1"/>
  <c r="R65" i="1"/>
  <c r="R587" i="1"/>
  <c r="R185" i="1"/>
  <c r="R19" i="1"/>
  <c r="R506" i="1"/>
  <c r="R588" i="1"/>
  <c r="R349" i="1"/>
  <c r="R834" i="1"/>
  <c r="R69" i="1"/>
  <c r="R923" i="1"/>
  <c r="R507" i="1"/>
  <c r="R924" i="1"/>
  <c r="R987" i="1"/>
  <c r="R472" i="1"/>
  <c r="R575" i="1"/>
  <c r="R589" i="1"/>
  <c r="R517" i="1"/>
  <c r="R277" i="1"/>
  <c r="R422" i="1"/>
  <c r="R31" i="1"/>
  <c r="R322" i="1"/>
  <c r="R995" i="1"/>
  <c r="R928" i="1"/>
  <c r="R13" i="1"/>
  <c r="R431" i="1"/>
  <c r="R818" i="1"/>
  <c r="R508" i="1"/>
  <c r="R382" i="1"/>
  <c r="R29" i="1"/>
  <c r="R742" i="1"/>
  <c r="R680" i="1"/>
  <c r="R298" i="1"/>
  <c r="R878" i="1"/>
  <c r="R782" i="1"/>
  <c r="R83" i="1"/>
  <c r="R794" i="1"/>
  <c r="R662" i="1"/>
  <c r="R43" i="1"/>
  <c r="R216" i="1"/>
  <c r="R398" i="1"/>
  <c r="R278" i="1"/>
  <c r="R323" i="1"/>
  <c r="R375" i="1"/>
  <c r="R889" i="1"/>
  <c r="R751" i="1"/>
  <c r="R654" i="1"/>
  <c r="R685" i="1"/>
  <c r="R752" i="1"/>
  <c r="R655" i="1"/>
  <c r="R526" i="1"/>
  <c r="R324" i="1"/>
  <c r="R15" i="1"/>
  <c r="R461" i="1"/>
  <c r="R1012" i="1"/>
  <c r="R835" i="1"/>
  <c r="R358" i="1"/>
  <c r="R279" i="1"/>
  <c r="R698" i="1"/>
  <c r="R1004" i="1"/>
  <c r="R236" i="1"/>
  <c r="R758" i="1"/>
  <c r="R75" i="1"/>
  <c r="R441" i="1"/>
  <c r="R126" i="1"/>
  <c r="R854" i="1"/>
  <c r="R626" i="1"/>
  <c r="R634" i="1"/>
  <c r="R596" i="1"/>
  <c r="R656" i="1"/>
  <c r="R39" i="1"/>
  <c r="R383" i="1"/>
  <c r="R56" i="1"/>
  <c r="R527" i="1"/>
  <c r="R967" i="1"/>
  <c r="R137" i="1"/>
  <c r="R88" i="1"/>
  <c r="R473" i="1"/>
  <c r="R867" i="1"/>
  <c r="R669" i="1"/>
  <c r="R803" i="1"/>
  <c r="R25" i="1"/>
  <c r="R670" i="1"/>
  <c r="R9" i="1"/>
  <c r="R512" i="1"/>
  <c r="R836" i="1"/>
  <c r="R855" i="1"/>
  <c r="R868" i="1"/>
  <c r="R518" i="1"/>
  <c r="R496" i="1"/>
  <c r="R340" i="1"/>
  <c r="R145" i="1"/>
  <c r="R146" i="1"/>
  <c r="R442" i="1"/>
  <c r="R280" i="1"/>
  <c r="R89" i="1"/>
  <c r="R217" i="1"/>
  <c r="R325" i="1"/>
  <c r="R899" i="1"/>
  <c r="R121" i="1"/>
  <c r="R254" i="1"/>
  <c r="R241" i="1"/>
  <c r="R568" i="1"/>
  <c r="R288" i="1"/>
  <c r="R576" i="1"/>
  <c r="R947" i="1"/>
  <c r="R985" i="1"/>
  <c r="R274" i="1"/>
  <c r="R809" i="1"/>
  <c r="R315" i="1"/>
  <c r="R52" i="1"/>
  <c r="R443" i="1"/>
  <c r="R262" i="1"/>
  <c r="R557" i="1"/>
  <c r="R900" i="1"/>
  <c r="R558" i="1"/>
  <c r="R804" i="1"/>
  <c r="R77" i="1"/>
  <c r="R316" i="1"/>
  <c r="R513" i="1"/>
  <c r="R569" i="1"/>
  <c r="R519" i="1"/>
  <c r="R474" i="1"/>
  <c r="R747" i="1"/>
  <c r="R462" i="1"/>
  <c r="R138" i="1"/>
  <c r="R446" i="1"/>
  <c r="R268" i="1"/>
  <c r="R432" i="1"/>
  <c r="R811" i="1"/>
  <c r="R326" i="1"/>
  <c r="R242" i="1"/>
  <c r="R317" i="1"/>
  <c r="R681" i="1"/>
  <c r="R289" i="1"/>
  <c r="R281" i="1"/>
  <c r="R812" i="1"/>
  <c r="R648" i="1"/>
  <c r="R413" i="1"/>
  <c r="R620" i="1"/>
  <c r="R743" i="1"/>
  <c r="R981" i="1"/>
  <c r="R559" i="1"/>
  <c r="R11" i="1"/>
  <c r="R282" i="1"/>
  <c r="R283" i="1"/>
  <c r="R837" i="1"/>
  <c r="R66" i="1"/>
  <c r="R838" i="1"/>
  <c r="R290" i="1"/>
  <c r="R341" i="1"/>
  <c r="R291" i="1"/>
  <c r="R759" i="1"/>
  <c r="R112" i="1"/>
  <c r="R154" i="1"/>
  <c r="R520" i="1"/>
  <c r="R399" i="1"/>
  <c r="R958" i="1"/>
  <c r="R175" i="1"/>
  <c r="R560" i="1"/>
  <c r="R97" i="1"/>
  <c r="R577" i="1"/>
  <c r="R635" i="1"/>
  <c r="R532" i="1"/>
  <c r="R976" i="1"/>
  <c r="R699" i="1"/>
  <c r="R110" i="1"/>
  <c r="R805" i="1"/>
  <c r="R59" i="1"/>
  <c r="R777" i="1"/>
  <c r="R7" i="1"/>
  <c r="R160" i="1"/>
  <c r="R497" i="1"/>
  <c r="R103" i="1"/>
  <c r="R327" i="1"/>
  <c r="R16" i="1"/>
  <c r="R299" i="1"/>
  <c r="R166" i="1"/>
  <c r="R498" i="1"/>
  <c r="R726" i="1"/>
  <c r="R122" i="1"/>
  <c r="R912" i="1"/>
  <c r="R942" i="1"/>
  <c r="R300" i="1"/>
  <c r="R376" i="1"/>
  <c r="R707" i="1"/>
  <c r="R139" i="1"/>
  <c r="R950" i="1"/>
  <c r="R304" i="1"/>
  <c r="R901" i="1"/>
  <c r="R50" i="1"/>
  <c r="R890" i="1"/>
  <c r="R760" i="1"/>
  <c r="R657" i="1"/>
  <c r="R111" i="1"/>
  <c r="R597" i="1"/>
  <c r="R305" i="1"/>
  <c r="R708" i="1"/>
  <c r="R306" i="1"/>
  <c r="R869" i="1"/>
  <c r="R155" i="1"/>
  <c r="R499" i="1"/>
  <c r="R824" i="1"/>
  <c r="R307" i="1"/>
  <c r="R393" i="1"/>
  <c r="R521" i="1"/>
  <c r="R753" i="1"/>
  <c r="R744" i="1"/>
  <c r="R447" i="1"/>
  <c r="R485" i="1"/>
  <c r="R263" i="1"/>
  <c r="R123" i="1"/>
  <c r="R774" i="1"/>
  <c r="R48" i="1"/>
  <c r="R778" i="1"/>
  <c r="R433" i="1"/>
  <c r="R709" i="1"/>
  <c r="R328" i="1"/>
  <c r="R618" i="1"/>
  <c r="R810" i="1"/>
  <c r="R164" i="1"/>
  <c r="R627" i="1"/>
  <c r="R663" i="1"/>
  <c r="R368" i="1"/>
  <c r="R434" i="1"/>
  <c r="R542" i="1"/>
  <c r="R400" i="1"/>
  <c r="R714" i="1"/>
  <c r="R873" i="1"/>
  <c r="R335" i="1"/>
  <c r="R603" i="1"/>
  <c r="R359" i="1"/>
  <c r="R604" i="1"/>
  <c r="R795" i="1"/>
  <c r="R448" i="1"/>
  <c r="R965" i="1"/>
  <c r="R243" i="1"/>
  <c r="R84" i="1"/>
  <c r="R813" i="1"/>
  <c r="R127" i="1"/>
  <c r="R170" i="1"/>
  <c r="R727" i="1"/>
  <c r="R128" i="1"/>
  <c r="R953" i="1"/>
  <c r="R284" i="1"/>
  <c r="R1003" i="1"/>
  <c r="R578" i="1"/>
  <c r="R690" i="1"/>
  <c r="R748" i="1"/>
  <c r="R561" i="1"/>
  <c r="R444" i="1"/>
  <c r="R132" i="1"/>
  <c r="R894" i="1"/>
  <c r="R543" i="1"/>
  <c r="R435" i="1"/>
  <c r="R862" i="1"/>
  <c r="R658" i="1"/>
  <c r="R783" i="1"/>
  <c r="R449" i="1"/>
  <c r="R275" i="1"/>
  <c r="R35" i="1"/>
  <c r="R113" i="1"/>
  <c r="R292" i="1"/>
  <c r="R269" i="1"/>
  <c r="R414" i="1"/>
  <c r="R954" i="1"/>
  <c r="R237" i="1"/>
  <c r="R784" i="1"/>
  <c r="R971" i="1"/>
  <c r="R909" i="1"/>
  <c r="R641" i="1"/>
  <c r="R156" i="1"/>
  <c r="R225" i="1"/>
  <c r="R60" i="1"/>
  <c r="R761" i="1"/>
  <c r="R463" i="1"/>
  <c r="R913" i="1"/>
  <c r="R106" i="1"/>
  <c r="R664" i="1"/>
  <c r="R85" i="1"/>
  <c r="R856" i="1"/>
  <c r="R189" i="1"/>
  <c r="R819" i="1"/>
  <c r="R628" i="1"/>
  <c r="R579" i="1"/>
  <c r="R436" i="1"/>
  <c r="R218" i="1"/>
  <c r="R715" i="1"/>
  <c r="R691" i="1"/>
  <c r="R140" i="1"/>
  <c r="R972" i="1"/>
  <c r="R147" i="1"/>
  <c r="R853" i="1"/>
  <c r="R544" i="1"/>
  <c r="R580" i="1"/>
  <c r="R219" i="1"/>
  <c r="R762" i="1"/>
  <c r="R384" i="1"/>
  <c r="R925" i="1"/>
  <c r="R728" i="1"/>
  <c r="R989" i="1"/>
  <c r="R293" i="1"/>
  <c r="R754" i="1"/>
  <c r="R94" i="1"/>
  <c r="R86" i="1"/>
  <c r="R763" i="1"/>
  <c r="R533" i="1"/>
  <c r="R318" i="1"/>
  <c r="R486" i="1"/>
  <c r="R598" i="1"/>
  <c r="R70" i="1"/>
  <c r="R437" i="1"/>
  <c r="R671" i="1"/>
  <c r="R17" i="1"/>
  <c r="R450" i="1"/>
  <c r="R308" i="1"/>
  <c r="R884" i="1"/>
  <c r="R255" i="1"/>
  <c r="R764" i="1"/>
  <c r="R114" i="1"/>
  <c r="R970" i="1"/>
  <c r="R336" i="1"/>
  <c r="R27" i="1"/>
  <c r="R124" i="1"/>
  <c r="R785" i="1"/>
  <c r="R902" i="1"/>
  <c r="R319" i="1"/>
  <c r="R863" i="1"/>
  <c r="R975" i="1"/>
  <c r="R369" i="1"/>
  <c r="R167" i="1"/>
  <c r="R78" i="1"/>
  <c r="R775" i="1"/>
  <c r="R438" i="1"/>
  <c r="R157" i="1"/>
  <c r="R735" i="1"/>
  <c r="R423" i="1"/>
  <c r="R401" i="1"/>
  <c r="R590" i="1"/>
  <c r="R424" i="1"/>
  <c r="R451" i="1"/>
  <c r="R993" i="1"/>
  <c r="R986" i="1"/>
  <c r="R370" i="1"/>
  <c r="R21" i="1"/>
  <c r="R642" i="1"/>
  <c r="R452" i="1"/>
  <c r="R905" i="1"/>
  <c r="R79" i="1"/>
  <c r="R80" i="1"/>
  <c r="R610" i="1"/>
  <c r="R210" i="1"/>
  <c r="R611" i="1"/>
  <c r="R988" i="1"/>
  <c r="R999" i="1"/>
  <c r="R350" i="1"/>
  <c r="R649" i="1"/>
  <c r="R309" i="1"/>
  <c r="R98" i="1"/>
  <c r="R310" i="1"/>
  <c r="R963" i="1"/>
  <c r="R12" i="1"/>
  <c r="R226" i="1"/>
  <c r="R176" i="1"/>
  <c r="R829" i="1"/>
  <c r="R115" i="1"/>
  <c r="R402" i="1"/>
  <c r="R914" i="1"/>
  <c r="R915" i="1"/>
  <c r="R227" i="1"/>
  <c r="R686" i="1"/>
  <c r="R716" i="1"/>
  <c r="R796" i="1"/>
  <c r="R500" i="1"/>
  <c r="R3" i="1"/>
  <c r="R825" i="1"/>
  <c r="R403" i="1"/>
  <c r="R32" i="1"/>
  <c r="R475" i="1"/>
  <c r="R934" i="1"/>
  <c r="R501" i="1"/>
  <c r="R650" i="1"/>
  <c r="R415" i="1"/>
  <c r="R545" i="1"/>
  <c r="R736" i="1"/>
  <c r="R552" i="1"/>
  <c r="R937" i="1"/>
  <c r="R839" i="1"/>
  <c r="R425" i="1"/>
  <c r="R672" i="1"/>
  <c r="R487" i="1"/>
  <c r="R895" i="1"/>
  <c r="R40" i="1"/>
  <c r="R605" i="1"/>
  <c r="R700" i="1"/>
  <c r="R737" i="1"/>
  <c r="R129" i="1"/>
  <c r="R404" i="1"/>
  <c r="R439" i="1"/>
  <c r="R71" i="1"/>
  <c r="R426" i="1"/>
  <c r="R651" i="1"/>
  <c r="R629" i="1"/>
  <c r="R729" i="1"/>
  <c r="R168" i="1"/>
  <c r="R770" i="1"/>
  <c r="R864" i="1"/>
  <c r="R488" i="1"/>
  <c r="R204" i="1"/>
  <c r="R228" i="1"/>
  <c r="R351" i="1"/>
  <c r="R786" i="1"/>
  <c r="R528" i="1"/>
  <c r="R606" i="1"/>
  <c r="R125" i="1"/>
  <c r="R14" i="1"/>
  <c r="R771" i="1"/>
  <c r="R294" i="1"/>
  <c r="R692" i="1"/>
  <c r="R840" i="1"/>
  <c r="R4" i="1"/>
  <c r="R385" i="1"/>
  <c r="R630" i="1"/>
  <c r="R502" i="1"/>
  <c r="R948" i="1"/>
  <c r="R636" i="1"/>
  <c r="R427" i="1"/>
  <c r="R197" i="1"/>
  <c r="R20" i="1"/>
  <c r="R360" i="1"/>
  <c r="R790" i="1"/>
  <c r="R717" i="1"/>
  <c r="R652" i="1"/>
  <c r="R329" i="1"/>
  <c r="R665" i="1"/>
  <c r="R643" i="1"/>
  <c r="R903" i="1"/>
  <c r="R28" i="1"/>
  <c r="R1013" i="1"/>
  <c r="R211" i="1"/>
  <c r="R133" i="1"/>
  <c r="R107" i="1"/>
  <c r="R264" i="1"/>
  <c r="R797" i="1"/>
  <c r="R870" i="1"/>
  <c r="R256" i="1"/>
  <c r="R935" i="1"/>
  <c r="R220" i="1"/>
  <c r="R177" i="1"/>
  <c r="R311" i="1"/>
  <c r="R464" i="1"/>
  <c r="R453" i="1"/>
  <c r="R621" i="1"/>
  <c r="R26" i="1"/>
  <c r="R738" i="1"/>
  <c r="R570" i="1"/>
  <c r="R330" i="1"/>
  <c r="R141" i="1"/>
  <c r="R238" i="1"/>
  <c r="R955" i="1"/>
  <c r="R896" i="1"/>
  <c r="R1008" i="1"/>
  <c r="R806" i="1"/>
  <c r="R1010" i="1"/>
  <c r="R61" i="1"/>
  <c r="R95" i="1"/>
  <c r="R906" i="1"/>
  <c r="R465" i="1"/>
  <c r="R874" i="1"/>
  <c r="R897" i="1"/>
  <c r="R984" i="1"/>
  <c r="Q361" i="1"/>
  <c r="Q820" i="1"/>
  <c r="Q30" i="1"/>
  <c r="Q875" i="1"/>
  <c r="Q270" i="1"/>
  <c r="Q244" i="1"/>
  <c r="Q36" i="1"/>
  <c r="Q964" i="1"/>
  <c r="Q562" i="1"/>
  <c r="Q876" i="1"/>
  <c r="Q779" i="1"/>
  <c r="Q929" i="1"/>
  <c r="Q352" i="1"/>
  <c r="Q342" i="1"/>
  <c r="Q798" i="1"/>
  <c r="Q331" i="1"/>
  <c r="Q74" i="1"/>
  <c r="Q1006" i="1"/>
  <c r="Q932" i="1"/>
  <c r="Q720" i="1"/>
  <c r="Q534" i="1"/>
  <c r="Q428" i="1"/>
  <c r="Q857" i="1"/>
  <c r="Q386" i="1"/>
  <c r="Q301" i="1"/>
  <c r="Q353" i="1"/>
  <c r="Q687" i="1"/>
  <c r="Q420" i="1"/>
  <c r="Q476" i="1"/>
  <c r="Q454" i="1"/>
  <c r="Q371" i="1"/>
  <c r="Q612" i="1"/>
  <c r="Q581" i="1"/>
  <c r="Q966" i="1"/>
  <c r="Q62" i="1"/>
  <c r="Q178" i="1"/>
  <c r="Q198" i="1"/>
  <c r="Q721" i="1"/>
  <c r="Q116" i="1"/>
  <c r="Q745" i="1"/>
  <c r="Q746" i="1"/>
  <c r="Q529" i="1"/>
  <c r="Q701" i="1"/>
  <c r="Q607" i="1"/>
  <c r="Q807" i="1"/>
  <c r="Q702" i="1"/>
  <c r="Q659" i="1"/>
  <c r="Q405" i="1"/>
  <c r="Q455" i="1"/>
  <c r="Q142" i="1"/>
  <c r="Q826" i="1"/>
  <c r="Q891" i="1"/>
  <c r="Q916" i="1"/>
  <c r="Q179" i="1"/>
  <c r="Q171" i="1"/>
  <c r="Q973" i="1"/>
  <c r="Q117" i="1"/>
  <c r="Q827" i="1"/>
  <c r="Q710" i="1"/>
  <c r="Q1014" i="1"/>
  <c r="Q302" i="1"/>
  <c r="Q982" i="1"/>
  <c r="Q688" i="1"/>
  <c r="Q343" i="1"/>
  <c r="Q703" i="1"/>
  <c r="Q591" i="1"/>
  <c r="Q968" i="1"/>
  <c r="Q466" i="1"/>
  <c r="Q979" i="1"/>
  <c r="Q808" i="1"/>
  <c r="Q571" i="1"/>
  <c r="Q666" i="1"/>
  <c r="Q910" i="1"/>
  <c r="Q718" i="1"/>
  <c r="Q917" i="1"/>
  <c r="Q960" i="1"/>
  <c r="Q1007" i="1"/>
  <c r="Q190" i="1"/>
  <c r="Q456" i="1"/>
  <c r="Q535" i="1"/>
  <c r="Q885" i="1"/>
  <c r="Q918" i="1"/>
  <c r="Q858" i="1"/>
  <c r="Q530" i="1"/>
  <c r="Q977" i="1"/>
  <c r="Q221" i="1"/>
  <c r="Q148" i="1"/>
  <c r="Q377" i="1"/>
  <c r="Q563" i="1"/>
  <c r="Q180" i="1"/>
  <c r="Q421" i="1"/>
  <c r="Q994" i="1"/>
  <c r="Q337" i="1"/>
  <c r="Q922" i="1"/>
  <c r="Q99" i="1"/>
  <c r="Q181" i="1"/>
  <c r="Q582" i="1"/>
  <c r="Q477" i="1"/>
  <c r="Q622" i="1"/>
  <c r="Q572" i="1"/>
  <c r="Q406" i="1"/>
  <c r="Q378" i="1"/>
  <c r="Q67" i="1"/>
  <c r="Q859" i="1"/>
  <c r="Q41" i="1"/>
  <c r="Q956" i="1"/>
  <c r="Q22" i="1"/>
  <c r="Q583" i="1"/>
  <c r="Q536" i="1"/>
  <c r="Q926" i="1"/>
  <c r="Q72" i="1"/>
  <c r="Q772" i="1"/>
  <c r="Q841" i="1"/>
  <c r="Q787" i="1"/>
  <c r="Q5" i="1"/>
  <c r="Q222" i="1"/>
  <c r="Q172" i="1"/>
  <c r="Q191" i="1"/>
  <c r="Q711" i="1"/>
  <c r="Q613" i="1"/>
  <c r="Q87" i="1"/>
  <c r="Q45" i="1"/>
  <c r="Q42" i="1"/>
  <c r="Q704" i="1"/>
  <c r="Q212" i="1"/>
  <c r="Q53" i="1"/>
  <c r="Q457" i="1"/>
  <c r="Q379" i="1"/>
  <c r="Q199" i="1"/>
  <c r="Q860" i="1"/>
  <c r="Q108" i="1"/>
  <c r="Q943" i="1"/>
  <c r="Q257" i="1"/>
  <c r="Q186" i="1"/>
  <c r="Q276" i="1"/>
  <c r="Q799" i="1"/>
  <c r="Q886" i="1"/>
  <c r="Q667" i="1"/>
  <c r="Q957" i="1"/>
  <c r="Q514" i="1"/>
  <c r="Q354" i="1"/>
  <c r="Q637" i="1"/>
  <c r="Q861" i="1"/>
  <c r="Q879" i="1"/>
  <c r="Q192" i="1"/>
  <c r="Q997" i="1"/>
  <c r="Q149" i="1"/>
  <c r="Q458" i="1"/>
  <c r="Q312" i="1"/>
  <c r="Q10" i="1"/>
  <c r="Q537" i="1"/>
  <c r="Q416" i="1"/>
  <c r="Q564" i="1"/>
  <c r="Q865" i="1"/>
  <c r="Q608" i="1"/>
  <c r="Q150" i="1"/>
  <c r="Q362" i="1"/>
  <c r="Q673" i="1"/>
  <c r="Q229" i="1"/>
  <c r="Q592" i="1"/>
  <c r="Q230" i="1"/>
  <c r="Q143" i="1"/>
  <c r="Q842" i="1"/>
  <c r="Q843" i="1"/>
  <c r="Q73" i="1"/>
  <c r="Q8" i="1"/>
  <c r="Q830" i="1"/>
  <c r="Q417" i="1"/>
  <c r="Q271" i="1"/>
  <c r="Q418" i="1"/>
  <c r="Q887" i="1"/>
  <c r="Q730" i="1"/>
  <c r="Q158" i="1"/>
  <c r="Q522" i="1"/>
  <c r="Q877" i="1"/>
  <c r="Q90" i="1"/>
  <c r="Q814" i="1"/>
  <c r="Q303" i="1"/>
  <c r="Q644" i="1"/>
  <c r="Q6" i="1"/>
  <c r="Q478" i="1"/>
  <c r="Q705" i="1"/>
  <c r="Q880" i="1"/>
  <c r="Q489" i="1"/>
  <c r="Q888" i="1"/>
  <c r="Q546" i="1"/>
  <c r="Q338" i="1"/>
  <c r="Q553" i="1"/>
  <c r="Q892" i="1"/>
  <c r="Q118" i="1"/>
  <c r="Q523" i="1"/>
  <c r="Q200" i="1"/>
  <c r="Q593" i="1"/>
  <c r="Q515" i="1"/>
  <c r="Q201" i="1"/>
  <c r="Q755" i="1"/>
  <c r="Q584" i="1"/>
  <c r="Q791" i="1"/>
  <c r="Q849" i="1"/>
  <c r="Q239" i="1"/>
  <c r="Q205" i="1"/>
  <c r="Q907" i="1"/>
  <c r="Q387" i="1"/>
  <c r="Q573" i="1"/>
  <c r="Q908" i="1"/>
  <c r="Q320" i="1"/>
  <c r="Q467" i="1"/>
  <c r="Q206" i="1"/>
  <c r="Q258" i="1"/>
  <c r="Q638" i="1"/>
  <c r="Q202" i="1"/>
  <c r="Q1001" i="1"/>
  <c r="Q780" i="1"/>
  <c r="Q765" i="1"/>
  <c r="Q91" i="1"/>
  <c r="Q173" i="1"/>
  <c r="Q100" i="1"/>
  <c r="Q978" i="1"/>
  <c r="Q407" i="1"/>
  <c r="Q722" i="1"/>
  <c r="Q538" i="1"/>
  <c r="Q161" i="1"/>
  <c r="Q660" i="1"/>
  <c r="Q182" i="1"/>
  <c r="Q599" i="1"/>
  <c r="Q831" i="1"/>
  <c r="Q388" i="1"/>
  <c r="Q800" i="1"/>
  <c r="Q490" i="1"/>
  <c r="Q33" i="1"/>
  <c r="Q468" i="1"/>
  <c r="Q941" i="1"/>
  <c r="Q213" i="1"/>
  <c r="Q101" i="1"/>
  <c r="Q134" i="1"/>
  <c r="Q245" i="1"/>
  <c r="Q554" i="1"/>
  <c r="Q539" i="1"/>
  <c r="Q821" i="1"/>
  <c r="Q165" i="1"/>
  <c r="Q459" i="1"/>
  <c r="Q159" i="1"/>
  <c r="Q788" i="1"/>
  <c r="Q850" i="1"/>
  <c r="Q363" i="1"/>
  <c r="Q246" i="1"/>
  <c r="Q193" i="1"/>
  <c r="Q555" i="1"/>
  <c r="Q600" i="1"/>
  <c r="Q668" i="1"/>
  <c r="Q996" i="1"/>
  <c r="Q207" i="1"/>
  <c r="Q524" i="1"/>
  <c r="Q247" i="1"/>
  <c r="Q815" i="1"/>
  <c r="Q479" i="1"/>
  <c r="Q480" i="1"/>
  <c r="Q844" i="1"/>
  <c r="Q321" i="1"/>
  <c r="Q285" i="1"/>
  <c r="Q344" i="1"/>
  <c r="Q214" i="1"/>
  <c r="Q893" i="1"/>
  <c r="Q23" i="1"/>
  <c r="Q372" i="1"/>
  <c r="Q1005" i="1"/>
  <c r="Q898" i="1"/>
  <c r="Q364" i="1"/>
  <c r="Q37" i="1"/>
  <c r="Q373" i="1"/>
  <c r="Q585" i="1"/>
  <c r="Q871" i="1"/>
  <c r="Q816" i="1"/>
  <c r="Q930" i="1"/>
  <c r="Q723" i="1"/>
  <c r="Q231" i="1"/>
  <c r="Q49" i="1"/>
  <c r="Q547" i="1"/>
  <c r="Q259" i="1"/>
  <c r="Q631" i="1"/>
  <c r="Q881" i="1"/>
  <c r="Q1000" i="1"/>
  <c r="Q215" i="1"/>
  <c r="Q295" i="1"/>
  <c r="Q949" i="1"/>
  <c r="Q162" i="1"/>
  <c r="Q57" i="1"/>
  <c r="Q203" i="1"/>
  <c r="Q194" i="1"/>
  <c r="Q265" i="1"/>
  <c r="Q394" i="1"/>
  <c r="Q272" i="1"/>
  <c r="Q674" i="1"/>
  <c r="Q408" i="1"/>
  <c r="Q223" i="1"/>
  <c r="Q951" i="1"/>
  <c r="Q944" i="1"/>
  <c r="Q409" i="1"/>
  <c r="Q927" i="1"/>
  <c r="Q119" i="1"/>
  <c r="Q187" i="1"/>
  <c r="Q792" i="1"/>
  <c r="Q248" i="1"/>
  <c r="Q345" i="1"/>
  <c r="Q249" i="1"/>
  <c r="Q481" i="1"/>
  <c r="Q58" i="1"/>
  <c r="Q882" i="1"/>
  <c r="Q601" i="1"/>
  <c r="Q817" i="1"/>
  <c r="Q273" i="1"/>
  <c r="Q653" i="1"/>
  <c r="Q556" i="1"/>
  <c r="Q491" i="1"/>
  <c r="Q540" i="1"/>
  <c r="Q509" i="1"/>
  <c r="Q130" i="1"/>
  <c r="Q240" i="1"/>
  <c r="Q503" i="1"/>
  <c r="Q645" i="1"/>
  <c r="Q266" i="1"/>
  <c r="Q188" i="1"/>
  <c r="Q250" i="1"/>
  <c r="Q872" i="1"/>
  <c r="Q945" i="1"/>
  <c r="Q63" i="1"/>
  <c r="Q646" i="1"/>
  <c r="Q1009" i="1"/>
  <c r="Q232" i="1"/>
  <c r="Q883" i="1"/>
  <c r="Q594" i="1"/>
  <c r="Q969" i="1"/>
  <c r="Q739" i="1"/>
  <c r="Q135" i="1"/>
  <c r="Q46" i="1"/>
  <c r="Q565" i="1"/>
  <c r="Q389" i="1"/>
  <c r="Q904" i="1"/>
  <c r="Q1002" i="1"/>
  <c r="Q866" i="1"/>
  <c r="Q740" i="1"/>
  <c r="Q548" i="1"/>
  <c r="Q355" i="1"/>
  <c r="Q469" i="1"/>
  <c r="Q356" i="1"/>
  <c r="Q286" i="1"/>
  <c r="Q675" i="1"/>
  <c r="Q64" i="1"/>
  <c r="Q390" i="1"/>
  <c r="Q208" i="1"/>
  <c r="Q632" i="1"/>
  <c r="Q712" i="1"/>
  <c r="Q339" i="1"/>
  <c r="Q801" i="1"/>
  <c r="Q525" i="1"/>
  <c r="Q936" i="1"/>
  <c r="Q639" i="1"/>
  <c r="Q983" i="1"/>
  <c r="Q661" i="1"/>
  <c r="Q92" i="1"/>
  <c r="Q682" i="1"/>
  <c r="Q151" i="1"/>
  <c r="Q756" i="1"/>
  <c r="Q998" i="1"/>
  <c r="Q693" i="1"/>
  <c r="Q766" i="1"/>
  <c r="Q676" i="1"/>
  <c r="Q952" i="1"/>
  <c r="Q990" i="1"/>
  <c r="Q174" i="1"/>
  <c r="Q251" i="1"/>
  <c r="Q619" i="1"/>
  <c r="Q346" i="1"/>
  <c r="Q38" i="1"/>
  <c r="Q510" i="1"/>
  <c r="Q946" i="1"/>
  <c r="Q120" i="1"/>
  <c r="Q677" i="1"/>
  <c r="Q260" i="1"/>
  <c r="Q595" i="1"/>
  <c r="Q136" i="1"/>
  <c r="Q24" i="1"/>
  <c r="Q261" i="1"/>
  <c r="Q938" i="1"/>
  <c r="Q959" i="1"/>
  <c r="Q365" i="1"/>
  <c r="Q460" i="1"/>
  <c r="Q511" i="1"/>
  <c r="Q609" i="1"/>
  <c r="Q366" i="1"/>
  <c r="Q531" i="1"/>
  <c r="Q332" i="1"/>
  <c r="Q429" i="1"/>
  <c r="Q767" i="1"/>
  <c r="Q380" i="1"/>
  <c r="Q933" i="1"/>
  <c r="Q678" i="1"/>
  <c r="Q51" i="1"/>
  <c r="Q574" i="1"/>
  <c r="Q724" i="1"/>
  <c r="Q679" i="1"/>
  <c r="Q919" i="1"/>
  <c r="Q749" i="1"/>
  <c r="Q623" i="1"/>
  <c r="Q713" i="1"/>
  <c r="Q492" i="1"/>
  <c r="Q586" i="1"/>
  <c r="Q195" i="1"/>
  <c r="Q776" i="1"/>
  <c r="Q104" i="1"/>
  <c r="Q391" i="1"/>
  <c r="Q163" i="1"/>
  <c r="Q549" i="1"/>
  <c r="Q550" i="1"/>
  <c r="Q961" i="1"/>
  <c r="Q296" i="1"/>
  <c r="Q410" i="1"/>
  <c r="Q395" i="1"/>
  <c r="Q614" i="1"/>
  <c r="Q768" i="1"/>
  <c r="Q54" i="1"/>
  <c r="Q683" i="1"/>
  <c r="Q731" i="1"/>
  <c r="Q313" i="1"/>
  <c r="Q980" i="1"/>
  <c r="Q602" i="1"/>
  <c r="Q109" i="1"/>
  <c r="Q482" i="1"/>
  <c r="Q694" i="1"/>
  <c r="Q640" i="1"/>
  <c r="Q615" i="1"/>
  <c r="Q504" i="1"/>
  <c r="Q732" i="1"/>
  <c r="Q828" i="1"/>
  <c r="Q483" i="1"/>
  <c r="Q991" i="1"/>
  <c r="Q920" i="1"/>
  <c r="Q396" i="1"/>
  <c r="Q695" i="1"/>
  <c r="Q93" i="1"/>
  <c r="Q287" i="1"/>
  <c r="Q196" i="1"/>
  <c r="Q516" i="1"/>
  <c r="Q252" i="1"/>
  <c r="Q233" i="1"/>
  <c r="Q367" i="1"/>
  <c r="Q566" i="1"/>
  <c r="Q152" i="1"/>
  <c r="Q931" i="1"/>
  <c r="Q297" i="1"/>
  <c r="Q234" i="1"/>
  <c r="Q18" i="1"/>
  <c r="Q381" i="1"/>
  <c r="Q733" i="1"/>
  <c r="Q706" i="1"/>
  <c r="Q911" i="1"/>
  <c r="Q102" i="1"/>
  <c r="Q832" i="1"/>
  <c r="Q2" i="1"/>
  <c r="Q484" i="1"/>
  <c r="Q773" i="1"/>
  <c r="Q851" i="1"/>
  <c r="Q374" i="1"/>
  <c r="Q96" i="1"/>
  <c r="Q567" i="1"/>
  <c r="Q76" i="1"/>
  <c r="Q1011" i="1"/>
  <c r="Q493" i="1"/>
  <c r="Q131" i="1"/>
  <c r="Q183" i="1"/>
  <c r="Q725" i="1"/>
  <c r="Q470" i="1"/>
  <c r="Q845" i="1"/>
  <c r="Q624" i="1"/>
  <c r="Q47" i="1"/>
  <c r="Q267" i="1"/>
  <c r="Q494" i="1"/>
  <c r="Q347" i="1"/>
  <c r="Q616" i="1"/>
  <c r="Q397" i="1"/>
  <c r="Q921" i="1"/>
  <c r="Q769" i="1"/>
  <c r="Q551" i="1"/>
  <c r="Q822" i="1"/>
  <c r="Q833" i="1"/>
  <c r="Q392" i="1"/>
  <c r="Q781" i="1"/>
  <c r="Q440" i="1"/>
  <c r="Q719" i="1"/>
  <c r="Q169" i="1"/>
  <c r="Q802" i="1"/>
  <c r="Q541" i="1"/>
  <c r="Q105" i="1"/>
  <c r="Q741" i="1"/>
  <c r="Q633" i="1"/>
  <c r="Q939" i="1"/>
  <c r="Q846" i="1"/>
  <c r="Q411" i="1"/>
  <c r="Q505" i="1"/>
  <c r="Q357" i="1"/>
  <c r="Q224" i="1"/>
  <c r="Q44" i="1"/>
  <c r="Q689" i="1"/>
  <c r="Q34" i="1"/>
  <c r="Q852" i="1"/>
  <c r="Q793" i="1"/>
  <c r="Q495" i="1"/>
  <c r="Q757" i="1"/>
  <c r="Q235" i="1"/>
  <c r="Q68" i="1"/>
  <c r="Q348" i="1"/>
  <c r="Q823" i="1"/>
  <c r="Q992" i="1"/>
  <c r="Q696" i="1"/>
  <c r="Q55" i="1"/>
  <c r="Q144" i="1"/>
  <c r="Q153" i="1"/>
  <c r="Q412" i="1"/>
  <c r="Q333" i="1"/>
  <c r="Q314" i="1"/>
  <c r="Q734" i="1"/>
  <c r="Q81" i="1"/>
  <c r="Q647" i="1"/>
  <c r="Q789" i="1"/>
  <c r="Q847" i="1"/>
  <c r="Q625" i="1"/>
  <c r="Q697" i="1"/>
  <c r="Q940" i="1"/>
  <c r="Q974" i="1"/>
  <c r="Q471" i="1"/>
  <c r="Q445" i="1"/>
  <c r="Q848" i="1"/>
  <c r="Q962" i="1"/>
  <c r="Q82" i="1"/>
  <c r="Q430" i="1"/>
  <c r="Q253" i="1"/>
  <c r="Q750" i="1"/>
  <c r="Q684" i="1"/>
  <c r="Q334" i="1"/>
  <c r="Q617" i="1"/>
  <c r="Q419" i="1"/>
  <c r="Q184" i="1"/>
  <c r="Q209" i="1"/>
  <c r="Q65" i="1"/>
  <c r="Q587" i="1"/>
  <c r="Q185" i="1"/>
  <c r="Q19" i="1"/>
  <c r="Q506" i="1"/>
  <c r="Q588" i="1"/>
  <c r="Q349" i="1"/>
  <c r="Q834" i="1"/>
  <c r="Q69" i="1"/>
  <c r="Q923" i="1"/>
  <c r="Q507" i="1"/>
  <c r="Q924" i="1"/>
  <c r="Q987" i="1"/>
  <c r="Q472" i="1"/>
  <c r="Q575" i="1"/>
  <c r="Q589" i="1"/>
  <c r="Q517" i="1"/>
  <c r="Q277" i="1"/>
  <c r="Q422" i="1"/>
  <c r="Q31" i="1"/>
  <c r="Q322" i="1"/>
  <c r="Q995" i="1"/>
  <c r="Q928" i="1"/>
  <c r="Q13" i="1"/>
  <c r="Q431" i="1"/>
  <c r="Q818" i="1"/>
  <c r="Q508" i="1"/>
  <c r="Q382" i="1"/>
  <c r="Q29" i="1"/>
  <c r="Q742" i="1"/>
  <c r="Q680" i="1"/>
  <c r="Q298" i="1"/>
  <c r="Q878" i="1"/>
  <c r="Q782" i="1"/>
  <c r="Q83" i="1"/>
  <c r="Q794" i="1"/>
  <c r="Q662" i="1"/>
  <c r="Q43" i="1"/>
  <c r="Q216" i="1"/>
  <c r="Q398" i="1"/>
  <c r="Q278" i="1"/>
  <c r="Q323" i="1"/>
  <c r="Q375" i="1"/>
  <c r="Q889" i="1"/>
  <c r="Q751" i="1"/>
  <c r="Q654" i="1"/>
  <c r="Q685" i="1"/>
  <c r="Q752" i="1"/>
  <c r="Q655" i="1"/>
  <c r="Q526" i="1"/>
  <c r="Q324" i="1"/>
  <c r="Q15" i="1"/>
  <c r="Q461" i="1"/>
  <c r="Q1012" i="1"/>
  <c r="Q835" i="1"/>
  <c r="Q358" i="1"/>
  <c r="Q279" i="1"/>
  <c r="Q698" i="1"/>
  <c r="Q1004" i="1"/>
  <c r="Q236" i="1"/>
  <c r="Q758" i="1"/>
  <c r="Q75" i="1"/>
  <c r="Q441" i="1"/>
  <c r="Q126" i="1"/>
  <c r="Q854" i="1"/>
  <c r="Q626" i="1"/>
  <c r="Q634" i="1"/>
  <c r="Q596" i="1"/>
  <c r="Q656" i="1"/>
  <c r="Q39" i="1"/>
  <c r="Q383" i="1"/>
  <c r="Q56" i="1"/>
  <c r="Q527" i="1"/>
  <c r="Q967" i="1"/>
  <c r="Q137" i="1"/>
  <c r="Q88" i="1"/>
  <c r="Q473" i="1"/>
  <c r="Q867" i="1"/>
  <c r="Q669" i="1"/>
  <c r="Q803" i="1"/>
  <c r="Q25" i="1"/>
  <c r="Q670" i="1"/>
  <c r="Q9" i="1"/>
  <c r="Q512" i="1"/>
  <c r="Q836" i="1"/>
  <c r="Q855" i="1"/>
  <c r="Q868" i="1"/>
  <c r="Q518" i="1"/>
  <c r="Q496" i="1"/>
  <c r="Q340" i="1"/>
  <c r="Q145" i="1"/>
  <c r="Q146" i="1"/>
  <c r="Q442" i="1"/>
  <c r="Q280" i="1"/>
  <c r="Q89" i="1"/>
  <c r="Q217" i="1"/>
  <c r="Q325" i="1"/>
  <c r="Q899" i="1"/>
  <c r="Q121" i="1"/>
  <c r="Q254" i="1"/>
  <c r="Q241" i="1"/>
  <c r="Q568" i="1"/>
  <c r="Q288" i="1"/>
  <c r="Q576" i="1"/>
  <c r="Q947" i="1"/>
  <c r="Q985" i="1"/>
  <c r="Q274" i="1"/>
  <c r="Q809" i="1"/>
  <c r="Q315" i="1"/>
  <c r="Q52" i="1"/>
  <c r="Q443" i="1"/>
  <c r="Q262" i="1"/>
  <c r="Q557" i="1"/>
  <c r="Q900" i="1"/>
  <c r="Q558" i="1"/>
  <c r="Q804" i="1"/>
  <c r="Q77" i="1"/>
  <c r="Q316" i="1"/>
  <c r="Q513" i="1"/>
  <c r="Q569" i="1"/>
  <c r="Q519" i="1"/>
  <c r="Q474" i="1"/>
  <c r="Q747" i="1"/>
  <c r="Q462" i="1"/>
  <c r="Q138" i="1"/>
  <c r="Q446" i="1"/>
  <c r="Q268" i="1"/>
  <c r="Q432" i="1"/>
  <c r="Q811" i="1"/>
  <c r="Q326" i="1"/>
  <c r="Q242" i="1"/>
  <c r="Q317" i="1"/>
  <c r="Q681" i="1"/>
  <c r="Q289" i="1"/>
  <c r="Q281" i="1"/>
  <c r="Q812" i="1"/>
  <c r="Q648" i="1"/>
  <c r="Q413" i="1"/>
  <c r="Q620" i="1"/>
  <c r="Q743" i="1"/>
  <c r="Q981" i="1"/>
  <c r="Q559" i="1"/>
  <c r="Q11" i="1"/>
  <c r="Q282" i="1"/>
  <c r="Q283" i="1"/>
  <c r="Q837" i="1"/>
  <c r="Q66" i="1"/>
  <c r="Q838" i="1"/>
  <c r="Q290" i="1"/>
  <c r="Q341" i="1"/>
  <c r="Q291" i="1"/>
  <c r="Q759" i="1"/>
  <c r="Q112" i="1"/>
  <c r="Q154" i="1"/>
  <c r="Q520" i="1"/>
  <c r="Q399" i="1"/>
  <c r="Q958" i="1"/>
  <c r="Q175" i="1"/>
  <c r="Q560" i="1"/>
  <c r="Q97" i="1"/>
  <c r="Q577" i="1"/>
  <c r="Q635" i="1"/>
  <c r="Q532" i="1"/>
  <c r="Q976" i="1"/>
  <c r="Q699" i="1"/>
  <c r="Q110" i="1"/>
  <c r="Q805" i="1"/>
  <c r="Q59" i="1"/>
  <c r="Q777" i="1"/>
  <c r="Q7" i="1"/>
  <c r="Q160" i="1"/>
  <c r="Q497" i="1"/>
  <c r="Q103" i="1"/>
  <c r="Q327" i="1"/>
  <c r="Q16" i="1"/>
  <c r="Q299" i="1"/>
  <c r="Q166" i="1"/>
  <c r="Q498" i="1"/>
  <c r="Q726" i="1"/>
  <c r="Q122" i="1"/>
  <c r="Q912" i="1"/>
  <c r="Q942" i="1"/>
  <c r="Q300" i="1"/>
  <c r="Q376" i="1"/>
  <c r="Q707" i="1"/>
  <c r="Q139" i="1"/>
  <c r="Q950" i="1"/>
  <c r="Q304" i="1"/>
  <c r="Q901" i="1"/>
  <c r="Q50" i="1"/>
  <c r="Q890" i="1"/>
  <c r="Q760" i="1"/>
  <c r="Q657" i="1"/>
  <c r="Q111" i="1"/>
  <c r="Q597" i="1"/>
  <c r="Q305" i="1"/>
  <c r="Q708" i="1"/>
  <c r="Q306" i="1"/>
  <c r="Q869" i="1"/>
  <c r="Q155" i="1"/>
  <c r="Q499" i="1"/>
  <c r="Q824" i="1"/>
  <c r="Q307" i="1"/>
  <c r="Q393" i="1"/>
  <c r="Q521" i="1"/>
  <c r="Q753" i="1"/>
  <c r="Q744" i="1"/>
  <c r="Q447" i="1"/>
  <c r="Q485" i="1"/>
  <c r="Q263" i="1"/>
  <c r="Q123" i="1"/>
  <c r="Q774" i="1"/>
  <c r="Q48" i="1"/>
  <c r="Q778" i="1"/>
  <c r="Q433" i="1"/>
  <c r="Q709" i="1"/>
  <c r="Q328" i="1"/>
  <c r="Q618" i="1"/>
  <c r="Q810" i="1"/>
  <c r="Q164" i="1"/>
  <c r="Q627" i="1"/>
  <c r="Q663" i="1"/>
  <c r="Q368" i="1"/>
  <c r="Q434" i="1"/>
  <c r="Q542" i="1"/>
  <c r="Q400" i="1"/>
  <c r="Q714" i="1"/>
  <c r="Q873" i="1"/>
  <c r="Q335" i="1"/>
  <c r="Q603" i="1"/>
  <c r="Q359" i="1"/>
  <c r="Q604" i="1"/>
  <c r="Q795" i="1"/>
  <c r="Q448" i="1"/>
  <c r="Q965" i="1"/>
  <c r="Q243" i="1"/>
  <c r="Q84" i="1"/>
  <c r="Q813" i="1"/>
  <c r="Q127" i="1"/>
  <c r="Q170" i="1"/>
  <c r="Q727" i="1"/>
  <c r="Q128" i="1"/>
  <c r="Q953" i="1"/>
  <c r="Q284" i="1"/>
  <c r="Q1003" i="1"/>
  <c r="Q578" i="1"/>
  <c r="Q690" i="1"/>
  <c r="Q748" i="1"/>
  <c r="Q561" i="1"/>
  <c r="Q444" i="1"/>
  <c r="Q132" i="1"/>
  <c r="Q894" i="1"/>
  <c r="Q543" i="1"/>
  <c r="Q435" i="1"/>
  <c r="Q862" i="1"/>
  <c r="Q658" i="1"/>
  <c r="Q783" i="1"/>
  <c r="Q449" i="1"/>
  <c r="Q275" i="1"/>
  <c r="Q35" i="1"/>
  <c r="Q113" i="1"/>
  <c r="Q292" i="1"/>
  <c r="Q269" i="1"/>
  <c r="Q414" i="1"/>
  <c r="Q954" i="1"/>
  <c r="Q237" i="1"/>
  <c r="Q784" i="1"/>
  <c r="Q971" i="1"/>
  <c r="Q909" i="1"/>
  <c r="Q641" i="1"/>
  <c r="Q156" i="1"/>
  <c r="Q225" i="1"/>
  <c r="Q60" i="1"/>
  <c r="Q761" i="1"/>
  <c r="Q463" i="1"/>
  <c r="Q913" i="1"/>
  <c r="Q106" i="1"/>
  <c r="Q664" i="1"/>
  <c r="Q85" i="1"/>
  <c r="Q856" i="1"/>
  <c r="Q189" i="1"/>
  <c r="Q819" i="1"/>
  <c r="Q628" i="1"/>
  <c r="Q579" i="1"/>
  <c r="Q436" i="1"/>
  <c r="Q218" i="1"/>
  <c r="Q715" i="1"/>
  <c r="Q691" i="1"/>
  <c r="Q140" i="1"/>
  <c r="Q972" i="1"/>
  <c r="Q147" i="1"/>
  <c r="Q853" i="1"/>
  <c r="Q544" i="1"/>
  <c r="Q580" i="1"/>
  <c r="Q219" i="1"/>
  <c r="Q762" i="1"/>
  <c r="Q384" i="1"/>
  <c r="Q925" i="1"/>
  <c r="Q728" i="1"/>
  <c r="Q989" i="1"/>
  <c r="Q293" i="1"/>
  <c r="Q754" i="1"/>
  <c r="Q94" i="1"/>
  <c r="Q86" i="1"/>
  <c r="Q763" i="1"/>
  <c r="Q533" i="1"/>
  <c r="Q318" i="1"/>
  <c r="Q486" i="1"/>
  <c r="Q598" i="1"/>
  <c r="Q70" i="1"/>
  <c r="Q437" i="1"/>
  <c r="Q671" i="1"/>
  <c r="Q17" i="1"/>
  <c r="Q450" i="1"/>
  <c r="Q308" i="1"/>
  <c r="Q884" i="1"/>
  <c r="Q255" i="1"/>
  <c r="Q764" i="1"/>
  <c r="Q114" i="1"/>
  <c r="Q970" i="1"/>
  <c r="Q336" i="1"/>
  <c r="Q27" i="1"/>
  <c r="Q124" i="1"/>
  <c r="Q785" i="1"/>
  <c r="Q902" i="1"/>
  <c r="Q319" i="1"/>
  <c r="Q863" i="1"/>
  <c r="Q975" i="1"/>
  <c r="Q369" i="1"/>
  <c r="Q167" i="1"/>
  <c r="Q78" i="1"/>
  <c r="Q775" i="1"/>
  <c r="Q438" i="1"/>
  <c r="Q157" i="1"/>
  <c r="Q735" i="1"/>
  <c r="Q423" i="1"/>
  <c r="Q401" i="1"/>
  <c r="Q590" i="1"/>
  <c r="Q424" i="1"/>
  <c r="Q451" i="1"/>
  <c r="Q993" i="1"/>
  <c r="Q986" i="1"/>
  <c r="Q370" i="1"/>
  <c r="Q21" i="1"/>
  <c r="Q642" i="1"/>
  <c r="Q452" i="1"/>
  <c r="Q905" i="1"/>
  <c r="Q79" i="1"/>
  <c r="Q80" i="1"/>
  <c r="Q610" i="1"/>
  <c r="Q210" i="1"/>
  <c r="Q611" i="1"/>
  <c r="Q988" i="1"/>
  <c r="Q999" i="1"/>
  <c r="Q350" i="1"/>
  <c r="Q649" i="1"/>
  <c r="Q309" i="1"/>
  <c r="Q98" i="1"/>
  <c r="Q310" i="1"/>
  <c r="Q963" i="1"/>
  <c r="Q12" i="1"/>
  <c r="Q226" i="1"/>
  <c r="Q176" i="1"/>
  <c r="Q829" i="1"/>
  <c r="Q115" i="1"/>
  <c r="Q402" i="1"/>
  <c r="Q914" i="1"/>
  <c r="Q915" i="1"/>
  <c r="Q227" i="1"/>
  <c r="Q686" i="1"/>
  <c r="Q716" i="1"/>
  <c r="Q796" i="1"/>
  <c r="Q500" i="1"/>
  <c r="Q3" i="1"/>
  <c r="Q825" i="1"/>
  <c r="Q403" i="1"/>
  <c r="Q32" i="1"/>
  <c r="Q475" i="1"/>
  <c r="Q934" i="1"/>
  <c r="Q501" i="1"/>
  <c r="Q650" i="1"/>
  <c r="Q415" i="1"/>
  <c r="Q545" i="1"/>
  <c r="Q736" i="1"/>
  <c r="Q552" i="1"/>
  <c r="Q937" i="1"/>
  <c r="Q839" i="1"/>
  <c r="Q425" i="1"/>
  <c r="Q672" i="1"/>
  <c r="Q487" i="1"/>
  <c r="Q895" i="1"/>
  <c r="Q40" i="1"/>
  <c r="Q605" i="1"/>
  <c r="Q700" i="1"/>
  <c r="Q737" i="1"/>
  <c r="Q129" i="1"/>
  <c r="Q404" i="1"/>
  <c r="Q439" i="1"/>
  <c r="Q71" i="1"/>
  <c r="Q426" i="1"/>
  <c r="Q651" i="1"/>
  <c r="Q629" i="1"/>
  <c r="Q729" i="1"/>
  <c r="Q168" i="1"/>
  <c r="Q770" i="1"/>
  <c r="Q864" i="1"/>
  <c r="Q488" i="1"/>
  <c r="Q204" i="1"/>
  <c r="Q228" i="1"/>
  <c r="Q351" i="1"/>
  <c r="Q786" i="1"/>
  <c r="Q528" i="1"/>
  <c r="Q606" i="1"/>
  <c r="Q125" i="1"/>
  <c r="Q14" i="1"/>
  <c r="Q771" i="1"/>
  <c r="Q294" i="1"/>
  <c r="Q692" i="1"/>
  <c r="Q840" i="1"/>
  <c r="Q4" i="1"/>
  <c r="Q385" i="1"/>
  <c r="Q630" i="1"/>
  <c r="Q502" i="1"/>
  <c r="Q948" i="1"/>
  <c r="Q636" i="1"/>
  <c r="Q427" i="1"/>
  <c r="Q197" i="1"/>
  <c r="Q20" i="1"/>
  <c r="Q360" i="1"/>
  <c r="Q790" i="1"/>
  <c r="Q717" i="1"/>
  <c r="Q652" i="1"/>
  <c r="Q329" i="1"/>
  <c r="Q665" i="1"/>
  <c r="Q643" i="1"/>
  <c r="Q903" i="1"/>
  <c r="Q28" i="1"/>
  <c r="Q1013" i="1"/>
  <c r="Q211" i="1"/>
  <c r="Q133" i="1"/>
  <c r="Q107" i="1"/>
  <c r="Q264" i="1"/>
  <c r="Q797" i="1"/>
  <c r="Q870" i="1"/>
  <c r="Q256" i="1"/>
  <c r="Q935" i="1"/>
  <c r="Q220" i="1"/>
  <c r="Q177" i="1"/>
  <c r="Q311" i="1"/>
  <c r="Q464" i="1"/>
  <c r="Q453" i="1"/>
  <c r="Q621" i="1"/>
  <c r="Q26" i="1"/>
  <c r="Q738" i="1"/>
  <c r="Q570" i="1"/>
  <c r="Q330" i="1"/>
  <c r="Q141" i="1"/>
  <c r="Q238" i="1"/>
  <c r="Q955" i="1"/>
  <c r="Q896" i="1"/>
  <c r="Q1008" i="1"/>
  <c r="Q806" i="1"/>
  <c r="Q1010" i="1"/>
  <c r="Q61" i="1"/>
  <c r="Q95" i="1"/>
  <c r="Q906" i="1"/>
  <c r="Q465" i="1"/>
  <c r="Q874" i="1"/>
  <c r="Q897" i="1"/>
  <c r="Q984" i="1"/>
  <c r="P361" i="1"/>
  <c r="P820" i="1"/>
  <c r="P30" i="1"/>
  <c r="P875" i="1"/>
  <c r="P270" i="1"/>
  <c r="P244" i="1"/>
  <c r="P36" i="1"/>
  <c r="P964" i="1"/>
  <c r="P562" i="1"/>
  <c r="P876" i="1"/>
  <c r="P779" i="1"/>
  <c r="P929" i="1"/>
  <c r="P352" i="1"/>
  <c r="P342" i="1"/>
  <c r="P798" i="1"/>
  <c r="P331" i="1"/>
  <c r="P74" i="1"/>
  <c r="P1006" i="1"/>
  <c r="P932" i="1"/>
  <c r="P720" i="1"/>
  <c r="P534" i="1"/>
  <c r="P428" i="1"/>
  <c r="P857" i="1"/>
  <c r="P386" i="1"/>
  <c r="P301" i="1"/>
  <c r="P353" i="1"/>
  <c r="P687" i="1"/>
  <c r="P420" i="1"/>
  <c r="P476" i="1"/>
  <c r="P454" i="1"/>
  <c r="P371" i="1"/>
  <c r="P612" i="1"/>
  <c r="P581" i="1"/>
  <c r="P966" i="1"/>
  <c r="P62" i="1"/>
  <c r="P178" i="1"/>
  <c r="P198" i="1"/>
  <c r="P721" i="1"/>
  <c r="P116" i="1"/>
  <c r="P745" i="1"/>
  <c r="P746" i="1"/>
  <c r="P529" i="1"/>
  <c r="P701" i="1"/>
  <c r="P607" i="1"/>
  <c r="P807" i="1"/>
  <c r="P702" i="1"/>
  <c r="P659" i="1"/>
  <c r="P405" i="1"/>
  <c r="P455" i="1"/>
  <c r="P142" i="1"/>
  <c r="P826" i="1"/>
  <c r="P891" i="1"/>
  <c r="P916" i="1"/>
  <c r="P179" i="1"/>
  <c r="P171" i="1"/>
  <c r="P973" i="1"/>
  <c r="P117" i="1"/>
  <c r="P827" i="1"/>
  <c r="P710" i="1"/>
  <c r="P1014" i="1"/>
  <c r="P302" i="1"/>
  <c r="P982" i="1"/>
  <c r="P688" i="1"/>
  <c r="P343" i="1"/>
  <c r="P703" i="1"/>
  <c r="P591" i="1"/>
  <c r="P968" i="1"/>
  <c r="P466" i="1"/>
  <c r="P979" i="1"/>
  <c r="P808" i="1"/>
  <c r="P571" i="1"/>
  <c r="P666" i="1"/>
  <c r="P910" i="1"/>
  <c r="P718" i="1"/>
  <c r="P917" i="1"/>
  <c r="P960" i="1"/>
  <c r="P1007" i="1"/>
  <c r="P190" i="1"/>
  <c r="P456" i="1"/>
  <c r="P535" i="1"/>
  <c r="P885" i="1"/>
  <c r="P918" i="1"/>
  <c r="P858" i="1"/>
  <c r="P530" i="1"/>
  <c r="P977" i="1"/>
  <c r="P221" i="1"/>
  <c r="P148" i="1"/>
  <c r="P377" i="1"/>
  <c r="P563" i="1"/>
  <c r="P180" i="1"/>
  <c r="P421" i="1"/>
  <c r="P994" i="1"/>
  <c r="P337" i="1"/>
  <c r="P922" i="1"/>
  <c r="P99" i="1"/>
  <c r="P181" i="1"/>
  <c r="P582" i="1"/>
  <c r="P477" i="1"/>
  <c r="P622" i="1"/>
  <c r="P572" i="1"/>
  <c r="P406" i="1"/>
  <c r="P378" i="1"/>
  <c r="P67" i="1"/>
  <c r="P859" i="1"/>
  <c r="P41" i="1"/>
  <c r="P956" i="1"/>
  <c r="P22" i="1"/>
  <c r="P583" i="1"/>
  <c r="P536" i="1"/>
  <c r="P926" i="1"/>
  <c r="P72" i="1"/>
  <c r="P772" i="1"/>
  <c r="P841" i="1"/>
  <c r="P787" i="1"/>
  <c r="P5" i="1"/>
  <c r="P222" i="1"/>
  <c r="P172" i="1"/>
  <c r="P191" i="1"/>
  <c r="P711" i="1"/>
  <c r="P613" i="1"/>
  <c r="P87" i="1"/>
  <c r="P45" i="1"/>
  <c r="P42" i="1"/>
  <c r="P704" i="1"/>
  <c r="P212" i="1"/>
  <c r="P53" i="1"/>
  <c r="P457" i="1"/>
  <c r="P379" i="1"/>
  <c r="P199" i="1"/>
  <c r="P860" i="1"/>
  <c r="P108" i="1"/>
  <c r="P943" i="1"/>
  <c r="P257" i="1"/>
  <c r="P186" i="1"/>
  <c r="P276" i="1"/>
  <c r="P799" i="1"/>
  <c r="P886" i="1"/>
  <c r="P667" i="1"/>
  <c r="P957" i="1"/>
  <c r="P514" i="1"/>
  <c r="P354" i="1"/>
  <c r="P637" i="1"/>
  <c r="P861" i="1"/>
  <c r="P879" i="1"/>
  <c r="P192" i="1"/>
  <c r="P997" i="1"/>
  <c r="P149" i="1"/>
  <c r="P458" i="1"/>
  <c r="P312" i="1"/>
  <c r="P10" i="1"/>
  <c r="P537" i="1"/>
  <c r="P416" i="1"/>
  <c r="P564" i="1"/>
  <c r="P865" i="1"/>
  <c r="P608" i="1"/>
  <c r="P150" i="1"/>
  <c r="P362" i="1"/>
  <c r="P673" i="1"/>
  <c r="P229" i="1"/>
  <c r="P592" i="1"/>
  <c r="P230" i="1"/>
  <c r="P143" i="1"/>
  <c r="P842" i="1"/>
  <c r="P843" i="1"/>
  <c r="P73" i="1"/>
  <c r="P8" i="1"/>
  <c r="P830" i="1"/>
  <c r="P417" i="1"/>
  <c r="P271" i="1"/>
  <c r="P418" i="1"/>
  <c r="P887" i="1"/>
  <c r="P730" i="1"/>
  <c r="P158" i="1"/>
  <c r="P522" i="1"/>
  <c r="P877" i="1"/>
  <c r="P90" i="1"/>
  <c r="P814" i="1"/>
  <c r="P303" i="1"/>
  <c r="P644" i="1"/>
  <c r="P6" i="1"/>
  <c r="P478" i="1"/>
  <c r="P705" i="1"/>
  <c r="P880" i="1"/>
  <c r="P489" i="1"/>
  <c r="P888" i="1"/>
  <c r="P546" i="1"/>
  <c r="P338" i="1"/>
  <c r="P553" i="1"/>
  <c r="P892" i="1"/>
  <c r="P118" i="1"/>
  <c r="P523" i="1"/>
  <c r="P200" i="1"/>
  <c r="P593" i="1"/>
  <c r="P515" i="1"/>
  <c r="P201" i="1"/>
  <c r="P755" i="1"/>
  <c r="P584" i="1"/>
  <c r="P791" i="1"/>
  <c r="P849" i="1"/>
  <c r="P239" i="1"/>
  <c r="P205" i="1"/>
  <c r="P907" i="1"/>
  <c r="P387" i="1"/>
  <c r="P573" i="1"/>
  <c r="P908" i="1"/>
  <c r="P320" i="1"/>
  <c r="P467" i="1"/>
  <c r="P206" i="1"/>
  <c r="P258" i="1"/>
  <c r="P638" i="1"/>
  <c r="P202" i="1"/>
  <c r="P1001" i="1"/>
  <c r="P780" i="1"/>
  <c r="P765" i="1"/>
  <c r="P91" i="1"/>
  <c r="P173" i="1"/>
  <c r="P100" i="1"/>
  <c r="P978" i="1"/>
  <c r="P407" i="1"/>
  <c r="P722" i="1"/>
  <c r="P538" i="1"/>
  <c r="P161" i="1"/>
  <c r="P660" i="1"/>
  <c r="P182" i="1"/>
  <c r="P599" i="1"/>
  <c r="P831" i="1"/>
  <c r="P388" i="1"/>
  <c r="P800" i="1"/>
  <c r="P490" i="1"/>
  <c r="P33" i="1"/>
  <c r="P468" i="1"/>
  <c r="P941" i="1"/>
  <c r="P213" i="1"/>
  <c r="P101" i="1"/>
  <c r="P134" i="1"/>
  <c r="P245" i="1"/>
  <c r="P554" i="1"/>
  <c r="P539" i="1"/>
  <c r="P821" i="1"/>
  <c r="P165" i="1"/>
  <c r="P459" i="1"/>
  <c r="P159" i="1"/>
  <c r="P788" i="1"/>
  <c r="P850" i="1"/>
  <c r="P363" i="1"/>
  <c r="P246" i="1"/>
  <c r="P193" i="1"/>
  <c r="P555" i="1"/>
  <c r="P600" i="1"/>
  <c r="P668" i="1"/>
  <c r="P996" i="1"/>
  <c r="P207" i="1"/>
  <c r="P524" i="1"/>
  <c r="P247" i="1"/>
  <c r="P815" i="1"/>
  <c r="P479" i="1"/>
  <c r="P480" i="1"/>
  <c r="P844" i="1"/>
  <c r="P321" i="1"/>
  <c r="P285" i="1"/>
  <c r="P344" i="1"/>
  <c r="P214" i="1"/>
  <c r="P893" i="1"/>
  <c r="P23" i="1"/>
  <c r="P372" i="1"/>
  <c r="P1005" i="1"/>
  <c r="P898" i="1"/>
  <c r="P364" i="1"/>
  <c r="P37" i="1"/>
  <c r="P373" i="1"/>
  <c r="P585" i="1"/>
  <c r="P871" i="1"/>
  <c r="P816" i="1"/>
  <c r="P930" i="1"/>
  <c r="P723" i="1"/>
  <c r="P231" i="1"/>
  <c r="P49" i="1"/>
  <c r="P547" i="1"/>
  <c r="P259" i="1"/>
  <c r="P631" i="1"/>
  <c r="P881" i="1"/>
  <c r="P1000" i="1"/>
  <c r="P215" i="1"/>
  <c r="P295" i="1"/>
  <c r="P949" i="1"/>
  <c r="P162" i="1"/>
  <c r="P57" i="1"/>
  <c r="P203" i="1"/>
  <c r="P194" i="1"/>
  <c r="P265" i="1"/>
  <c r="P394" i="1"/>
  <c r="P272" i="1"/>
  <c r="P674" i="1"/>
  <c r="P408" i="1"/>
  <c r="P223" i="1"/>
  <c r="P951" i="1"/>
  <c r="P944" i="1"/>
  <c r="P409" i="1"/>
  <c r="P927" i="1"/>
  <c r="P119" i="1"/>
  <c r="P187" i="1"/>
  <c r="P792" i="1"/>
  <c r="P248" i="1"/>
  <c r="P345" i="1"/>
  <c r="P249" i="1"/>
  <c r="P481" i="1"/>
  <c r="P58" i="1"/>
  <c r="P882" i="1"/>
  <c r="P601" i="1"/>
  <c r="P817" i="1"/>
  <c r="P273" i="1"/>
  <c r="P653" i="1"/>
  <c r="P556" i="1"/>
  <c r="P491" i="1"/>
  <c r="P540" i="1"/>
  <c r="P509" i="1"/>
  <c r="P130" i="1"/>
  <c r="P240" i="1"/>
  <c r="P503" i="1"/>
  <c r="P645" i="1"/>
  <c r="P266" i="1"/>
  <c r="P188" i="1"/>
  <c r="P250" i="1"/>
  <c r="P872" i="1"/>
  <c r="P945" i="1"/>
  <c r="P63" i="1"/>
  <c r="P646" i="1"/>
  <c r="P1009" i="1"/>
  <c r="P232" i="1"/>
  <c r="P883" i="1"/>
  <c r="P594" i="1"/>
  <c r="P969" i="1"/>
  <c r="P739" i="1"/>
  <c r="P135" i="1"/>
  <c r="P46" i="1"/>
  <c r="P565" i="1"/>
  <c r="P389" i="1"/>
  <c r="P904" i="1"/>
  <c r="P1002" i="1"/>
  <c r="P866" i="1"/>
  <c r="P740" i="1"/>
  <c r="P548" i="1"/>
  <c r="P355" i="1"/>
  <c r="P469" i="1"/>
  <c r="P356" i="1"/>
  <c r="P286" i="1"/>
  <c r="P675" i="1"/>
  <c r="P64" i="1"/>
  <c r="P390" i="1"/>
  <c r="P208" i="1"/>
  <c r="P632" i="1"/>
  <c r="P712" i="1"/>
  <c r="P339" i="1"/>
  <c r="P801" i="1"/>
  <c r="P525" i="1"/>
  <c r="P936" i="1"/>
  <c r="P639" i="1"/>
  <c r="P983" i="1"/>
  <c r="P661" i="1"/>
  <c r="P92" i="1"/>
  <c r="P682" i="1"/>
  <c r="P151" i="1"/>
  <c r="P756" i="1"/>
  <c r="P998" i="1"/>
  <c r="P693" i="1"/>
  <c r="P766" i="1"/>
  <c r="P676" i="1"/>
  <c r="P952" i="1"/>
  <c r="P990" i="1"/>
  <c r="P174" i="1"/>
  <c r="P251" i="1"/>
  <c r="P619" i="1"/>
  <c r="P346" i="1"/>
  <c r="P38" i="1"/>
  <c r="P510" i="1"/>
  <c r="P946" i="1"/>
  <c r="P120" i="1"/>
  <c r="P677" i="1"/>
  <c r="P260" i="1"/>
  <c r="P595" i="1"/>
  <c r="P136" i="1"/>
  <c r="P24" i="1"/>
  <c r="P261" i="1"/>
  <c r="P938" i="1"/>
  <c r="P959" i="1"/>
  <c r="P365" i="1"/>
  <c r="P460" i="1"/>
  <c r="P511" i="1"/>
  <c r="P609" i="1"/>
  <c r="P366" i="1"/>
  <c r="P531" i="1"/>
  <c r="P332" i="1"/>
  <c r="P429" i="1"/>
  <c r="P767" i="1"/>
  <c r="P380" i="1"/>
  <c r="P933" i="1"/>
  <c r="P678" i="1"/>
  <c r="P51" i="1"/>
  <c r="P574" i="1"/>
  <c r="P724" i="1"/>
  <c r="P679" i="1"/>
  <c r="P919" i="1"/>
  <c r="P749" i="1"/>
  <c r="P623" i="1"/>
  <c r="P713" i="1"/>
  <c r="P492" i="1"/>
  <c r="P586" i="1"/>
  <c r="P195" i="1"/>
  <c r="P776" i="1"/>
  <c r="P104" i="1"/>
  <c r="P391" i="1"/>
  <c r="P163" i="1"/>
  <c r="P549" i="1"/>
  <c r="P550" i="1"/>
  <c r="P961" i="1"/>
  <c r="P296" i="1"/>
  <c r="P410" i="1"/>
  <c r="P395" i="1"/>
  <c r="P614" i="1"/>
  <c r="P768" i="1"/>
  <c r="P54" i="1"/>
  <c r="P683" i="1"/>
  <c r="P731" i="1"/>
  <c r="P313" i="1"/>
  <c r="P980" i="1"/>
  <c r="P602" i="1"/>
  <c r="P109" i="1"/>
  <c r="P482" i="1"/>
  <c r="P694" i="1"/>
  <c r="P640" i="1"/>
  <c r="P615" i="1"/>
  <c r="P504" i="1"/>
  <c r="P732" i="1"/>
  <c r="P828" i="1"/>
  <c r="P483" i="1"/>
  <c r="P991" i="1"/>
  <c r="P920" i="1"/>
  <c r="P396" i="1"/>
  <c r="P695" i="1"/>
  <c r="P93" i="1"/>
  <c r="P287" i="1"/>
  <c r="P196" i="1"/>
  <c r="P516" i="1"/>
  <c r="P252" i="1"/>
  <c r="P233" i="1"/>
  <c r="P367" i="1"/>
  <c r="P566" i="1"/>
  <c r="P152" i="1"/>
  <c r="P931" i="1"/>
  <c r="P297" i="1"/>
  <c r="P234" i="1"/>
  <c r="P18" i="1"/>
  <c r="P381" i="1"/>
  <c r="P733" i="1"/>
  <c r="P706" i="1"/>
  <c r="P911" i="1"/>
  <c r="P102" i="1"/>
  <c r="P832" i="1"/>
  <c r="P2" i="1"/>
  <c r="P484" i="1"/>
  <c r="P773" i="1"/>
  <c r="P851" i="1"/>
  <c r="P374" i="1"/>
  <c r="P96" i="1"/>
  <c r="P567" i="1"/>
  <c r="P76" i="1"/>
  <c r="P1011" i="1"/>
  <c r="P493" i="1"/>
  <c r="P131" i="1"/>
  <c r="P183" i="1"/>
  <c r="P725" i="1"/>
  <c r="P470" i="1"/>
  <c r="P845" i="1"/>
  <c r="P624" i="1"/>
  <c r="P47" i="1"/>
  <c r="P267" i="1"/>
  <c r="P494" i="1"/>
  <c r="P347" i="1"/>
  <c r="P616" i="1"/>
  <c r="P397" i="1"/>
  <c r="P921" i="1"/>
  <c r="P769" i="1"/>
  <c r="P551" i="1"/>
  <c r="P822" i="1"/>
  <c r="P833" i="1"/>
  <c r="P392" i="1"/>
  <c r="P781" i="1"/>
  <c r="P440" i="1"/>
  <c r="P719" i="1"/>
  <c r="P169" i="1"/>
  <c r="P802" i="1"/>
  <c r="P541" i="1"/>
  <c r="P105" i="1"/>
  <c r="P741" i="1"/>
  <c r="P633" i="1"/>
  <c r="P939" i="1"/>
  <c r="P846" i="1"/>
  <c r="P411" i="1"/>
  <c r="P505" i="1"/>
  <c r="P357" i="1"/>
  <c r="P224" i="1"/>
  <c r="P44" i="1"/>
  <c r="P689" i="1"/>
  <c r="P34" i="1"/>
  <c r="P852" i="1"/>
  <c r="P793" i="1"/>
  <c r="P495" i="1"/>
  <c r="P757" i="1"/>
  <c r="P235" i="1"/>
  <c r="P68" i="1"/>
  <c r="P348" i="1"/>
  <c r="P823" i="1"/>
  <c r="P992" i="1"/>
  <c r="P696" i="1"/>
  <c r="P55" i="1"/>
  <c r="P144" i="1"/>
  <c r="P153" i="1"/>
  <c r="P412" i="1"/>
  <c r="P333" i="1"/>
  <c r="P314" i="1"/>
  <c r="P734" i="1"/>
  <c r="P81" i="1"/>
  <c r="P647" i="1"/>
  <c r="P789" i="1"/>
  <c r="P847" i="1"/>
  <c r="P625" i="1"/>
  <c r="P697" i="1"/>
  <c r="P940" i="1"/>
  <c r="P974" i="1"/>
  <c r="P471" i="1"/>
  <c r="P445" i="1"/>
  <c r="P848" i="1"/>
  <c r="P962" i="1"/>
  <c r="P82" i="1"/>
  <c r="P430" i="1"/>
  <c r="P253" i="1"/>
  <c r="P750" i="1"/>
  <c r="P684" i="1"/>
  <c r="P334" i="1"/>
  <c r="P617" i="1"/>
  <c r="P419" i="1"/>
  <c r="P184" i="1"/>
  <c r="P209" i="1"/>
  <c r="P65" i="1"/>
  <c r="P587" i="1"/>
  <c r="P185" i="1"/>
  <c r="P19" i="1"/>
  <c r="P506" i="1"/>
  <c r="P588" i="1"/>
  <c r="P349" i="1"/>
  <c r="P834" i="1"/>
  <c r="P69" i="1"/>
  <c r="P923" i="1"/>
  <c r="P507" i="1"/>
  <c r="P924" i="1"/>
  <c r="P987" i="1"/>
  <c r="P472" i="1"/>
  <c r="P575" i="1"/>
  <c r="P589" i="1"/>
  <c r="P517" i="1"/>
  <c r="P277" i="1"/>
  <c r="P422" i="1"/>
  <c r="P31" i="1"/>
  <c r="P322" i="1"/>
  <c r="P995" i="1"/>
  <c r="P928" i="1"/>
  <c r="P13" i="1"/>
  <c r="P431" i="1"/>
  <c r="P818" i="1"/>
  <c r="P508" i="1"/>
  <c r="P382" i="1"/>
  <c r="P29" i="1"/>
  <c r="P742" i="1"/>
  <c r="P680" i="1"/>
  <c r="P298" i="1"/>
  <c r="P878" i="1"/>
  <c r="P782" i="1"/>
  <c r="P83" i="1"/>
  <c r="P794" i="1"/>
  <c r="P662" i="1"/>
  <c r="P43" i="1"/>
  <c r="P216" i="1"/>
  <c r="P398" i="1"/>
  <c r="P278" i="1"/>
  <c r="P323" i="1"/>
  <c r="P375" i="1"/>
  <c r="P889" i="1"/>
  <c r="P751" i="1"/>
  <c r="P654" i="1"/>
  <c r="P685" i="1"/>
  <c r="P752" i="1"/>
  <c r="P655" i="1"/>
  <c r="P526" i="1"/>
  <c r="P324" i="1"/>
  <c r="P15" i="1"/>
  <c r="P461" i="1"/>
  <c r="P1012" i="1"/>
  <c r="P835" i="1"/>
  <c r="P358" i="1"/>
  <c r="P279" i="1"/>
  <c r="P698" i="1"/>
  <c r="P1004" i="1"/>
  <c r="P236" i="1"/>
  <c r="P758" i="1"/>
  <c r="P75" i="1"/>
  <c r="P441" i="1"/>
  <c r="P126" i="1"/>
  <c r="P854" i="1"/>
  <c r="P626" i="1"/>
  <c r="P634" i="1"/>
  <c r="P596" i="1"/>
  <c r="P656" i="1"/>
  <c r="P39" i="1"/>
  <c r="P383" i="1"/>
  <c r="P56" i="1"/>
  <c r="P527" i="1"/>
  <c r="P967" i="1"/>
  <c r="P137" i="1"/>
  <c r="P88" i="1"/>
  <c r="P473" i="1"/>
  <c r="P867" i="1"/>
  <c r="P669" i="1"/>
  <c r="P803" i="1"/>
  <c r="P25" i="1"/>
  <c r="P670" i="1"/>
  <c r="P9" i="1"/>
  <c r="P512" i="1"/>
  <c r="P836" i="1"/>
  <c r="P855" i="1"/>
  <c r="P868" i="1"/>
  <c r="P518" i="1"/>
  <c r="P496" i="1"/>
  <c r="P340" i="1"/>
  <c r="P145" i="1"/>
  <c r="P146" i="1"/>
  <c r="P442" i="1"/>
  <c r="P280" i="1"/>
  <c r="P89" i="1"/>
  <c r="P217" i="1"/>
  <c r="P325" i="1"/>
  <c r="P899" i="1"/>
  <c r="P121" i="1"/>
  <c r="P254" i="1"/>
  <c r="P241" i="1"/>
  <c r="P568" i="1"/>
  <c r="P288" i="1"/>
  <c r="P576" i="1"/>
  <c r="P947" i="1"/>
  <c r="P985" i="1"/>
  <c r="P274" i="1"/>
  <c r="P809" i="1"/>
  <c r="P315" i="1"/>
  <c r="P52" i="1"/>
  <c r="P443" i="1"/>
  <c r="P262" i="1"/>
  <c r="P557" i="1"/>
  <c r="P900" i="1"/>
  <c r="P558" i="1"/>
  <c r="P804" i="1"/>
  <c r="P77" i="1"/>
  <c r="P316" i="1"/>
  <c r="P513" i="1"/>
  <c r="P569" i="1"/>
  <c r="P519" i="1"/>
  <c r="P474" i="1"/>
  <c r="P747" i="1"/>
  <c r="P462" i="1"/>
  <c r="P138" i="1"/>
  <c r="P446" i="1"/>
  <c r="P268" i="1"/>
  <c r="P432" i="1"/>
  <c r="P811" i="1"/>
  <c r="P326" i="1"/>
  <c r="P242" i="1"/>
  <c r="P317" i="1"/>
  <c r="P681" i="1"/>
  <c r="P289" i="1"/>
  <c r="P281" i="1"/>
  <c r="P812" i="1"/>
  <c r="P648" i="1"/>
  <c r="P413" i="1"/>
  <c r="P620" i="1"/>
  <c r="P743" i="1"/>
  <c r="P981" i="1"/>
  <c r="P559" i="1"/>
  <c r="P11" i="1"/>
  <c r="P282" i="1"/>
  <c r="P283" i="1"/>
  <c r="P837" i="1"/>
  <c r="P66" i="1"/>
  <c r="P838" i="1"/>
  <c r="P290" i="1"/>
  <c r="P341" i="1"/>
  <c r="P291" i="1"/>
  <c r="P759" i="1"/>
  <c r="P112" i="1"/>
  <c r="P154" i="1"/>
  <c r="P520" i="1"/>
  <c r="P399" i="1"/>
  <c r="P958" i="1"/>
  <c r="P175" i="1"/>
  <c r="P560" i="1"/>
  <c r="P97" i="1"/>
  <c r="P577" i="1"/>
  <c r="P635" i="1"/>
  <c r="P532" i="1"/>
  <c r="P976" i="1"/>
  <c r="P699" i="1"/>
  <c r="P110" i="1"/>
  <c r="P805" i="1"/>
  <c r="P59" i="1"/>
  <c r="P777" i="1"/>
  <c r="P7" i="1"/>
  <c r="P160" i="1"/>
  <c r="P497" i="1"/>
  <c r="P103" i="1"/>
  <c r="P327" i="1"/>
  <c r="P16" i="1"/>
  <c r="P299" i="1"/>
  <c r="P166" i="1"/>
  <c r="P498" i="1"/>
  <c r="P726" i="1"/>
  <c r="P122" i="1"/>
  <c r="P912" i="1"/>
  <c r="P942" i="1"/>
  <c r="P300" i="1"/>
  <c r="P376" i="1"/>
  <c r="P707" i="1"/>
  <c r="P139" i="1"/>
  <c r="P950" i="1"/>
  <c r="P304" i="1"/>
  <c r="P901" i="1"/>
  <c r="P50" i="1"/>
  <c r="P890" i="1"/>
  <c r="P760" i="1"/>
  <c r="P657" i="1"/>
  <c r="P111" i="1"/>
  <c r="P597" i="1"/>
  <c r="P305" i="1"/>
  <c r="P708" i="1"/>
  <c r="P306" i="1"/>
  <c r="P869" i="1"/>
  <c r="P155" i="1"/>
  <c r="P499" i="1"/>
  <c r="P824" i="1"/>
  <c r="P307" i="1"/>
  <c r="P393" i="1"/>
  <c r="P521" i="1"/>
  <c r="P753" i="1"/>
  <c r="P744" i="1"/>
  <c r="P447" i="1"/>
  <c r="P485" i="1"/>
  <c r="P263" i="1"/>
  <c r="P123" i="1"/>
  <c r="P774" i="1"/>
  <c r="P48" i="1"/>
  <c r="P778" i="1"/>
  <c r="P433" i="1"/>
  <c r="P709" i="1"/>
  <c r="P328" i="1"/>
  <c r="P618" i="1"/>
  <c r="P810" i="1"/>
  <c r="P164" i="1"/>
  <c r="P627" i="1"/>
  <c r="P663" i="1"/>
  <c r="P368" i="1"/>
  <c r="P434" i="1"/>
  <c r="P542" i="1"/>
  <c r="P400" i="1"/>
  <c r="P714" i="1"/>
  <c r="P873" i="1"/>
  <c r="P335" i="1"/>
  <c r="P603" i="1"/>
  <c r="P359" i="1"/>
  <c r="P604" i="1"/>
  <c r="P795" i="1"/>
  <c r="P448" i="1"/>
  <c r="P965" i="1"/>
  <c r="P243" i="1"/>
  <c r="P84" i="1"/>
  <c r="P813" i="1"/>
  <c r="P127" i="1"/>
  <c r="P170" i="1"/>
  <c r="P727" i="1"/>
  <c r="P128" i="1"/>
  <c r="P953" i="1"/>
  <c r="P284" i="1"/>
  <c r="P1003" i="1"/>
  <c r="P578" i="1"/>
  <c r="P690" i="1"/>
  <c r="P748" i="1"/>
  <c r="P561" i="1"/>
  <c r="P444" i="1"/>
  <c r="P132" i="1"/>
  <c r="P894" i="1"/>
  <c r="P543" i="1"/>
  <c r="P435" i="1"/>
  <c r="P862" i="1"/>
  <c r="P658" i="1"/>
  <c r="P783" i="1"/>
  <c r="P449" i="1"/>
  <c r="P275" i="1"/>
  <c r="P35" i="1"/>
  <c r="P113" i="1"/>
  <c r="P292" i="1"/>
  <c r="P269" i="1"/>
  <c r="P414" i="1"/>
  <c r="P954" i="1"/>
  <c r="P237" i="1"/>
  <c r="P784" i="1"/>
  <c r="P971" i="1"/>
  <c r="P909" i="1"/>
  <c r="P641" i="1"/>
  <c r="P156" i="1"/>
  <c r="P225" i="1"/>
  <c r="P60" i="1"/>
  <c r="P761" i="1"/>
  <c r="P463" i="1"/>
  <c r="P913" i="1"/>
  <c r="P106" i="1"/>
  <c r="P664" i="1"/>
  <c r="P85" i="1"/>
  <c r="P856" i="1"/>
  <c r="P189" i="1"/>
  <c r="P819" i="1"/>
  <c r="P628" i="1"/>
  <c r="P579" i="1"/>
  <c r="P436" i="1"/>
  <c r="P218" i="1"/>
  <c r="P715" i="1"/>
  <c r="P691" i="1"/>
  <c r="P140" i="1"/>
  <c r="P972" i="1"/>
  <c r="P147" i="1"/>
  <c r="P853" i="1"/>
  <c r="P544" i="1"/>
  <c r="P580" i="1"/>
  <c r="P219" i="1"/>
  <c r="P762" i="1"/>
  <c r="P384" i="1"/>
  <c r="P925" i="1"/>
  <c r="P728" i="1"/>
  <c r="P989" i="1"/>
  <c r="P293" i="1"/>
  <c r="P754" i="1"/>
  <c r="P94" i="1"/>
  <c r="P86" i="1"/>
  <c r="P763" i="1"/>
  <c r="P533" i="1"/>
  <c r="P318" i="1"/>
  <c r="P486" i="1"/>
  <c r="P598" i="1"/>
  <c r="P70" i="1"/>
  <c r="P437" i="1"/>
  <c r="P671" i="1"/>
  <c r="P17" i="1"/>
  <c r="P450" i="1"/>
  <c r="P308" i="1"/>
  <c r="P884" i="1"/>
  <c r="P255" i="1"/>
  <c r="P764" i="1"/>
  <c r="P114" i="1"/>
  <c r="P970" i="1"/>
  <c r="P336" i="1"/>
  <c r="P27" i="1"/>
  <c r="P124" i="1"/>
  <c r="P785" i="1"/>
  <c r="P902" i="1"/>
  <c r="P319" i="1"/>
  <c r="P863" i="1"/>
  <c r="P975" i="1"/>
  <c r="P369" i="1"/>
  <c r="P167" i="1"/>
  <c r="P78" i="1"/>
  <c r="P775" i="1"/>
  <c r="P438" i="1"/>
  <c r="P157" i="1"/>
  <c r="P735" i="1"/>
  <c r="P423" i="1"/>
  <c r="P401" i="1"/>
  <c r="P590" i="1"/>
  <c r="P424" i="1"/>
  <c r="P451" i="1"/>
  <c r="P993" i="1"/>
  <c r="P986" i="1"/>
  <c r="P370" i="1"/>
  <c r="P21" i="1"/>
  <c r="P642" i="1"/>
  <c r="P452" i="1"/>
  <c r="P905" i="1"/>
  <c r="P79" i="1"/>
  <c r="P80" i="1"/>
  <c r="P610" i="1"/>
  <c r="P210" i="1"/>
  <c r="P611" i="1"/>
  <c r="P988" i="1"/>
  <c r="P999" i="1"/>
  <c r="P350" i="1"/>
  <c r="P649" i="1"/>
  <c r="P309" i="1"/>
  <c r="P98" i="1"/>
  <c r="P310" i="1"/>
  <c r="P963" i="1"/>
  <c r="P12" i="1"/>
  <c r="P226" i="1"/>
  <c r="P176" i="1"/>
  <c r="P829" i="1"/>
  <c r="P115" i="1"/>
  <c r="P402" i="1"/>
  <c r="P914" i="1"/>
  <c r="P915" i="1"/>
  <c r="P227" i="1"/>
  <c r="P686" i="1"/>
  <c r="P716" i="1"/>
  <c r="P796" i="1"/>
  <c r="P500" i="1"/>
  <c r="P3" i="1"/>
  <c r="P825" i="1"/>
  <c r="P403" i="1"/>
  <c r="P32" i="1"/>
  <c r="P475" i="1"/>
  <c r="P934" i="1"/>
  <c r="P501" i="1"/>
  <c r="P650" i="1"/>
  <c r="P415" i="1"/>
  <c r="P545" i="1"/>
  <c r="P736" i="1"/>
  <c r="P552" i="1"/>
  <c r="P937" i="1"/>
  <c r="P839" i="1"/>
  <c r="P425" i="1"/>
  <c r="P672" i="1"/>
  <c r="P487" i="1"/>
  <c r="P895" i="1"/>
  <c r="P40" i="1"/>
  <c r="P605" i="1"/>
  <c r="P700" i="1"/>
  <c r="P737" i="1"/>
  <c r="P129" i="1"/>
  <c r="P404" i="1"/>
  <c r="P439" i="1"/>
  <c r="P71" i="1"/>
  <c r="P426" i="1"/>
  <c r="P651" i="1"/>
  <c r="P629" i="1"/>
  <c r="P729" i="1"/>
  <c r="P168" i="1"/>
  <c r="P770" i="1"/>
  <c r="P864" i="1"/>
  <c r="P488" i="1"/>
  <c r="P204" i="1"/>
  <c r="P228" i="1"/>
  <c r="P351" i="1"/>
  <c r="P786" i="1"/>
  <c r="P528" i="1"/>
  <c r="P606" i="1"/>
  <c r="P125" i="1"/>
  <c r="P14" i="1"/>
  <c r="P771" i="1"/>
  <c r="P294" i="1"/>
  <c r="P692" i="1"/>
  <c r="P840" i="1"/>
  <c r="P4" i="1"/>
  <c r="P385" i="1"/>
  <c r="P630" i="1"/>
  <c r="P502" i="1"/>
  <c r="P948" i="1"/>
  <c r="P636" i="1"/>
  <c r="P427" i="1"/>
  <c r="P197" i="1"/>
  <c r="P20" i="1"/>
  <c r="P360" i="1"/>
  <c r="P790" i="1"/>
  <c r="P717" i="1"/>
  <c r="P652" i="1"/>
  <c r="P329" i="1"/>
  <c r="P665" i="1"/>
  <c r="P643" i="1"/>
  <c r="P903" i="1"/>
  <c r="P28" i="1"/>
  <c r="P1013" i="1"/>
  <c r="P211" i="1"/>
  <c r="P133" i="1"/>
  <c r="P107" i="1"/>
  <c r="P264" i="1"/>
  <c r="P797" i="1"/>
  <c r="P870" i="1"/>
  <c r="P256" i="1"/>
  <c r="P935" i="1"/>
  <c r="P220" i="1"/>
  <c r="P177" i="1"/>
  <c r="P311" i="1"/>
  <c r="P464" i="1"/>
  <c r="P453" i="1"/>
  <c r="P621" i="1"/>
  <c r="P26" i="1"/>
  <c r="P738" i="1"/>
  <c r="P570" i="1"/>
  <c r="P330" i="1"/>
  <c r="P141" i="1"/>
  <c r="P238" i="1"/>
  <c r="P955" i="1"/>
  <c r="P896" i="1"/>
  <c r="P1008" i="1"/>
  <c r="P806" i="1"/>
  <c r="P1010" i="1"/>
  <c r="P61" i="1"/>
  <c r="P95" i="1"/>
  <c r="P906" i="1"/>
  <c r="P465" i="1"/>
  <c r="P874" i="1"/>
  <c r="P897" i="1"/>
  <c r="P984" i="1"/>
  <c r="O361" i="1"/>
  <c r="O820" i="1"/>
  <c r="O30" i="1"/>
  <c r="O875" i="1"/>
  <c r="O270" i="1"/>
  <c r="O244" i="1"/>
  <c r="O36" i="1"/>
  <c r="O964" i="1"/>
  <c r="O562" i="1"/>
  <c r="O876" i="1"/>
  <c r="O779" i="1"/>
  <c r="O929" i="1"/>
  <c r="O352" i="1"/>
  <c r="O342" i="1"/>
  <c r="O798" i="1"/>
  <c r="O331" i="1"/>
  <c r="O74" i="1"/>
  <c r="O1006" i="1"/>
  <c r="O932" i="1"/>
  <c r="O720" i="1"/>
  <c r="O534" i="1"/>
  <c r="O428" i="1"/>
  <c r="O857" i="1"/>
  <c r="O386" i="1"/>
  <c r="O301" i="1"/>
  <c r="O353" i="1"/>
  <c r="O687" i="1"/>
  <c r="O420" i="1"/>
  <c r="O476" i="1"/>
  <c r="O454" i="1"/>
  <c r="O371" i="1"/>
  <c r="O612" i="1"/>
  <c r="O581" i="1"/>
  <c r="O966" i="1"/>
  <c r="O62" i="1"/>
  <c r="O178" i="1"/>
  <c r="O198" i="1"/>
  <c r="O721" i="1"/>
  <c r="O116" i="1"/>
  <c r="O745" i="1"/>
  <c r="O746" i="1"/>
  <c r="O529" i="1"/>
  <c r="O701" i="1"/>
  <c r="O607" i="1"/>
  <c r="O807" i="1"/>
  <c r="O702" i="1"/>
  <c r="O659" i="1"/>
  <c r="O405" i="1"/>
  <c r="O455" i="1"/>
  <c r="O142" i="1"/>
  <c r="O826" i="1"/>
  <c r="O891" i="1"/>
  <c r="O916" i="1"/>
  <c r="O179" i="1"/>
  <c r="O171" i="1"/>
  <c r="O973" i="1"/>
  <c r="O117" i="1"/>
  <c r="O827" i="1"/>
  <c r="O710" i="1"/>
  <c r="O1014" i="1"/>
  <c r="O302" i="1"/>
  <c r="O982" i="1"/>
  <c r="O688" i="1"/>
  <c r="O343" i="1"/>
  <c r="O703" i="1"/>
  <c r="O591" i="1"/>
  <c r="O968" i="1"/>
  <c r="O466" i="1"/>
  <c r="O979" i="1"/>
  <c r="O808" i="1"/>
  <c r="O571" i="1"/>
  <c r="O666" i="1"/>
  <c r="O910" i="1"/>
  <c r="O718" i="1"/>
  <c r="O917" i="1"/>
  <c r="O960" i="1"/>
  <c r="O1007" i="1"/>
  <c r="O190" i="1"/>
  <c r="O456" i="1"/>
  <c r="O535" i="1"/>
  <c r="O885" i="1"/>
  <c r="O918" i="1"/>
  <c r="O858" i="1"/>
  <c r="O530" i="1"/>
  <c r="O977" i="1"/>
  <c r="O221" i="1"/>
  <c r="O148" i="1"/>
  <c r="O377" i="1"/>
  <c r="O563" i="1"/>
  <c r="O180" i="1"/>
  <c r="O421" i="1"/>
  <c r="O994" i="1"/>
  <c r="O337" i="1"/>
  <c r="O922" i="1"/>
  <c r="O99" i="1"/>
  <c r="O181" i="1"/>
  <c r="O582" i="1"/>
  <c r="O477" i="1"/>
  <c r="O622" i="1"/>
  <c r="O572" i="1"/>
  <c r="O406" i="1"/>
  <c r="O378" i="1"/>
  <c r="O67" i="1"/>
  <c r="O859" i="1"/>
  <c r="O41" i="1"/>
  <c r="O956" i="1"/>
  <c r="O22" i="1"/>
  <c r="O583" i="1"/>
  <c r="O536" i="1"/>
  <c r="O926" i="1"/>
  <c r="O72" i="1"/>
  <c r="O772" i="1"/>
  <c r="O841" i="1"/>
  <c r="O787" i="1"/>
  <c r="O5" i="1"/>
  <c r="O222" i="1"/>
  <c r="O172" i="1"/>
  <c r="O191" i="1"/>
  <c r="O711" i="1"/>
  <c r="O613" i="1"/>
  <c r="O87" i="1"/>
  <c r="O45" i="1"/>
  <c r="O42" i="1"/>
  <c r="O704" i="1"/>
  <c r="O212" i="1"/>
  <c r="O53" i="1"/>
  <c r="O457" i="1"/>
  <c r="O379" i="1"/>
  <c r="O199" i="1"/>
  <c r="O860" i="1"/>
  <c r="O108" i="1"/>
  <c r="O943" i="1"/>
  <c r="O257" i="1"/>
  <c r="O186" i="1"/>
  <c r="O276" i="1"/>
  <c r="O799" i="1"/>
  <c r="O886" i="1"/>
  <c r="O667" i="1"/>
  <c r="O957" i="1"/>
  <c r="O514" i="1"/>
  <c r="O354" i="1"/>
  <c r="O637" i="1"/>
  <c r="O861" i="1"/>
  <c r="O879" i="1"/>
  <c r="O192" i="1"/>
  <c r="O997" i="1"/>
  <c r="O149" i="1"/>
  <c r="O458" i="1"/>
  <c r="O312" i="1"/>
  <c r="O10" i="1"/>
  <c r="O537" i="1"/>
  <c r="O416" i="1"/>
  <c r="O564" i="1"/>
  <c r="O865" i="1"/>
  <c r="O608" i="1"/>
  <c r="O150" i="1"/>
  <c r="O362" i="1"/>
  <c r="O673" i="1"/>
  <c r="O229" i="1"/>
  <c r="O592" i="1"/>
  <c r="O230" i="1"/>
  <c r="O143" i="1"/>
  <c r="O842" i="1"/>
  <c r="O843" i="1"/>
  <c r="O73" i="1"/>
  <c r="O8" i="1"/>
  <c r="O830" i="1"/>
  <c r="O417" i="1"/>
  <c r="O271" i="1"/>
  <c r="O418" i="1"/>
  <c r="O887" i="1"/>
  <c r="O730" i="1"/>
  <c r="O158" i="1"/>
  <c r="O522" i="1"/>
  <c r="O877" i="1"/>
  <c r="O90" i="1"/>
  <c r="O814" i="1"/>
  <c r="O303" i="1"/>
  <c r="O644" i="1"/>
  <c r="O6" i="1"/>
  <c r="O478" i="1"/>
  <c r="O705" i="1"/>
  <c r="O880" i="1"/>
  <c r="O489" i="1"/>
  <c r="O888" i="1"/>
  <c r="O546" i="1"/>
  <c r="O338" i="1"/>
  <c r="O553" i="1"/>
  <c r="O892" i="1"/>
  <c r="O118" i="1"/>
  <c r="O523" i="1"/>
  <c r="O200" i="1"/>
  <c r="O593" i="1"/>
  <c r="O515" i="1"/>
  <c r="O201" i="1"/>
  <c r="O755" i="1"/>
  <c r="O584" i="1"/>
  <c r="O791" i="1"/>
  <c r="O849" i="1"/>
  <c r="O239" i="1"/>
  <c r="O205" i="1"/>
  <c r="O907" i="1"/>
  <c r="O387" i="1"/>
  <c r="O573" i="1"/>
  <c r="O908" i="1"/>
  <c r="O320" i="1"/>
  <c r="O467" i="1"/>
  <c r="O206" i="1"/>
  <c r="O258" i="1"/>
  <c r="O638" i="1"/>
  <c r="O202" i="1"/>
  <c r="O1001" i="1"/>
  <c r="O780" i="1"/>
  <c r="O765" i="1"/>
  <c r="O91" i="1"/>
  <c r="O173" i="1"/>
  <c r="O100" i="1"/>
  <c r="O978" i="1"/>
  <c r="O407" i="1"/>
  <c r="O722" i="1"/>
  <c r="O538" i="1"/>
  <c r="O161" i="1"/>
  <c r="O660" i="1"/>
  <c r="O182" i="1"/>
  <c r="O599" i="1"/>
  <c r="O831" i="1"/>
  <c r="O388" i="1"/>
  <c r="O800" i="1"/>
  <c r="O490" i="1"/>
  <c r="O33" i="1"/>
  <c r="O468" i="1"/>
  <c r="O941" i="1"/>
  <c r="O213" i="1"/>
  <c r="O101" i="1"/>
  <c r="O134" i="1"/>
  <c r="O245" i="1"/>
  <c r="O554" i="1"/>
  <c r="O539" i="1"/>
  <c r="O821" i="1"/>
  <c r="O165" i="1"/>
  <c r="O459" i="1"/>
  <c r="O159" i="1"/>
  <c r="O788" i="1"/>
  <c r="O850" i="1"/>
  <c r="O363" i="1"/>
  <c r="O246" i="1"/>
  <c r="O193" i="1"/>
  <c r="O555" i="1"/>
  <c r="O600" i="1"/>
  <c r="O668" i="1"/>
  <c r="O996" i="1"/>
  <c r="O207" i="1"/>
  <c r="O524" i="1"/>
  <c r="O247" i="1"/>
  <c r="O815" i="1"/>
  <c r="O479" i="1"/>
  <c r="O480" i="1"/>
  <c r="O844" i="1"/>
  <c r="O321" i="1"/>
  <c r="O285" i="1"/>
  <c r="O344" i="1"/>
  <c r="O214" i="1"/>
  <c r="O893" i="1"/>
  <c r="O23" i="1"/>
  <c r="O372" i="1"/>
  <c r="O1005" i="1"/>
  <c r="O898" i="1"/>
  <c r="O364" i="1"/>
  <c r="O37" i="1"/>
  <c r="O373" i="1"/>
  <c r="O585" i="1"/>
  <c r="O871" i="1"/>
  <c r="O816" i="1"/>
  <c r="O930" i="1"/>
  <c r="O723" i="1"/>
  <c r="O231" i="1"/>
  <c r="O49" i="1"/>
  <c r="O547" i="1"/>
  <c r="O259" i="1"/>
  <c r="O631" i="1"/>
  <c r="O881" i="1"/>
  <c r="O1000" i="1"/>
  <c r="O215" i="1"/>
  <c r="O295" i="1"/>
  <c r="O949" i="1"/>
  <c r="O162" i="1"/>
  <c r="O57" i="1"/>
  <c r="O203" i="1"/>
  <c r="O194" i="1"/>
  <c r="O265" i="1"/>
  <c r="O394" i="1"/>
  <c r="O272" i="1"/>
  <c r="O674" i="1"/>
  <c r="O408" i="1"/>
  <c r="O223" i="1"/>
  <c r="O951" i="1"/>
  <c r="O944" i="1"/>
  <c r="O409" i="1"/>
  <c r="O927" i="1"/>
  <c r="O119" i="1"/>
  <c r="O187" i="1"/>
  <c r="O792" i="1"/>
  <c r="O248" i="1"/>
  <c r="O345" i="1"/>
  <c r="O249" i="1"/>
  <c r="O481" i="1"/>
  <c r="O58" i="1"/>
  <c r="O882" i="1"/>
  <c r="O601" i="1"/>
  <c r="O817" i="1"/>
  <c r="O273" i="1"/>
  <c r="O653" i="1"/>
  <c r="O556" i="1"/>
  <c r="O491" i="1"/>
  <c r="O540" i="1"/>
  <c r="O509" i="1"/>
  <c r="O130" i="1"/>
  <c r="O240" i="1"/>
  <c r="O503" i="1"/>
  <c r="O645" i="1"/>
  <c r="O266" i="1"/>
  <c r="O188" i="1"/>
  <c r="O250" i="1"/>
  <c r="O872" i="1"/>
  <c r="O945" i="1"/>
  <c r="O63" i="1"/>
  <c r="O646" i="1"/>
  <c r="O1009" i="1"/>
  <c r="O232" i="1"/>
  <c r="O883" i="1"/>
  <c r="O594" i="1"/>
  <c r="O969" i="1"/>
  <c r="O739" i="1"/>
  <c r="O135" i="1"/>
  <c r="O46" i="1"/>
  <c r="O565" i="1"/>
  <c r="O389" i="1"/>
  <c r="O904" i="1"/>
  <c r="O1002" i="1"/>
  <c r="O866" i="1"/>
  <c r="O740" i="1"/>
  <c r="O548" i="1"/>
  <c r="O355" i="1"/>
  <c r="O469" i="1"/>
  <c r="O356" i="1"/>
  <c r="O286" i="1"/>
  <c r="O675" i="1"/>
  <c r="O64" i="1"/>
  <c r="O390" i="1"/>
  <c r="O208" i="1"/>
  <c r="O632" i="1"/>
  <c r="O712" i="1"/>
  <c r="O339" i="1"/>
  <c r="O801" i="1"/>
  <c r="O525" i="1"/>
  <c r="O936" i="1"/>
  <c r="O639" i="1"/>
  <c r="O983" i="1"/>
  <c r="O661" i="1"/>
  <c r="O92" i="1"/>
  <c r="O682" i="1"/>
  <c r="O151" i="1"/>
  <c r="O756" i="1"/>
  <c r="O998" i="1"/>
  <c r="O693" i="1"/>
  <c r="O766" i="1"/>
  <c r="O676" i="1"/>
  <c r="O952" i="1"/>
  <c r="O990" i="1"/>
  <c r="O174" i="1"/>
  <c r="O251" i="1"/>
  <c r="O619" i="1"/>
  <c r="O346" i="1"/>
  <c r="O38" i="1"/>
  <c r="O510" i="1"/>
  <c r="O946" i="1"/>
  <c r="O120" i="1"/>
  <c r="O677" i="1"/>
  <c r="O260" i="1"/>
  <c r="O595" i="1"/>
  <c r="O136" i="1"/>
  <c r="O24" i="1"/>
  <c r="O261" i="1"/>
  <c r="O938" i="1"/>
  <c r="O959" i="1"/>
  <c r="O365" i="1"/>
  <c r="O460" i="1"/>
  <c r="O511" i="1"/>
  <c r="O609" i="1"/>
  <c r="O366" i="1"/>
  <c r="O531" i="1"/>
  <c r="O332" i="1"/>
  <c r="O429" i="1"/>
  <c r="O767" i="1"/>
  <c r="O380" i="1"/>
  <c r="O933" i="1"/>
  <c r="O678" i="1"/>
  <c r="O51" i="1"/>
  <c r="O574" i="1"/>
  <c r="O724" i="1"/>
  <c r="O679" i="1"/>
  <c r="O919" i="1"/>
  <c r="O749" i="1"/>
  <c r="O623" i="1"/>
  <c r="O713" i="1"/>
  <c r="O492" i="1"/>
  <c r="O586" i="1"/>
  <c r="O195" i="1"/>
  <c r="O776" i="1"/>
  <c r="O104" i="1"/>
  <c r="O391" i="1"/>
  <c r="O163" i="1"/>
  <c r="O549" i="1"/>
  <c r="O550" i="1"/>
  <c r="O961" i="1"/>
  <c r="O296" i="1"/>
  <c r="O410" i="1"/>
  <c r="O395" i="1"/>
  <c r="O614" i="1"/>
  <c r="O768" i="1"/>
  <c r="O54" i="1"/>
  <c r="O683" i="1"/>
  <c r="O731" i="1"/>
  <c r="O313" i="1"/>
  <c r="O980" i="1"/>
  <c r="O602" i="1"/>
  <c r="O109" i="1"/>
  <c r="O482" i="1"/>
  <c r="O694" i="1"/>
  <c r="O640" i="1"/>
  <c r="O615" i="1"/>
  <c r="O504" i="1"/>
  <c r="O732" i="1"/>
  <c r="O828" i="1"/>
  <c r="O483" i="1"/>
  <c r="O991" i="1"/>
  <c r="O920" i="1"/>
  <c r="O396" i="1"/>
  <c r="O695" i="1"/>
  <c r="O93" i="1"/>
  <c r="O287" i="1"/>
  <c r="O196" i="1"/>
  <c r="O516" i="1"/>
  <c r="O252" i="1"/>
  <c r="O233" i="1"/>
  <c r="O367" i="1"/>
  <c r="O566" i="1"/>
  <c r="O152" i="1"/>
  <c r="O931" i="1"/>
  <c r="O297" i="1"/>
  <c r="O234" i="1"/>
  <c r="O18" i="1"/>
  <c r="O381" i="1"/>
  <c r="O733" i="1"/>
  <c r="O706" i="1"/>
  <c r="O911" i="1"/>
  <c r="O102" i="1"/>
  <c r="O832" i="1"/>
  <c r="O2" i="1"/>
  <c r="O484" i="1"/>
  <c r="O773" i="1"/>
  <c r="O851" i="1"/>
  <c r="O374" i="1"/>
  <c r="O96" i="1"/>
  <c r="O567" i="1"/>
  <c r="O76" i="1"/>
  <c r="O1011" i="1"/>
  <c r="O493" i="1"/>
  <c r="O131" i="1"/>
  <c r="O183" i="1"/>
  <c r="O725" i="1"/>
  <c r="O470" i="1"/>
  <c r="O845" i="1"/>
  <c r="O624" i="1"/>
  <c r="O47" i="1"/>
  <c r="O267" i="1"/>
  <c r="O494" i="1"/>
  <c r="O347" i="1"/>
  <c r="O616" i="1"/>
  <c r="O397" i="1"/>
  <c r="O921" i="1"/>
  <c r="O769" i="1"/>
  <c r="O551" i="1"/>
  <c r="O822" i="1"/>
  <c r="O833" i="1"/>
  <c r="O392" i="1"/>
  <c r="O781" i="1"/>
  <c r="O440" i="1"/>
  <c r="O719" i="1"/>
  <c r="O169" i="1"/>
  <c r="O802" i="1"/>
  <c r="O541" i="1"/>
  <c r="O105" i="1"/>
  <c r="O741" i="1"/>
  <c r="O633" i="1"/>
  <c r="O939" i="1"/>
  <c r="O846" i="1"/>
  <c r="O411" i="1"/>
  <c r="O505" i="1"/>
  <c r="O357" i="1"/>
  <c r="O224" i="1"/>
  <c r="O44" i="1"/>
  <c r="O689" i="1"/>
  <c r="O34" i="1"/>
  <c r="O852" i="1"/>
  <c r="O793" i="1"/>
  <c r="O495" i="1"/>
  <c r="O757" i="1"/>
  <c r="O235" i="1"/>
  <c r="O68" i="1"/>
  <c r="O348" i="1"/>
  <c r="O823" i="1"/>
  <c r="O992" i="1"/>
  <c r="O696" i="1"/>
  <c r="O55" i="1"/>
  <c r="O144" i="1"/>
  <c r="O153" i="1"/>
  <c r="O412" i="1"/>
  <c r="O333" i="1"/>
  <c r="O314" i="1"/>
  <c r="O734" i="1"/>
  <c r="O81" i="1"/>
  <c r="O647" i="1"/>
  <c r="O789" i="1"/>
  <c r="O847" i="1"/>
  <c r="O625" i="1"/>
  <c r="O697" i="1"/>
  <c r="O940" i="1"/>
  <c r="O974" i="1"/>
  <c r="O471" i="1"/>
  <c r="O445" i="1"/>
  <c r="O848" i="1"/>
  <c r="O962" i="1"/>
  <c r="O82" i="1"/>
  <c r="O430" i="1"/>
  <c r="O253" i="1"/>
  <c r="O750" i="1"/>
  <c r="O684" i="1"/>
  <c r="O334" i="1"/>
  <c r="O617" i="1"/>
  <c r="O419" i="1"/>
  <c r="O184" i="1"/>
  <c r="O209" i="1"/>
  <c r="O65" i="1"/>
  <c r="O587" i="1"/>
  <c r="O185" i="1"/>
  <c r="O19" i="1"/>
  <c r="O506" i="1"/>
  <c r="O588" i="1"/>
  <c r="O349" i="1"/>
  <c r="O834" i="1"/>
  <c r="O69" i="1"/>
  <c r="O923" i="1"/>
  <c r="O507" i="1"/>
  <c r="O924" i="1"/>
  <c r="O987" i="1"/>
  <c r="O472" i="1"/>
  <c r="O575" i="1"/>
  <c r="O589" i="1"/>
  <c r="O517" i="1"/>
  <c r="O277" i="1"/>
  <c r="O422" i="1"/>
  <c r="O31" i="1"/>
  <c r="O322" i="1"/>
  <c r="O995" i="1"/>
  <c r="O928" i="1"/>
  <c r="O13" i="1"/>
  <c r="O431" i="1"/>
  <c r="O818" i="1"/>
  <c r="O508" i="1"/>
  <c r="O382" i="1"/>
  <c r="O29" i="1"/>
  <c r="O742" i="1"/>
  <c r="O680" i="1"/>
  <c r="O298" i="1"/>
  <c r="O878" i="1"/>
  <c r="O782" i="1"/>
  <c r="O83" i="1"/>
  <c r="O794" i="1"/>
  <c r="O662" i="1"/>
  <c r="O43" i="1"/>
  <c r="O216" i="1"/>
  <c r="O398" i="1"/>
  <c r="O278" i="1"/>
  <c r="O323" i="1"/>
  <c r="O375" i="1"/>
  <c r="O889" i="1"/>
  <c r="O751" i="1"/>
  <c r="O654" i="1"/>
  <c r="O685" i="1"/>
  <c r="O752" i="1"/>
  <c r="O655" i="1"/>
  <c r="O526" i="1"/>
  <c r="O324" i="1"/>
  <c r="O15" i="1"/>
  <c r="O461" i="1"/>
  <c r="O1012" i="1"/>
  <c r="O835" i="1"/>
  <c r="O358" i="1"/>
  <c r="O279" i="1"/>
  <c r="O698" i="1"/>
  <c r="O1004" i="1"/>
  <c r="O236" i="1"/>
  <c r="O758" i="1"/>
  <c r="O75" i="1"/>
  <c r="O441" i="1"/>
  <c r="O126" i="1"/>
  <c r="O854" i="1"/>
  <c r="O626" i="1"/>
  <c r="O634" i="1"/>
  <c r="O596" i="1"/>
  <c r="O656" i="1"/>
  <c r="O39" i="1"/>
  <c r="O383" i="1"/>
  <c r="O56" i="1"/>
  <c r="O527" i="1"/>
  <c r="O967" i="1"/>
  <c r="O137" i="1"/>
  <c r="O88" i="1"/>
  <c r="O473" i="1"/>
  <c r="O867" i="1"/>
  <c r="O669" i="1"/>
  <c r="O803" i="1"/>
  <c r="O25" i="1"/>
  <c r="O670" i="1"/>
  <c r="O9" i="1"/>
  <c r="O512" i="1"/>
  <c r="O836" i="1"/>
  <c r="O855" i="1"/>
  <c r="O868" i="1"/>
  <c r="O518" i="1"/>
  <c r="O496" i="1"/>
  <c r="O340" i="1"/>
  <c r="O145" i="1"/>
  <c r="O146" i="1"/>
  <c r="O442" i="1"/>
  <c r="O280" i="1"/>
  <c r="O89" i="1"/>
  <c r="O217" i="1"/>
  <c r="O325" i="1"/>
  <c r="O899" i="1"/>
  <c r="O121" i="1"/>
  <c r="O254" i="1"/>
  <c r="O241" i="1"/>
  <c r="O568" i="1"/>
  <c r="O288" i="1"/>
  <c r="O576" i="1"/>
  <c r="O947" i="1"/>
  <c r="O985" i="1"/>
  <c r="O274" i="1"/>
  <c r="O809" i="1"/>
  <c r="O315" i="1"/>
  <c r="O52" i="1"/>
  <c r="O443" i="1"/>
  <c r="O262" i="1"/>
  <c r="O557" i="1"/>
  <c r="O900" i="1"/>
  <c r="O558" i="1"/>
  <c r="O804" i="1"/>
  <c r="O77" i="1"/>
  <c r="O316" i="1"/>
  <c r="O513" i="1"/>
  <c r="O569" i="1"/>
  <c r="O519" i="1"/>
  <c r="O474" i="1"/>
  <c r="O747" i="1"/>
  <c r="O462" i="1"/>
  <c r="O138" i="1"/>
  <c r="O446" i="1"/>
  <c r="O268" i="1"/>
  <c r="O432" i="1"/>
  <c r="O811" i="1"/>
  <c r="O326" i="1"/>
  <c r="O242" i="1"/>
  <c r="O317" i="1"/>
  <c r="O681" i="1"/>
  <c r="O289" i="1"/>
  <c r="O281" i="1"/>
  <c r="O812" i="1"/>
  <c r="O648" i="1"/>
  <c r="O413" i="1"/>
  <c r="O620" i="1"/>
  <c r="O743" i="1"/>
  <c r="O981" i="1"/>
  <c r="O559" i="1"/>
  <c r="O11" i="1"/>
  <c r="O282" i="1"/>
  <c r="O283" i="1"/>
  <c r="O837" i="1"/>
  <c r="O66" i="1"/>
  <c r="O838" i="1"/>
  <c r="O290" i="1"/>
  <c r="O341" i="1"/>
  <c r="O291" i="1"/>
  <c r="O759" i="1"/>
  <c r="O112" i="1"/>
  <c r="O154" i="1"/>
  <c r="O520" i="1"/>
  <c r="O399" i="1"/>
  <c r="O958" i="1"/>
  <c r="O175" i="1"/>
  <c r="O560" i="1"/>
  <c r="O97" i="1"/>
  <c r="O577" i="1"/>
  <c r="O635" i="1"/>
  <c r="O532" i="1"/>
  <c r="O976" i="1"/>
  <c r="O699" i="1"/>
  <c r="O110" i="1"/>
  <c r="O805" i="1"/>
  <c r="O59" i="1"/>
  <c r="O777" i="1"/>
  <c r="O7" i="1"/>
  <c r="O160" i="1"/>
  <c r="O497" i="1"/>
  <c r="O103" i="1"/>
  <c r="O327" i="1"/>
  <c r="O16" i="1"/>
  <c r="O299" i="1"/>
  <c r="O166" i="1"/>
  <c r="O498" i="1"/>
  <c r="O726" i="1"/>
  <c r="O122" i="1"/>
  <c r="O912" i="1"/>
  <c r="O942" i="1"/>
  <c r="O300" i="1"/>
  <c r="O376" i="1"/>
  <c r="O707" i="1"/>
  <c r="O139" i="1"/>
  <c r="O950" i="1"/>
  <c r="O304" i="1"/>
  <c r="O901" i="1"/>
  <c r="O50" i="1"/>
  <c r="O890" i="1"/>
  <c r="O760" i="1"/>
  <c r="O657" i="1"/>
  <c r="O111" i="1"/>
  <c r="O597" i="1"/>
  <c r="O305" i="1"/>
  <c r="O708" i="1"/>
  <c r="O306" i="1"/>
  <c r="O869" i="1"/>
  <c r="O155" i="1"/>
  <c r="O499" i="1"/>
  <c r="O824" i="1"/>
  <c r="O307" i="1"/>
  <c r="O393" i="1"/>
  <c r="O521" i="1"/>
  <c r="O753" i="1"/>
  <c r="O744" i="1"/>
  <c r="O447" i="1"/>
  <c r="O485" i="1"/>
  <c r="O263" i="1"/>
  <c r="O123" i="1"/>
  <c r="O774" i="1"/>
  <c r="O48" i="1"/>
  <c r="O778" i="1"/>
  <c r="O433" i="1"/>
  <c r="O709" i="1"/>
  <c r="O328" i="1"/>
  <c r="O618" i="1"/>
  <c r="O810" i="1"/>
  <c r="O164" i="1"/>
  <c r="O627" i="1"/>
  <c r="O663" i="1"/>
  <c r="O368" i="1"/>
  <c r="O434" i="1"/>
  <c r="O542" i="1"/>
  <c r="O400" i="1"/>
  <c r="O714" i="1"/>
  <c r="O873" i="1"/>
  <c r="O335" i="1"/>
  <c r="O603" i="1"/>
  <c r="O359" i="1"/>
  <c r="O604" i="1"/>
  <c r="O795" i="1"/>
  <c r="O448" i="1"/>
  <c r="O965" i="1"/>
  <c r="O243" i="1"/>
  <c r="O84" i="1"/>
  <c r="O813" i="1"/>
  <c r="O127" i="1"/>
  <c r="O170" i="1"/>
  <c r="O727" i="1"/>
  <c r="O128" i="1"/>
  <c r="O953" i="1"/>
  <c r="O284" i="1"/>
  <c r="O1003" i="1"/>
  <c r="O578" i="1"/>
  <c r="O690" i="1"/>
  <c r="O748" i="1"/>
  <c r="O561" i="1"/>
  <c r="O444" i="1"/>
  <c r="O132" i="1"/>
  <c r="O894" i="1"/>
  <c r="O543" i="1"/>
  <c r="O435" i="1"/>
  <c r="O862" i="1"/>
  <c r="O658" i="1"/>
  <c r="O783" i="1"/>
  <c r="O449" i="1"/>
  <c r="O275" i="1"/>
  <c r="O35" i="1"/>
  <c r="O113" i="1"/>
  <c r="O292" i="1"/>
  <c r="O269" i="1"/>
  <c r="O414" i="1"/>
  <c r="O954" i="1"/>
  <c r="O237" i="1"/>
  <c r="O784" i="1"/>
  <c r="O971" i="1"/>
  <c r="O909" i="1"/>
  <c r="O641" i="1"/>
  <c r="O156" i="1"/>
  <c r="O225" i="1"/>
  <c r="O60" i="1"/>
  <c r="O761" i="1"/>
  <c r="O463" i="1"/>
  <c r="O913" i="1"/>
  <c r="O106" i="1"/>
  <c r="O664" i="1"/>
  <c r="O85" i="1"/>
  <c r="O856" i="1"/>
  <c r="O189" i="1"/>
  <c r="O819" i="1"/>
  <c r="O628" i="1"/>
  <c r="O579" i="1"/>
  <c r="O436" i="1"/>
  <c r="O218" i="1"/>
  <c r="O715" i="1"/>
  <c r="O691" i="1"/>
  <c r="O140" i="1"/>
  <c r="O972" i="1"/>
  <c r="O147" i="1"/>
  <c r="O853" i="1"/>
  <c r="O544" i="1"/>
  <c r="O580" i="1"/>
  <c r="O219" i="1"/>
  <c r="O762" i="1"/>
  <c r="O384" i="1"/>
  <c r="O925" i="1"/>
  <c r="O728" i="1"/>
  <c r="O989" i="1"/>
  <c r="O293" i="1"/>
  <c r="O754" i="1"/>
  <c r="O94" i="1"/>
  <c r="O86" i="1"/>
  <c r="O763" i="1"/>
  <c r="O533" i="1"/>
  <c r="O318" i="1"/>
  <c r="O486" i="1"/>
  <c r="O598" i="1"/>
  <c r="O70" i="1"/>
  <c r="O437" i="1"/>
  <c r="O671" i="1"/>
  <c r="O17" i="1"/>
  <c r="O450" i="1"/>
  <c r="O308" i="1"/>
  <c r="O884" i="1"/>
  <c r="O255" i="1"/>
  <c r="O764" i="1"/>
  <c r="O114" i="1"/>
  <c r="O970" i="1"/>
  <c r="O336" i="1"/>
  <c r="O27" i="1"/>
  <c r="O124" i="1"/>
  <c r="O785" i="1"/>
  <c r="O902" i="1"/>
  <c r="O319" i="1"/>
  <c r="O863" i="1"/>
  <c r="O975" i="1"/>
  <c r="O369" i="1"/>
  <c r="O167" i="1"/>
  <c r="O78" i="1"/>
  <c r="O775" i="1"/>
  <c r="O438" i="1"/>
  <c r="O157" i="1"/>
  <c r="O735" i="1"/>
  <c r="O423" i="1"/>
  <c r="O401" i="1"/>
  <c r="O590" i="1"/>
  <c r="O424" i="1"/>
  <c r="O451" i="1"/>
  <c r="O993" i="1"/>
  <c r="O986" i="1"/>
  <c r="O370" i="1"/>
  <c r="O21" i="1"/>
  <c r="O642" i="1"/>
  <c r="O452" i="1"/>
  <c r="O905" i="1"/>
  <c r="O79" i="1"/>
  <c r="O80" i="1"/>
  <c r="O610" i="1"/>
  <c r="O210" i="1"/>
  <c r="O611" i="1"/>
  <c r="O988" i="1"/>
  <c r="O999" i="1"/>
  <c r="O350" i="1"/>
  <c r="O649" i="1"/>
  <c r="O309" i="1"/>
  <c r="O98" i="1"/>
  <c r="O310" i="1"/>
  <c r="O963" i="1"/>
  <c r="O12" i="1"/>
  <c r="O226" i="1"/>
  <c r="O176" i="1"/>
  <c r="O829" i="1"/>
  <c r="O115" i="1"/>
  <c r="O402" i="1"/>
  <c r="O914" i="1"/>
  <c r="O915" i="1"/>
  <c r="O227" i="1"/>
  <c r="O686" i="1"/>
  <c r="O716" i="1"/>
  <c r="O796" i="1"/>
  <c r="O500" i="1"/>
  <c r="O3" i="1"/>
  <c r="O825" i="1"/>
  <c r="O403" i="1"/>
  <c r="O32" i="1"/>
  <c r="O475" i="1"/>
  <c r="O934" i="1"/>
  <c r="O501" i="1"/>
  <c r="O650" i="1"/>
  <c r="O415" i="1"/>
  <c r="O545" i="1"/>
  <c r="O736" i="1"/>
  <c r="O552" i="1"/>
  <c r="O937" i="1"/>
  <c r="O839" i="1"/>
  <c r="O425" i="1"/>
  <c r="O672" i="1"/>
  <c r="O487" i="1"/>
  <c r="O895" i="1"/>
  <c r="O40" i="1"/>
  <c r="O605" i="1"/>
  <c r="O700" i="1"/>
  <c r="O737" i="1"/>
  <c r="O129" i="1"/>
  <c r="O404" i="1"/>
  <c r="O439" i="1"/>
  <c r="O71" i="1"/>
  <c r="O426" i="1"/>
  <c r="O651" i="1"/>
  <c r="O629" i="1"/>
  <c r="O729" i="1"/>
  <c r="O168" i="1"/>
  <c r="O770" i="1"/>
  <c r="O864" i="1"/>
  <c r="O488" i="1"/>
  <c r="O204" i="1"/>
  <c r="O228" i="1"/>
  <c r="O351" i="1"/>
  <c r="O786" i="1"/>
  <c r="O528" i="1"/>
  <c r="O606" i="1"/>
  <c r="O125" i="1"/>
  <c r="O14" i="1"/>
  <c r="O771" i="1"/>
  <c r="O294" i="1"/>
  <c r="O692" i="1"/>
  <c r="O840" i="1"/>
  <c r="O4" i="1"/>
  <c r="O385" i="1"/>
  <c r="O630" i="1"/>
  <c r="O502" i="1"/>
  <c r="O948" i="1"/>
  <c r="O636" i="1"/>
  <c r="O427" i="1"/>
  <c r="O197" i="1"/>
  <c r="O20" i="1"/>
  <c r="O360" i="1"/>
  <c r="O790" i="1"/>
  <c r="O717" i="1"/>
  <c r="O652" i="1"/>
  <c r="O329" i="1"/>
  <c r="O665" i="1"/>
  <c r="O643" i="1"/>
  <c r="O903" i="1"/>
  <c r="O28" i="1"/>
  <c r="O1013" i="1"/>
  <c r="O211" i="1"/>
  <c r="O133" i="1"/>
  <c r="O107" i="1"/>
  <c r="O264" i="1"/>
  <c r="O797" i="1"/>
  <c r="O870" i="1"/>
  <c r="O256" i="1"/>
  <c r="O935" i="1"/>
  <c r="O220" i="1"/>
  <c r="O177" i="1"/>
  <c r="O311" i="1"/>
  <c r="O464" i="1"/>
  <c r="O453" i="1"/>
  <c r="O621" i="1"/>
  <c r="O26" i="1"/>
  <c r="O738" i="1"/>
  <c r="O570" i="1"/>
  <c r="O330" i="1"/>
  <c r="O141" i="1"/>
  <c r="O238" i="1"/>
  <c r="O955" i="1"/>
  <c r="O896" i="1"/>
  <c r="O1008" i="1"/>
  <c r="O806" i="1"/>
  <c r="O1010" i="1"/>
  <c r="O61" i="1"/>
  <c r="O95" i="1"/>
  <c r="O906" i="1"/>
  <c r="O465" i="1"/>
  <c r="O874" i="1"/>
  <c r="O897" i="1"/>
  <c r="O984" i="1"/>
  <c r="N361" i="1"/>
  <c r="N820" i="1"/>
  <c r="N30" i="1"/>
  <c r="N875" i="1"/>
  <c r="N270" i="1"/>
  <c r="N244" i="1"/>
  <c r="N36" i="1"/>
  <c r="N964" i="1"/>
  <c r="N562" i="1"/>
  <c r="N876" i="1"/>
  <c r="N779" i="1"/>
  <c r="N929" i="1"/>
  <c r="N352" i="1"/>
  <c r="N342" i="1"/>
  <c r="N798" i="1"/>
  <c r="N331" i="1"/>
  <c r="N74" i="1"/>
  <c r="N1006" i="1"/>
  <c r="N932" i="1"/>
  <c r="N720" i="1"/>
  <c r="N534" i="1"/>
  <c r="N428" i="1"/>
  <c r="N857" i="1"/>
  <c r="N386" i="1"/>
  <c r="N301" i="1"/>
  <c r="N353" i="1"/>
  <c r="N687" i="1"/>
  <c r="N420" i="1"/>
  <c r="N476" i="1"/>
  <c r="N454" i="1"/>
  <c r="N371" i="1"/>
  <c r="N612" i="1"/>
  <c r="N581" i="1"/>
  <c r="N966" i="1"/>
  <c r="N62" i="1"/>
  <c r="N178" i="1"/>
  <c r="N198" i="1"/>
  <c r="N721" i="1"/>
  <c r="N116" i="1"/>
  <c r="N745" i="1"/>
  <c r="N746" i="1"/>
  <c r="N529" i="1"/>
  <c r="N701" i="1"/>
  <c r="N607" i="1"/>
  <c r="N807" i="1"/>
  <c r="N702" i="1"/>
  <c r="N659" i="1"/>
  <c r="N405" i="1"/>
  <c r="N455" i="1"/>
  <c r="N142" i="1"/>
  <c r="N826" i="1"/>
  <c r="N891" i="1"/>
  <c r="N916" i="1"/>
  <c r="N179" i="1"/>
  <c r="N171" i="1"/>
  <c r="N973" i="1"/>
  <c r="N117" i="1"/>
  <c r="N827" i="1"/>
  <c r="N710" i="1"/>
  <c r="N1014" i="1"/>
  <c r="N302" i="1"/>
  <c r="N982" i="1"/>
  <c r="N688" i="1"/>
  <c r="N343" i="1"/>
  <c r="N703" i="1"/>
  <c r="N591" i="1"/>
  <c r="N968" i="1"/>
  <c r="N466" i="1"/>
  <c r="N979" i="1"/>
  <c r="N808" i="1"/>
  <c r="N571" i="1"/>
  <c r="N666" i="1"/>
  <c r="N910" i="1"/>
  <c r="N718" i="1"/>
  <c r="N917" i="1"/>
  <c r="N960" i="1"/>
  <c r="N1007" i="1"/>
  <c r="N190" i="1"/>
  <c r="N456" i="1"/>
  <c r="N535" i="1"/>
  <c r="N885" i="1"/>
  <c r="N918" i="1"/>
  <c r="N858" i="1"/>
  <c r="N530" i="1"/>
  <c r="N977" i="1"/>
  <c r="N221" i="1"/>
  <c r="N148" i="1"/>
  <c r="N377" i="1"/>
  <c r="N563" i="1"/>
  <c r="N180" i="1"/>
  <c r="N421" i="1"/>
  <c r="N994" i="1"/>
  <c r="N337" i="1"/>
  <c r="N922" i="1"/>
  <c r="N99" i="1"/>
  <c r="N181" i="1"/>
  <c r="N582" i="1"/>
  <c r="N477" i="1"/>
  <c r="N622" i="1"/>
  <c r="N572" i="1"/>
  <c r="N406" i="1"/>
  <c r="N378" i="1"/>
  <c r="N67" i="1"/>
  <c r="N859" i="1"/>
  <c r="N41" i="1"/>
  <c r="N956" i="1"/>
  <c r="N22" i="1"/>
  <c r="N583" i="1"/>
  <c r="N536" i="1"/>
  <c r="N926" i="1"/>
  <c r="N72" i="1"/>
  <c r="N772" i="1"/>
  <c r="N841" i="1"/>
  <c r="N787" i="1"/>
  <c r="N5" i="1"/>
  <c r="N222" i="1"/>
  <c r="N172" i="1"/>
  <c r="N191" i="1"/>
  <c r="N711" i="1"/>
  <c r="N613" i="1"/>
  <c r="N87" i="1"/>
  <c r="N45" i="1"/>
  <c r="N42" i="1"/>
  <c r="N704" i="1"/>
  <c r="N212" i="1"/>
  <c r="N53" i="1"/>
  <c r="N457" i="1"/>
  <c r="N379" i="1"/>
  <c r="N199" i="1"/>
  <c r="N860" i="1"/>
  <c r="N108" i="1"/>
  <c r="N943" i="1"/>
  <c r="N257" i="1"/>
  <c r="N186" i="1"/>
  <c r="N276" i="1"/>
  <c r="N799" i="1"/>
  <c r="N886" i="1"/>
  <c r="N667" i="1"/>
  <c r="N957" i="1"/>
  <c r="N514" i="1"/>
  <c r="N354" i="1"/>
  <c r="N637" i="1"/>
  <c r="N861" i="1"/>
  <c r="N879" i="1"/>
  <c r="N192" i="1"/>
  <c r="N997" i="1"/>
  <c r="N149" i="1"/>
  <c r="N458" i="1"/>
  <c r="N312" i="1"/>
  <c r="N10" i="1"/>
  <c r="N537" i="1"/>
  <c r="N416" i="1"/>
  <c r="N564" i="1"/>
  <c r="N865" i="1"/>
  <c r="N608" i="1"/>
  <c r="N150" i="1"/>
  <c r="N362" i="1"/>
  <c r="N673" i="1"/>
  <c r="N229" i="1"/>
  <c r="N592" i="1"/>
  <c r="N230" i="1"/>
  <c r="N143" i="1"/>
  <c r="N842" i="1"/>
  <c r="N843" i="1"/>
  <c r="N73" i="1"/>
  <c r="N8" i="1"/>
  <c r="N830" i="1"/>
  <c r="N417" i="1"/>
  <c r="N271" i="1"/>
  <c r="N418" i="1"/>
  <c r="N887" i="1"/>
  <c r="N730" i="1"/>
  <c r="N158" i="1"/>
  <c r="N522" i="1"/>
  <c r="N877" i="1"/>
  <c r="N90" i="1"/>
  <c r="N814" i="1"/>
  <c r="N303" i="1"/>
  <c r="N644" i="1"/>
  <c r="N6" i="1"/>
  <c r="N478" i="1"/>
  <c r="N705" i="1"/>
  <c r="N880" i="1"/>
  <c r="N489" i="1"/>
  <c r="N888" i="1"/>
  <c r="N546" i="1"/>
  <c r="N338" i="1"/>
  <c r="N553" i="1"/>
  <c r="N892" i="1"/>
  <c r="N118" i="1"/>
  <c r="N523" i="1"/>
  <c r="N200" i="1"/>
  <c r="N593" i="1"/>
  <c r="N515" i="1"/>
  <c r="N201" i="1"/>
  <c r="N755" i="1"/>
  <c r="N584" i="1"/>
  <c r="N791" i="1"/>
  <c r="N849" i="1"/>
  <c r="N239" i="1"/>
  <c r="N205" i="1"/>
  <c r="N907" i="1"/>
  <c r="N387" i="1"/>
  <c r="N573" i="1"/>
  <c r="N908" i="1"/>
  <c r="N320" i="1"/>
  <c r="N467" i="1"/>
  <c r="N206" i="1"/>
  <c r="N258" i="1"/>
  <c r="N638" i="1"/>
  <c r="N202" i="1"/>
  <c r="N1001" i="1"/>
  <c r="N780" i="1"/>
  <c r="N765" i="1"/>
  <c r="N91" i="1"/>
  <c r="N173" i="1"/>
  <c r="N100" i="1"/>
  <c r="N978" i="1"/>
  <c r="N407" i="1"/>
  <c r="N722" i="1"/>
  <c r="N538" i="1"/>
  <c r="N161" i="1"/>
  <c r="N660" i="1"/>
  <c r="N182" i="1"/>
  <c r="N599" i="1"/>
  <c r="N831" i="1"/>
  <c r="N388" i="1"/>
  <c r="N800" i="1"/>
  <c r="N490" i="1"/>
  <c r="N33" i="1"/>
  <c r="N468" i="1"/>
  <c r="N941" i="1"/>
  <c r="N213" i="1"/>
  <c r="N101" i="1"/>
  <c r="N134" i="1"/>
  <c r="N245" i="1"/>
  <c r="N554" i="1"/>
  <c r="N539" i="1"/>
  <c r="N821" i="1"/>
  <c r="N165" i="1"/>
  <c r="N459" i="1"/>
  <c r="N159" i="1"/>
  <c r="N788" i="1"/>
  <c r="N850" i="1"/>
  <c r="N363" i="1"/>
  <c r="N246" i="1"/>
  <c r="N193" i="1"/>
  <c r="N555" i="1"/>
  <c r="N600" i="1"/>
  <c r="N668" i="1"/>
  <c r="N996" i="1"/>
  <c r="N207" i="1"/>
  <c r="N524" i="1"/>
  <c r="N247" i="1"/>
  <c r="N815" i="1"/>
  <c r="N479" i="1"/>
  <c r="N480" i="1"/>
  <c r="N844" i="1"/>
  <c r="N321" i="1"/>
  <c r="N285" i="1"/>
  <c r="N344" i="1"/>
  <c r="N214" i="1"/>
  <c r="N893" i="1"/>
  <c r="N23" i="1"/>
  <c r="N372" i="1"/>
  <c r="N1005" i="1"/>
  <c r="N898" i="1"/>
  <c r="N364" i="1"/>
  <c r="N37" i="1"/>
  <c r="N373" i="1"/>
  <c r="N585" i="1"/>
  <c r="N871" i="1"/>
  <c r="N816" i="1"/>
  <c r="N930" i="1"/>
  <c r="N723" i="1"/>
  <c r="N231" i="1"/>
  <c r="N49" i="1"/>
  <c r="N547" i="1"/>
  <c r="N259" i="1"/>
  <c r="N631" i="1"/>
  <c r="N881" i="1"/>
  <c r="N1000" i="1"/>
  <c r="N215" i="1"/>
  <c r="N295" i="1"/>
  <c r="N949" i="1"/>
  <c r="N162" i="1"/>
  <c r="N57" i="1"/>
  <c r="N203" i="1"/>
  <c r="N194" i="1"/>
  <c r="N265" i="1"/>
  <c r="N394" i="1"/>
  <c r="N272" i="1"/>
  <c r="N674" i="1"/>
  <c r="N408" i="1"/>
  <c r="N223" i="1"/>
  <c r="N951" i="1"/>
  <c r="N944" i="1"/>
  <c r="N409" i="1"/>
  <c r="N927" i="1"/>
  <c r="N119" i="1"/>
  <c r="N187" i="1"/>
  <c r="N792" i="1"/>
  <c r="N248" i="1"/>
  <c r="N345" i="1"/>
  <c r="N249" i="1"/>
  <c r="N481" i="1"/>
  <c r="N58" i="1"/>
  <c r="N882" i="1"/>
  <c r="N601" i="1"/>
  <c r="N817" i="1"/>
  <c r="N273" i="1"/>
  <c r="N653" i="1"/>
  <c r="N556" i="1"/>
  <c r="N491" i="1"/>
  <c r="N540" i="1"/>
  <c r="N509" i="1"/>
  <c r="N130" i="1"/>
  <c r="N240" i="1"/>
  <c r="N503" i="1"/>
  <c r="N645" i="1"/>
  <c r="N266" i="1"/>
  <c r="N188" i="1"/>
  <c r="N250" i="1"/>
  <c r="N872" i="1"/>
  <c r="N945" i="1"/>
  <c r="N63" i="1"/>
  <c r="N646" i="1"/>
  <c r="N1009" i="1"/>
  <c r="N232" i="1"/>
  <c r="N883" i="1"/>
  <c r="N594" i="1"/>
  <c r="N969" i="1"/>
  <c r="N739" i="1"/>
  <c r="N135" i="1"/>
  <c r="N46" i="1"/>
  <c r="N565" i="1"/>
  <c r="N389" i="1"/>
  <c r="N904" i="1"/>
  <c r="N1002" i="1"/>
  <c r="N866" i="1"/>
  <c r="N740" i="1"/>
  <c r="N548" i="1"/>
  <c r="N355" i="1"/>
  <c r="N469" i="1"/>
  <c r="N356" i="1"/>
  <c r="N286" i="1"/>
  <c r="N675" i="1"/>
  <c r="N64" i="1"/>
  <c r="N390" i="1"/>
  <c r="N208" i="1"/>
  <c r="N632" i="1"/>
  <c r="N712" i="1"/>
  <c r="N339" i="1"/>
  <c r="N801" i="1"/>
  <c r="N525" i="1"/>
  <c r="N936" i="1"/>
  <c r="N639" i="1"/>
  <c r="N983" i="1"/>
  <c r="N661" i="1"/>
  <c r="N92" i="1"/>
  <c r="N682" i="1"/>
  <c r="N151" i="1"/>
  <c r="N756" i="1"/>
  <c r="N998" i="1"/>
  <c r="N693" i="1"/>
  <c r="N766" i="1"/>
  <c r="N676" i="1"/>
  <c r="N952" i="1"/>
  <c r="N990" i="1"/>
  <c r="N174" i="1"/>
  <c r="N251" i="1"/>
  <c r="N619" i="1"/>
  <c r="N346" i="1"/>
  <c r="N38" i="1"/>
  <c r="N510" i="1"/>
  <c r="N946" i="1"/>
  <c r="N120" i="1"/>
  <c r="N677" i="1"/>
  <c r="N260" i="1"/>
  <c r="N595" i="1"/>
  <c r="N136" i="1"/>
  <c r="N24" i="1"/>
  <c r="N261" i="1"/>
  <c r="N938" i="1"/>
  <c r="N959" i="1"/>
  <c r="N365" i="1"/>
  <c r="N460" i="1"/>
  <c r="N511" i="1"/>
  <c r="N609" i="1"/>
  <c r="N366" i="1"/>
  <c r="N531" i="1"/>
  <c r="N332" i="1"/>
  <c r="N429" i="1"/>
  <c r="N767" i="1"/>
  <c r="N380" i="1"/>
  <c r="N933" i="1"/>
  <c r="N678" i="1"/>
  <c r="N51" i="1"/>
  <c r="N574" i="1"/>
  <c r="N724" i="1"/>
  <c r="N679" i="1"/>
  <c r="N919" i="1"/>
  <c r="N749" i="1"/>
  <c r="N623" i="1"/>
  <c r="N713" i="1"/>
  <c r="N492" i="1"/>
  <c r="N586" i="1"/>
  <c r="N195" i="1"/>
  <c r="N776" i="1"/>
  <c r="N104" i="1"/>
  <c r="N391" i="1"/>
  <c r="N163" i="1"/>
  <c r="N549" i="1"/>
  <c r="N550" i="1"/>
  <c r="N961" i="1"/>
  <c r="N296" i="1"/>
  <c r="N410" i="1"/>
  <c r="N395" i="1"/>
  <c r="N614" i="1"/>
  <c r="N768" i="1"/>
  <c r="N54" i="1"/>
  <c r="N683" i="1"/>
  <c r="N731" i="1"/>
  <c r="N313" i="1"/>
  <c r="N980" i="1"/>
  <c r="N602" i="1"/>
  <c r="N109" i="1"/>
  <c r="N482" i="1"/>
  <c r="N694" i="1"/>
  <c r="N640" i="1"/>
  <c r="N615" i="1"/>
  <c r="N504" i="1"/>
  <c r="N732" i="1"/>
  <c r="N828" i="1"/>
  <c r="N483" i="1"/>
  <c r="N991" i="1"/>
  <c r="N920" i="1"/>
  <c r="N396" i="1"/>
  <c r="N695" i="1"/>
  <c r="N93" i="1"/>
  <c r="N287" i="1"/>
  <c r="N196" i="1"/>
  <c r="N516" i="1"/>
  <c r="N252" i="1"/>
  <c r="N233" i="1"/>
  <c r="N367" i="1"/>
  <c r="N566" i="1"/>
  <c r="N152" i="1"/>
  <c r="N931" i="1"/>
  <c r="N297" i="1"/>
  <c r="N234" i="1"/>
  <c r="N18" i="1"/>
  <c r="N381" i="1"/>
  <c r="N733" i="1"/>
  <c r="N706" i="1"/>
  <c r="N911" i="1"/>
  <c r="N102" i="1"/>
  <c r="N832" i="1"/>
  <c r="N2" i="1"/>
  <c r="N484" i="1"/>
  <c r="N773" i="1"/>
  <c r="N851" i="1"/>
  <c r="N374" i="1"/>
  <c r="N96" i="1"/>
  <c r="N567" i="1"/>
  <c r="N76" i="1"/>
  <c r="N1011" i="1"/>
  <c r="N493" i="1"/>
  <c r="N131" i="1"/>
  <c r="N183" i="1"/>
  <c r="N725" i="1"/>
  <c r="N470" i="1"/>
  <c r="N845" i="1"/>
  <c r="N624" i="1"/>
  <c r="N47" i="1"/>
  <c r="N267" i="1"/>
  <c r="N494" i="1"/>
  <c r="N347" i="1"/>
  <c r="N616" i="1"/>
  <c r="N397" i="1"/>
  <c r="N921" i="1"/>
  <c r="N769" i="1"/>
  <c r="N551" i="1"/>
  <c r="N822" i="1"/>
  <c r="N833" i="1"/>
  <c r="N392" i="1"/>
  <c r="N781" i="1"/>
  <c r="N440" i="1"/>
  <c r="N719" i="1"/>
  <c r="N169" i="1"/>
  <c r="N802" i="1"/>
  <c r="N541" i="1"/>
  <c r="N105" i="1"/>
  <c r="N741" i="1"/>
  <c r="N633" i="1"/>
  <c r="N939" i="1"/>
  <c r="N846" i="1"/>
  <c r="N411" i="1"/>
  <c r="N505" i="1"/>
  <c r="N357" i="1"/>
  <c r="N224" i="1"/>
  <c r="N44" i="1"/>
  <c r="N689" i="1"/>
  <c r="N34" i="1"/>
  <c r="N852" i="1"/>
  <c r="N793" i="1"/>
  <c r="N495" i="1"/>
  <c r="N757" i="1"/>
  <c r="N235" i="1"/>
  <c r="N68" i="1"/>
  <c r="N348" i="1"/>
  <c r="N823" i="1"/>
  <c r="N992" i="1"/>
  <c r="N696" i="1"/>
  <c r="N55" i="1"/>
  <c r="N144" i="1"/>
  <c r="N153" i="1"/>
  <c r="N412" i="1"/>
  <c r="N333" i="1"/>
  <c r="N314" i="1"/>
  <c r="N734" i="1"/>
  <c r="N81" i="1"/>
  <c r="N647" i="1"/>
  <c r="N789" i="1"/>
  <c r="N847" i="1"/>
  <c r="N625" i="1"/>
  <c r="N697" i="1"/>
  <c r="N940" i="1"/>
  <c r="N974" i="1"/>
  <c r="N471" i="1"/>
  <c r="N445" i="1"/>
  <c r="N848" i="1"/>
  <c r="N962" i="1"/>
  <c r="N82" i="1"/>
  <c r="N430" i="1"/>
  <c r="N253" i="1"/>
  <c r="N750" i="1"/>
  <c r="N684" i="1"/>
  <c r="N334" i="1"/>
  <c r="N617" i="1"/>
  <c r="N419" i="1"/>
  <c r="N184" i="1"/>
  <c r="N209" i="1"/>
  <c r="N65" i="1"/>
  <c r="N587" i="1"/>
  <c r="N185" i="1"/>
  <c r="N19" i="1"/>
  <c r="N506" i="1"/>
  <c r="N588" i="1"/>
  <c r="N349" i="1"/>
  <c r="N834" i="1"/>
  <c r="N69" i="1"/>
  <c r="N923" i="1"/>
  <c r="N507" i="1"/>
  <c r="N924" i="1"/>
  <c r="N987" i="1"/>
  <c r="N472" i="1"/>
  <c r="N575" i="1"/>
  <c r="N589" i="1"/>
  <c r="N517" i="1"/>
  <c r="N277" i="1"/>
  <c r="N422" i="1"/>
  <c r="N31" i="1"/>
  <c r="N322" i="1"/>
  <c r="N995" i="1"/>
  <c r="N928" i="1"/>
  <c r="N13" i="1"/>
  <c r="N431" i="1"/>
  <c r="N818" i="1"/>
  <c r="N508" i="1"/>
  <c r="N382" i="1"/>
  <c r="N29" i="1"/>
  <c r="N742" i="1"/>
  <c r="N680" i="1"/>
  <c r="N298" i="1"/>
  <c r="N878" i="1"/>
  <c r="N782" i="1"/>
  <c r="N83" i="1"/>
  <c r="N794" i="1"/>
  <c r="N662" i="1"/>
  <c r="N43" i="1"/>
  <c r="N216" i="1"/>
  <c r="N398" i="1"/>
  <c r="N278" i="1"/>
  <c r="N323" i="1"/>
  <c r="N375" i="1"/>
  <c r="N889" i="1"/>
  <c r="N751" i="1"/>
  <c r="N654" i="1"/>
  <c r="N685" i="1"/>
  <c r="N752" i="1"/>
  <c r="N655" i="1"/>
  <c r="N526" i="1"/>
  <c r="N324" i="1"/>
  <c r="N15" i="1"/>
  <c r="N461" i="1"/>
  <c r="N1012" i="1"/>
  <c r="N835" i="1"/>
  <c r="N358" i="1"/>
  <c r="N279" i="1"/>
  <c r="N698" i="1"/>
  <c r="N1004" i="1"/>
  <c r="N236" i="1"/>
  <c r="N758" i="1"/>
  <c r="N75" i="1"/>
  <c r="N441" i="1"/>
  <c r="N126" i="1"/>
  <c r="N854" i="1"/>
  <c r="N626" i="1"/>
  <c r="N634" i="1"/>
  <c r="N596" i="1"/>
  <c r="N656" i="1"/>
  <c r="N39" i="1"/>
  <c r="N383" i="1"/>
  <c r="N56" i="1"/>
  <c r="N527" i="1"/>
  <c r="N967" i="1"/>
  <c r="N137" i="1"/>
  <c r="N88" i="1"/>
  <c r="N473" i="1"/>
  <c r="N867" i="1"/>
  <c r="N669" i="1"/>
  <c r="N803" i="1"/>
  <c r="N25" i="1"/>
  <c r="N670" i="1"/>
  <c r="N9" i="1"/>
  <c r="N512" i="1"/>
  <c r="N836" i="1"/>
  <c r="N855" i="1"/>
  <c r="N868" i="1"/>
  <c r="N518" i="1"/>
  <c r="N496" i="1"/>
  <c r="N340" i="1"/>
  <c r="N145" i="1"/>
  <c r="N146" i="1"/>
  <c r="N442" i="1"/>
  <c r="N280" i="1"/>
  <c r="N89" i="1"/>
  <c r="N217" i="1"/>
  <c r="N325" i="1"/>
  <c r="N899" i="1"/>
  <c r="N121" i="1"/>
  <c r="N254" i="1"/>
  <c r="N241" i="1"/>
  <c r="N568" i="1"/>
  <c r="N288" i="1"/>
  <c r="N576" i="1"/>
  <c r="N947" i="1"/>
  <c r="N985" i="1"/>
  <c r="N274" i="1"/>
  <c r="N809" i="1"/>
  <c r="N315" i="1"/>
  <c r="N52" i="1"/>
  <c r="N443" i="1"/>
  <c r="N262" i="1"/>
  <c r="N557" i="1"/>
  <c r="N900" i="1"/>
  <c r="N558" i="1"/>
  <c r="N804" i="1"/>
  <c r="N77" i="1"/>
  <c r="N316" i="1"/>
  <c r="N513" i="1"/>
  <c r="N569" i="1"/>
  <c r="N519" i="1"/>
  <c r="N474" i="1"/>
  <c r="N747" i="1"/>
  <c r="N462" i="1"/>
  <c r="N138" i="1"/>
  <c r="N446" i="1"/>
  <c r="N268" i="1"/>
  <c r="N432" i="1"/>
  <c r="N811" i="1"/>
  <c r="N326" i="1"/>
  <c r="N242" i="1"/>
  <c r="N317" i="1"/>
  <c r="N681" i="1"/>
  <c r="N289" i="1"/>
  <c r="N281" i="1"/>
  <c r="N812" i="1"/>
  <c r="N648" i="1"/>
  <c r="N413" i="1"/>
  <c r="N620" i="1"/>
  <c r="N743" i="1"/>
  <c r="N981" i="1"/>
  <c r="N559" i="1"/>
  <c r="N11" i="1"/>
  <c r="N282" i="1"/>
  <c r="N283" i="1"/>
  <c r="N837" i="1"/>
  <c r="N66" i="1"/>
  <c r="N838" i="1"/>
  <c r="N290" i="1"/>
  <c r="N341" i="1"/>
  <c r="N291" i="1"/>
  <c r="N759" i="1"/>
  <c r="N112" i="1"/>
  <c r="N154" i="1"/>
  <c r="N520" i="1"/>
  <c r="N399" i="1"/>
  <c r="N958" i="1"/>
  <c r="N175" i="1"/>
  <c r="N560" i="1"/>
  <c r="N97" i="1"/>
  <c r="N577" i="1"/>
  <c r="N635" i="1"/>
  <c r="N532" i="1"/>
  <c r="N976" i="1"/>
  <c r="N699" i="1"/>
  <c r="N110" i="1"/>
  <c r="N805" i="1"/>
  <c r="N59" i="1"/>
  <c r="N777" i="1"/>
  <c r="N7" i="1"/>
  <c r="N160" i="1"/>
  <c r="N497" i="1"/>
  <c r="N103" i="1"/>
  <c r="N327" i="1"/>
  <c r="N16" i="1"/>
  <c r="N299" i="1"/>
  <c r="N166" i="1"/>
  <c r="N498" i="1"/>
  <c r="N726" i="1"/>
  <c r="N122" i="1"/>
  <c r="N912" i="1"/>
  <c r="N942" i="1"/>
  <c r="N300" i="1"/>
  <c r="N376" i="1"/>
  <c r="N707" i="1"/>
  <c r="N139" i="1"/>
  <c r="N950" i="1"/>
  <c r="N304" i="1"/>
  <c r="N901" i="1"/>
  <c r="N50" i="1"/>
  <c r="N890" i="1"/>
  <c r="N760" i="1"/>
  <c r="N657" i="1"/>
  <c r="N111" i="1"/>
  <c r="N597" i="1"/>
  <c r="N305" i="1"/>
  <c r="N708" i="1"/>
  <c r="N306" i="1"/>
  <c r="N869" i="1"/>
  <c r="N155" i="1"/>
  <c r="N499" i="1"/>
  <c r="N824" i="1"/>
  <c r="N307" i="1"/>
  <c r="N393" i="1"/>
  <c r="N521" i="1"/>
  <c r="N753" i="1"/>
  <c r="N744" i="1"/>
  <c r="N447" i="1"/>
  <c r="N485" i="1"/>
  <c r="N263" i="1"/>
  <c r="N123" i="1"/>
  <c r="N774" i="1"/>
  <c r="N48" i="1"/>
  <c r="N778" i="1"/>
  <c r="N433" i="1"/>
  <c r="N709" i="1"/>
  <c r="N328" i="1"/>
  <c r="N618" i="1"/>
  <c r="N810" i="1"/>
  <c r="N164" i="1"/>
  <c r="N627" i="1"/>
  <c r="N663" i="1"/>
  <c r="N368" i="1"/>
  <c r="N434" i="1"/>
  <c r="N542" i="1"/>
  <c r="N400" i="1"/>
  <c r="N714" i="1"/>
  <c r="N873" i="1"/>
  <c r="N335" i="1"/>
  <c r="N603" i="1"/>
  <c r="N359" i="1"/>
  <c r="N604" i="1"/>
  <c r="N795" i="1"/>
  <c r="N448" i="1"/>
  <c r="N965" i="1"/>
  <c r="N243" i="1"/>
  <c r="N84" i="1"/>
  <c r="N813" i="1"/>
  <c r="N127" i="1"/>
  <c r="N170" i="1"/>
  <c r="N727" i="1"/>
  <c r="N128" i="1"/>
  <c r="N953" i="1"/>
  <c r="N284" i="1"/>
  <c r="N1003" i="1"/>
  <c r="N578" i="1"/>
  <c r="N690" i="1"/>
  <c r="N748" i="1"/>
  <c r="N561" i="1"/>
  <c r="N444" i="1"/>
  <c r="N132" i="1"/>
  <c r="N894" i="1"/>
  <c r="N543" i="1"/>
  <c r="N435" i="1"/>
  <c r="N862" i="1"/>
  <c r="N658" i="1"/>
  <c r="N783" i="1"/>
  <c r="N449" i="1"/>
  <c r="N275" i="1"/>
  <c r="N35" i="1"/>
  <c r="N113" i="1"/>
  <c r="N292" i="1"/>
  <c r="N269" i="1"/>
  <c r="N414" i="1"/>
  <c r="N954" i="1"/>
  <c r="N237" i="1"/>
  <c r="N784" i="1"/>
  <c r="N971" i="1"/>
  <c r="N909" i="1"/>
  <c r="N641" i="1"/>
  <c r="N156" i="1"/>
  <c r="N225" i="1"/>
  <c r="N60" i="1"/>
  <c r="N761" i="1"/>
  <c r="N463" i="1"/>
  <c r="N913" i="1"/>
  <c r="N106" i="1"/>
  <c r="N664" i="1"/>
  <c r="N85" i="1"/>
  <c r="N856" i="1"/>
  <c r="N189" i="1"/>
  <c r="N819" i="1"/>
  <c r="N628" i="1"/>
  <c r="N579" i="1"/>
  <c r="N436" i="1"/>
  <c r="N218" i="1"/>
  <c r="N715" i="1"/>
  <c r="N691" i="1"/>
  <c r="N140" i="1"/>
  <c r="N972" i="1"/>
  <c r="N147" i="1"/>
  <c r="N853" i="1"/>
  <c r="N544" i="1"/>
  <c r="N580" i="1"/>
  <c r="N219" i="1"/>
  <c r="N762" i="1"/>
  <c r="N384" i="1"/>
  <c r="N925" i="1"/>
  <c r="N728" i="1"/>
  <c r="N989" i="1"/>
  <c r="N293" i="1"/>
  <c r="N754" i="1"/>
  <c r="N94" i="1"/>
  <c r="N86" i="1"/>
  <c r="N763" i="1"/>
  <c r="N533" i="1"/>
  <c r="N318" i="1"/>
  <c r="N486" i="1"/>
  <c r="N598" i="1"/>
  <c r="N70" i="1"/>
  <c r="N437" i="1"/>
  <c r="N671" i="1"/>
  <c r="N17" i="1"/>
  <c r="N450" i="1"/>
  <c r="N308" i="1"/>
  <c r="N884" i="1"/>
  <c r="N255" i="1"/>
  <c r="N764" i="1"/>
  <c r="N114" i="1"/>
  <c r="N970" i="1"/>
  <c r="N336" i="1"/>
  <c r="N27" i="1"/>
  <c r="N124" i="1"/>
  <c r="N785" i="1"/>
  <c r="N902" i="1"/>
  <c r="N319" i="1"/>
  <c r="N863" i="1"/>
  <c r="N975" i="1"/>
  <c r="N369" i="1"/>
  <c r="N167" i="1"/>
  <c r="N78" i="1"/>
  <c r="N775" i="1"/>
  <c r="N438" i="1"/>
  <c r="N157" i="1"/>
  <c r="N735" i="1"/>
  <c r="N423" i="1"/>
  <c r="N401" i="1"/>
  <c r="N590" i="1"/>
  <c r="N424" i="1"/>
  <c r="N451" i="1"/>
  <c r="N993" i="1"/>
  <c r="N986" i="1"/>
  <c r="N370" i="1"/>
  <c r="N21" i="1"/>
  <c r="N642" i="1"/>
  <c r="N452" i="1"/>
  <c r="N905" i="1"/>
  <c r="N79" i="1"/>
  <c r="N80" i="1"/>
  <c r="N610" i="1"/>
  <c r="N210" i="1"/>
  <c r="N611" i="1"/>
  <c r="N988" i="1"/>
  <c r="N999" i="1"/>
  <c r="N350" i="1"/>
  <c r="N649" i="1"/>
  <c r="N309" i="1"/>
  <c r="N98" i="1"/>
  <c r="N310" i="1"/>
  <c r="N963" i="1"/>
  <c r="N12" i="1"/>
  <c r="N226" i="1"/>
  <c r="N176" i="1"/>
  <c r="N829" i="1"/>
  <c r="N115" i="1"/>
  <c r="N402" i="1"/>
  <c r="N914" i="1"/>
  <c r="N915" i="1"/>
  <c r="N227" i="1"/>
  <c r="N686" i="1"/>
  <c r="N716" i="1"/>
  <c r="N796" i="1"/>
  <c r="N500" i="1"/>
  <c r="N3" i="1"/>
  <c r="N825" i="1"/>
  <c r="N403" i="1"/>
  <c r="N32" i="1"/>
  <c r="N475" i="1"/>
  <c r="N934" i="1"/>
  <c r="N501" i="1"/>
  <c r="N650" i="1"/>
  <c r="N415" i="1"/>
  <c r="N545" i="1"/>
  <c r="N736" i="1"/>
  <c r="N552" i="1"/>
  <c r="N937" i="1"/>
  <c r="N839" i="1"/>
  <c r="N425" i="1"/>
  <c r="N672" i="1"/>
  <c r="N487" i="1"/>
  <c r="N895" i="1"/>
  <c r="N40" i="1"/>
  <c r="N605" i="1"/>
  <c r="N700" i="1"/>
  <c r="N737" i="1"/>
  <c r="N129" i="1"/>
  <c r="N404" i="1"/>
  <c r="N439" i="1"/>
  <c r="N71" i="1"/>
  <c r="N426" i="1"/>
  <c r="N651" i="1"/>
  <c r="N629" i="1"/>
  <c r="N729" i="1"/>
  <c r="N168" i="1"/>
  <c r="N770" i="1"/>
  <c r="N864" i="1"/>
  <c r="N488" i="1"/>
  <c r="N204" i="1"/>
  <c r="N228" i="1"/>
  <c r="N351" i="1"/>
  <c r="N786" i="1"/>
  <c r="N528" i="1"/>
  <c r="N606" i="1"/>
  <c r="N125" i="1"/>
  <c r="N14" i="1"/>
  <c r="N771" i="1"/>
  <c r="N294" i="1"/>
  <c r="N692" i="1"/>
  <c r="N840" i="1"/>
  <c r="N4" i="1"/>
  <c r="N385" i="1"/>
  <c r="N630" i="1"/>
  <c r="N502" i="1"/>
  <c r="N948" i="1"/>
  <c r="N636" i="1"/>
  <c r="N427" i="1"/>
  <c r="N197" i="1"/>
  <c r="N20" i="1"/>
  <c r="N360" i="1"/>
  <c r="N790" i="1"/>
  <c r="N717" i="1"/>
  <c r="N652" i="1"/>
  <c r="N329" i="1"/>
  <c r="N665" i="1"/>
  <c r="N643" i="1"/>
  <c r="N903" i="1"/>
  <c r="N28" i="1"/>
  <c r="N1013" i="1"/>
  <c r="N211" i="1"/>
  <c r="N133" i="1"/>
  <c r="N107" i="1"/>
  <c r="N264" i="1"/>
  <c r="N797" i="1"/>
  <c r="N870" i="1"/>
  <c r="N256" i="1"/>
  <c r="N935" i="1"/>
  <c r="N220" i="1"/>
  <c r="N177" i="1"/>
  <c r="N311" i="1"/>
  <c r="N464" i="1"/>
  <c r="N453" i="1"/>
  <c r="N621" i="1"/>
  <c r="N26" i="1"/>
  <c r="N738" i="1"/>
  <c r="N570" i="1"/>
  <c r="N330" i="1"/>
  <c r="N141" i="1"/>
  <c r="N238" i="1"/>
  <c r="N955" i="1"/>
  <c r="N896" i="1"/>
  <c r="N1008" i="1"/>
  <c r="N806" i="1"/>
  <c r="N1010" i="1"/>
  <c r="N61" i="1"/>
  <c r="N95" i="1"/>
  <c r="N906" i="1"/>
  <c r="N465" i="1"/>
  <c r="N874" i="1"/>
  <c r="N897" i="1"/>
  <c r="N984" i="1"/>
  <c r="M361" i="1"/>
  <c r="M820" i="1"/>
  <c r="M30" i="1"/>
  <c r="M875" i="1"/>
  <c r="M270" i="1"/>
  <c r="M244" i="1"/>
  <c r="M36" i="1"/>
  <c r="M964" i="1"/>
  <c r="M562" i="1"/>
  <c r="M876" i="1"/>
  <c r="M779" i="1"/>
  <c r="M929" i="1"/>
  <c r="M352" i="1"/>
  <c r="M342" i="1"/>
  <c r="M798" i="1"/>
  <c r="M331" i="1"/>
  <c r="M74" i="1"/>
  <c r="M1006" i="1"/>
  <c r="M932" i="1"/>
  <c r="M720" i="1"/>
  <c r="M534" i="1"/>
  <c r="M428" i="1"/>
  <c r="M857" i="1"/>
  <c r="M386" i="1"/>
  <c r="M301" i="1"/>
  <c r="M353" i="1"/>
  <c r="M687" i="1"/>
  <c r="M420" i="1"/>
  <c r="M476" i="1"/>
  <c r="M454" i="1"/>
  <c r="M371" i="1"/>
  <c r="M612" i="1"/>
  <c r="M581" i="1"/>
  <c r="M966" i="1"/>
  <c r="M62" i="1"/>
  <c r="M178" i="1"/>
  <c r="M198" i="1"/>
  <c r="M721" i="1"/>
  <c r="M116" i="1"/>
  <c r="M745" i="1"/>
  <c r="M746" i="1"/>
  <c r="M529" i="1"/>
  <c r="M701" i="1"/>
  <c r="M607" i="1"/>
  <c r="M807" i="1"/>
  <c r="M702" i="1"/>
  <c r="M659" i="1"/>
  <c r="M405" i="1"/>
  <c r="M455" i="1"/>
  <c r="M142" i="1"/>
  <c r="M826" i="1"/>
  <c r="M891" i="1"/>
  <c r="M916" i="1"/>
  <c r="M179" i="1"/>
  <c r="M171" i="1"/>
  <c r="M973" i="1"/>
  <c r="M117" i="1"/>
  <c r="M827" i="1"/>
  <c r="M710" i="1"/>
  <c r="M1014" i="1"/>
  <c r="M302" i="1"/>
  <c r="M982" i="1"/>
  <c r="M688" i="1"/>
  <c r="M343" i="1"/>
  <c r="M703" i="1"/>
  <c r="M591" i="1"/>
  <c r="M968" i="1"/>
  <c r="M466" i="1"/>
  <c r="M979" i="1"/>
  <c r="M808" i="1"/>
  <c r="M571" i="1"/>
  <c r="M666" i="1"/>
  <c r="M910" i="1"/>
  <c r="M718" i="1"/>
  <c r="M917" i="1"/>
  <c r="M960" i="1"/>
  <c r="M1007" i="1"/>
  <c r="M190" i="1"/>
  <c r="M456" i="1"/>
  <c r="M535" i="1"/>
  <c r="M885" i="1"/>
  <c r="M918" i="1"/>
  <c r="M858" i="1"/>
  <c r="M530" i="1"/>
  <c r="M977" i="1"/>
  <c r="M221" i="1"/>
  <c r="M148" i="1"/>
  <c r="M377" i="1"/>
  <c r="M563" i="1"/>
  <c r="M180" i="1"/>
  <c r="M421" i="1"/>
  <c r="M994" i="1"/>
  <c r="M337" i="1"/>
  <c r="M922" i="1"/>
  <c r="M99" i="1"/>
  <c r="M181" i="1"/>
  <c r="M582" i="1"/>
  <c r="M477" i="1"/>
  <c r="M622" i="1"/>
  <c r="M572" i="1"/>
  <c r="M406" i="1"/>
  <c r="M378" i="1"/>
  <c r="M67" i="1"/>
  <c r="M859" i="1"/>
  <c r="M41" i="1"/>
  <c r="M956" i="1"/>
  <c r="M22" i="1"/>
  <c r="M583" i="1"/>
  <c r="M536" i="1"/>
  <c r="M926" i="1"/>
  <c r="M72" i="1"/>
  <c r="M772" i="1"/>
  <c r="M841" i="1"/>
  <c r="M787" i="1"/>
  <c r="M5" i="1"/>
  <c r="M222" i="1"/>
  <c r="M172" i="1"/>
  <c r="M191" i="1"/>
  <c r="M711" i="1"/>
  <c r="M613" i="1"/>
  <c r="M87" i="1"/>
  <c r="M45" i="1"/>
  <c r="M42" i="1"/>
  <c r="M704" i="1"/>
  <c r="M212" i="1"/>
  <c r="M53" i="1"/>
  <c r="M457" i="1"/>
  <c r="M379" i="1"/>
  <c r="M199" i="1"/>
  <c r="M860" i="1"/>
  <c r="M108" i="1"/>
  <c r="M943" i="1"/>
  <c r="M257" i="1"/>
  <c r="M186" i="1"/>
  <c r="M276" i="1"/>
  <c r="M799" i="1"/>
  <c r="M886" i="1"/>
  <c r="M667" i="1"/>
  <c r="M957" i="1"/>
  <c r="M514" i="1"/>
  <c r="M354" i="1"/>
  <c r="M637" i="1"/>
  <c r="M861" i="1"/>
  <c r="M879" i="1"/>
  <c r="M192" i="1"/>
  <c r="M997" i="1"/>
  <c r="M149" i="1"/>
  <c r="M458" i="1"/>
  <c r="M312" i="1"/>
  <c r="M10" i="1"/>
  <c r="M537" i="1"/>
  <c r="M416" i="1"/>
  <c r="M564" i="1"/>
  <c r="M865" i="1"/>
  <c r="M608" i="1"/>
  <c r="M150" i="1"/>
  <c r="M362" i="1"/>
  <c r="M673" i="1"/>
  <c r="M229" i="1"/>
  <c r="M592" i="1"/>
  <c r="M230" i="1"/>
  <c r="M143" i="1"/>
  <c r="M842" i="1"/>
  <c r="M843" i="1"/>
  <c r="M73" i="1"/>
  <c r="M8" i="1"/>
  <c r="M830" i="1"/>
  <c r="M417" i="1"/>
  <c r="M271" i="1"/>
  <c r="M418" i="1"/>
  <c r="M887" i="1"/>
  <c r="M730" i="1"/>
  <c r="M158" i="1"/>
  <c r="M522" i="1"/>
  <c r="M877" i="1"/>
  <c r="M90" i="1"/>
  <c r="M814" i="1"/>
  <c r="M303" i="1"/>
  <c r="M644" i="1"/>
  <c r="M6" i="1"/>
  <c r="M478" i="1"/>
  <c r="M705" i="1"/>
  <c r="M880" i="1"/>
  <c r="M489" i="1"/>
  <c r="M888" i="1"/>
  <c r="M546" i="1"/>
  <c r="M338" i="1"/>
  <c r="M553" i="1"/>
  <c r="M892" i="1"/>
  <c r="M118" i="1"/>
  <c r="M523" i="1"/>
  <c r="M200" i="1"/>
  <c r="M593" i="1"/>
  <c r="M515" i="1"/>
  <c r="M201" i="1"/>
  <c r="M755" i="1"/>
  <c r="M584" i="1"/>
  <c r="M791" i="1"/>
  <c r="M849" i="1"/>
  <c r="M239" i="1"/>
  <c r="M205" i="1"/>
  <c r="M907" i="1"/>
  <c r="M387" i="1"/>
  <c r="M573" i="1"/>
  <c r="M908" i="1"/>
  <c r="M320" i="1"/>
  <c r="M467" i="1"/>
  <c r="M206" i="1"/>
  <c r="M258" i="1"/>
  <c r="M638" i="1"/>
  <c r="M202" i="1"/>
  <c r="M1001" i="1"/>
  <c r="M780" i="1"/>
  <c r="M765" i="1"/>
  <c r="M91" i="1"/>
  <c r="M173" i="1"/>
  <c r="M100" i="1"/>
  <c r="M978" i="1"/>
  <c r="M407" i="1"/>
  <c r="M722" i="1"/>
  <c r="M538" i="1"/>
  <c r="M161" i="1"/>
  <c r="M660" i="1"/>
  <c r="M182" i="1"/>
  <c r="M599" i="1"/>
  <c r="M831" i="1"/>
  <c r="M388" i="1"/>
  <c r="M800" i="1"/>
  <c r="M490" i="1"/>
  <c r="M33" i="1"/>
  <c r="M468" i="1"/>
  <c r="M941" i="1"/>
  <c r="M213" i="1"/>
  <c r="M101" i="1"/>
  <c r="M134" i="1"/>
  <c r="M245" i="1"/>
  <c r="M554" i="1"/>
  <c r="M539" i="1"/>
  <c r="M821" i="1"/>
  <c r="M165" i="1"/>
  <c r="M459" i="1"/>
  <c r="M159" i="1"/>
  <c r="M788" i="1"/>
  <c r="M850" i="1"/>
  <c r="M363" i="1"/>
  <c r="M246" i="1"/>
  <c r="M193" i="1"/>
  <c r="M555" i="1"/>
  <c r="M600" i="1"/>
  <c r="M668" i="1"/>
  <c r="M996" i="1"/>
  <c r="M207" i="1"/>
  <c r="M524" i="1"/>
  <c r="M247" i="1"/>
  <c r="M815" i="1"/>
  <c r="M479" i="1"/>
  <c r="M480" i="1"/>
  <c r="M844" i="1"/>
  <c r="M321" i="1"/>
  <c r="M285" i="1"/>
  <c r="M344" i="1"/>
  <c r="M214" i="1"/>
  <c r="M893" i="1"/>
  <c r="M23" i="1"/>
  <c r="M372" i="1"/>
  <c r="M1005" i="1"/>
  <c r="M898" i="1"/>
  <c r="M364" i="1"/>
  <c r="M37" i="1"/>
  <c r="M373" i="1"/>
  <c r="M585" i="1"/>
  <c r="M871" i="1"/>
  <c r="M816" i="1"/>
  <c r="M930" i="1"/>
  <c r="M723" i="1"/>
  <c r="M231" i="1"/>
  <c r="M49" i="1"/>
  <c r="M547" i="1"/>
  <c r="M259" i="1"/>
  <c r="M631" i="1"/>
  <c r="M881" i="1"/>
  <c r="M1000" i="1"/>
  <c r="M215" i="1"/>
  <c r="M295" i="1"/>
  <c r="M949" i="1"/>
  <c r="M162" i="1"/>
  <c r="M57" i="1"/>
  <c r="M203" i="1"/>
  <c r="M194" i="1"/>
  <c r="M265" i="1"/>
  <c r="M394" i="1"/>
  <c r="M272" i="1"/>
  <c r="M674" i="1"/>
  <c r="M408" i="1"/>
  <c r="M223" i="1"/>
  <c r="M951" i="1"/>
  <c r="M944" i="1"/>
  <c r="M409" i="1"/>
  <c r="M927" i="1"/>
  <c r="M119" i="1"/>
  <c r="M187" i="1"/>
  <c r="M792" i="1"/>
  <c r="M248" i="1"/>
  <c r="M345" i="1"/>
  <c r="M249" i="1"/>
  <c r="M481" i="1"/>
  <c r="M58" i="1"/>
  <c r="M882" i="1"/>
  <c r="M601" i="1"/>
  <c r="M817" i="1"/>
  <c r="M273" i="1"/>
  <c r="M653" i="1"/>
  <c r="M556" i="1"/>
  <c r="M491" i="1"/>
  <c r="M540" i="1"/>
  <c r="M509" i="1"/>
  <c r="M130" i="1"/>
  <c r="M240" i="1"/>
  <c r="M503" i="1"/>
  <c r="M645" i="1"/>
  <c r="M266" i="1"/>
  <c r="M188" i="1"/>
  <c r="M250" i="1"/>
  <c r="M872" i="1"/>
  <c r="M945" i="1"/>
  <c r="M63" i="1"/>
  <c r="M646" i="1"/>
  <c r="M1009" i="1"/>
  <c r="M232" i="1"/>
  <c r="M883" i="1"/>
  <c r="M594" i="1"/>
  <c r="M969" i="1"/>
  <c r="M739" i="1"/>
  <c r="M135" i="1"/>
  <c r="M46" i="1"/>
  <c r="M565" i="1"/>
  <c r="M389" i="1"/>
  <c r="M904" i="1"/>
  <c r="M1002" i="1"/>
  <c r="M866" i="1"/>
  <c r="M740" i="1"/>
  <c r="M548" i="1"/>
  <c r="M355" i="1"/>
  <c r="M469" i="1"/>
  <c r="M356" i="1"/>
  <c r="M286" i="1"/>
  <c r="M675" i="1"/>
  <c r="M64" i="1"/>
  <c r="M390" i="1"/>
  <c r="M208" i="1"/>
  <c r="M632" i="1"/>
  <c r="M712" i="1"/>
  <c r="M339" i="1"/>
  <c r="M801" i="1"/>
  <c r="M525" i="1"/>
  <c r="M936" i="1"/>
  <c r="M639" i="1"/>
  <c r="M983" i="1"/>
  <c r="M661" i="1"/>
  <c r="M92" i="1"/>
  <c r="M682" i="1"/>
  <c r="M151" i="1"/>
  <c r="M756" i="1"/>
  <c r="M998" i="1"/>
  <c r="M693" i="1"/>
  <c r="M766" i="1"/>
  <c r="M676" i="1"/>
  <c r="M952" i="1"/>
  <c r="M990" i="1"/>
  <c r="M174" i="1"/>
  <c r="M251" i="1"/>
  <c r="M619" i="1"/>
  <c r="M346" i="1"/>
  <c r="M38" i="1"/>
  <c r="M510" i="1"/>
  <c r="M946" i="1"/>
  <c r="M120" i="1"/>
  <c r="M677" i="1"/>
  <c r="M260" i="1"/>
  <c r="M595" i="1"/>
  <c r="M136" i="1"/>
  <c r="M24" i="1"/>
  <c r="M261" i="1"/>
  <c r="M938" i="1"/>
  <c r="M959" i="1"/>
  <c r="M365" i="1"/>
  <c r="M460" i="1"/>
  <c r="M511" i="1"/>
  <c r="M609" i="1"/>
  <c r="M366" i="1"/>
  <c r="M531" i="1"/>
  <c r="M332" i="1"/>
  <c r="M429" i="1"/>
  <c r="M767" i="1"/>
  <c r="M380" i="1"/>
  <c r="M933" i="1"/>
  <c r="M678" i="1"/>
  <c r="M51" i="1"/>
  <c r="M574" i="1"/>
  <c r="M724" i="1"/>
  <c r="M679" i="1"/>
  <c r="M919" i="1"/>
  <c r="M749" i="1"/>
  <c r="M623" i="1"/>
  <c r="M713" i="1"/>
  <c r="M492" i="1"/>
  <c r="M586" i="1"/>
  <c r="M195" i="1"/>
  <c r="M776" i="1"/>
  <c r="M104" i="1"/>
  <c r="M391" i="1"/>
  <c r="M163" i="1"/>
  <c r="M549" i="1"/>
  <c r="M550" i="1"/>
  <c r="M961" i="1"/>
  <c r="M296" i="1"/>
  <c r="M410" i="1"/>
  <c r="M395" i="1"/>
  <c r="M614" i="1"/>
  <c r="M768" i="1"/>
  <c r="M54" i="1"/>
  <c r="M683" i="1"/>
  <c r="M731" i="1"/>
  <c r="M313" i="1"/>
  <c r="M980" i="1"/>
  <c r="M602" i="1"/>
  <c r="M109" i="1"/>
  <c r="M482" i="1"/>
  <c r="M694" i="1"/>
  <c r="M640" i="1"/>
  <c r="M615" i="1"/>
  <c r="M504" i="1"/>
  <c r="M732" i="1"/>
  <c r="M828" i="1"/>
  <c r="M483" i="1"/>
  <c r="M991" i="1"/>
  <c r="M920" i="1"/>
  <c r="M396" i="1"/>
  <c r="M695" i="1"/>
  <c r="M93" i="1"/>
  <c r="M287" i="1"/>
  <c r="M196" i="1"/>
  <c r="M516" i="1"/>
  <c r="M252" i="1"/>
  <c r="M233" i="1"/>
  <c r="M367" i="1"/>
  <c r="M566" i="1"/>
  <c r="M152" i="1"/>
  <c r="M931" i="1"/>
  <c r="M297" i="1"/>
  <c r="M234" i="1"/>
  <c r="M18" i="1"/>
  <c r="M381" i="1"/>
  <c r="M733" i="1"/>
  <c r="M706" i="1"/>
  <c r="M911" i="1"/>
  <c r="M102" i="1"/>
  <c r="M832" i="1"/>
  <c r="M2" i="1"/>
  <c r="M484" i="1"/>
  <c r="M773" i="1"/>
  <c r="M851" i="1"/>
  <c r="M374" i="1"/>
  <c r="M96" i="1"/>
  <c r="M567" i="1"/>
  <c r="M76" i="1"/>
  <c r="M1011" i="1"/>
  <c r="M493" i="1"/>
  <c r="M131" i="1"/>
  <c r="M183" i="1"/>
  <c r="M725" i="1"/>
  <c r="M470" i="1"/>
  <c r="M845" i="1"/>
  <c r="M624" i="1"/>
  <c r="M47" i="1"/>
  <c r="M267" i="1"/>
  <c r="M494" i="1"/>
  <c r="M347" i="1"/>
  <c r="M616" i="1"/>
  <c r="M397" i="1"/>
  <c r="M921" i="1"/>
  <c r="M769" i="1"/>
  <c r="M551" i="1"/>
  <c r="M822" i="1"/>
  <c r="M833" i="1"/>
  <c r="M392" i="1"/>
  <c r="M781" i="1"/>
  <c r="M440" i="1"/>
  <c r="M719" i="1"/>
  <c r="M169" i="1"/>
  <c r="M802" i="1"/>
  <c r="M541" i="1"/>
  <c r="M105" i="1"/>
  <c r="M741" i="1"/>
  <c r="M633" i="1"/>
  <c r="M939" i="1"/>
  <c r="M846" i="1"/>
  <c r="M411" i="1"/>
  <c r="M505" i="1"/>
  <c r="M357" i="1"/>
  <c r="M224" i="1"/>
  <c r="M44" i="1"/>
  <c r="M689" i="1"/>
  <c r="M34" i="1"/>
  <c r="M852" i="1"/>
  <c r="M793" i="1"/>
  <c r="M495" i="1"/>
  <c r="M757" i="1"/>
  <c r="M235" i="1"/>
  <c r="M68" i="1"/>
  <c r="M348" i="1"/>
  <c r="M823" i="1"/>
  <c r="M992" i="1"/>
  <c r="M696" i="1"/>
  <c r="M55" i="1"/>
  <c r="M144" i="1"/>
  <c r="M153" i="1"/>
  <c r="M412" i="1"/>
  <c r="M333" i="1"/>
  <c r="M314" i="1"/>
  <c r="M734" i="1"/>
  <c r="M81" i="1"/>
  <c r="M647" i="1"/>
  <c r="M789" i="1"/>
  <c r="M847" i="1"/>
  <c r="M625" i="1"/>
  <c r="M697" i="1"/>
  <c r="M940" i="1"/>
  <c r="M974" i="1"/>
  <c r="M471" i="1"/>
  <c r="M445" i="1"/>
  <c r="M848" i="1"/>
  <c r="M962" i="1"/>
  <c r="M82" i="1"/>
  <c r="M430" i="1"/>
  <c r="M253" i="1"/>
  <c r="M750" i="1"/>
  <c r="M684" i="1"/>
  <c r="M334" i="1"/>
  <c r="M617" i="1"/>
  <c r="M419" i="1"/>
  <c r="M184" i="1"/>
  <c r="M209" i="1"/>
  <c r="M65" i="1"/>
  <c r="M587" i="1"/>
  <c r="M185" i="1"/>
  <c r="M19" i="1"/>
  <c r="M506" i="1"/>
  <c r="M588" i="1"/>
  <c r="M349" i="1"/>
  <c r="M834" i="1"/>
  <c r="M69" i="1"/>
  <c r="M923" i="1"/>
  <c r="M507" i="1"/>
  <c r="M924" i="1"/>
  <c r="M987" i="1"/>
  <c r="M472" i="1"/>
  <c r="M575" i="1"/>
  <c r="M589" i="1"/>
  <c r="M517" i="1"/>
  <c r="M277" i="1"/>
  <c r="M422" i="1"/>
  <c r="M31" i="1"/>
  <c r="M322" i="1"/>
  <c r="M995" i="1"/>
  <c r="M928" i="1"/>
  <c r="M13" i="1"/>
  <c r="M431" i="1"/>
  <c r="M818" i="1"/>
  <c r="M508" i="1"/>
  <c r="M382" i="1"/>
  <c r="M29" i="1"/>
  <c r="M742" i="1"/>
  <c r="M680" i="1"/>
  <c r="M298" i="1"/>
  <c r="M878" i="1"/>
  <c r="M782" i="1"/>
  <c r="M83" i="1"/>
  <c r="M794" i="1"/>
  <c r="M662" i="1"/>
  <c r="M43" i="1"/>
  <c r="M216" i="1"/>
  <c r="M398" i="1"/>
  <c r="M278" i="1"/>
  <c r="M323" i="1"/>
  <c r="M375" i="1"/>
  <c r="M889" i="1"/>
  <c r="M751" i="1"/>
  <c r="M654" i="1"/>
  <c r="M685" i="1"/>
  <c r="M752" i="1"/>
  <c r="M655" i="1"/>
  <c r="M526" i="1"/>
  <c r="M324" i="1"/>
  <c r="M15" i="1"/>
  <c r="M461" i="1"/>
  <c r="M1012" i="1"/>
  <c r="M835" i="1"/>
  <c r="M358" i="1"/>
  <c r="M279" i="1"/>
  <c r="M698" i="1"/>
  <c r="M1004" i="1"/>
  <c r="M236" i="1"/>
  <c r="M758" i="1"/>
  <c r="M75" i="1"/>
  <c r="M441" i="1"/>
  <c r="M126" i="1"/>
  <c r="M854" i="1"/>
  <c r="M626" i="1"/>
  <c r="M634" i="1"/>
  <c r="M596" i="1"/>
  <c r="M656" i="1"/>
  <c r="M39" i="1"/>
  <c r="M383" i="1"/>
  <c r="M56" i="1"/>
  <c r="M527" i="1"/>
  <c r="M967" i="1"/>
  <c r="M137" i="1"/>
  <c r="M88" i="1"/>
  <c r="M473" i="1"/>
  <c r="M867" i="1"/>
  <c r="M669" i="1"/>
  <c r="M803" i="1"/>
  <c r="M25" i="1"/>
  <c r="M670" i="1"/>
  <c r="M9" i="1"/>
  <c r="M512" i="1"/>
  <c r="M836" i="1"/>
  <c r="M855" i="1"/>
  <c r="M868" i="1"/>
  <c r="M518" i="1"/>
  <c r="M496" i="1"/>
  <c r="M340" i="1"/>
  <c r="M145" i="1"/>
  <c r="M146" i="1"/>
  <c r="M442" i="1"/>
  <c r="M280" i="1"/>
  <c r="M89" i="1"/>
  <c r="M217" i="1"/>
  <c r="M325" i="1"/>
  <c r="M899" i="1"/>
  <c r="M121" i="1"/>
  <c r="M254" i="1"/>
  <c r="M241" i="1"/>
  <c r="M568" i="1"/>
  <c r="M288" i="1"/>
  <c r="M576" i="1"/>
  <c r="M947" i="1"/>
  <c r="M985" i="1"/>
  <c r="M274" i="1"/>
  <c r="M809" i="1"/>
  <c r="M315" i="1"/>
  <c r="M52" i="1"/>
  <c r="M443" i="1"/>
  <c r="M262" i="1"/>
  <c r="M557" i="1"/>
  <c r="M900" i="1"/>
  <c r="M558" i="1"/>
  <c r="M804" i="1"/>
  <c r="M77" i="1"/>
  <c r="M316" i="1"/>
  <c r="M513" i="1"/>
  <c r="M569" i="1"/>
  <c r="M519" i="1"/>
  <c r="M474" i="1"/>
  <c r="M747" i="1"/>
  <c r="M462" i="1"/>
  <c r="M138" i="1"/>
  <c r="M446" i="1"/>
  <c r="M268" i="1"/>
  <c r="M432" i="1"/>
  <c r="M811" i="1"/>
  <c r="M326" i="1"/>
  <c r="M242" i="1"/>
  <c r="M317" i="1"/>
  <c r="M681" i="1"/>
  <c r="M289" i="1"/>
  <c r="M281" i="1"/>
  <c r="M812" i="1"/>
  <c r="M648" i="1"/>
  <c r="M413" i="1"/>
  <c r="M620" i="1"/>
  <c r="M743" i="1"/>
  <c r="M981" i="1"/>
  <c r="M559" i="1"/>
  <c r="M11" i="1"/>
  <c r="M282" i="1"/>
  <c r="M283" i="1"/>
  <c r="M837" i="1"/>
  <c r="M66" i="1"/>
  <c r="M838" i="1"/>
  <c r="M290" i="1"/>
  <c r="M341" i="1"/>
  <c r="M291" i="1"/>
  <c r="M759" i="1"/>
  <c r="M112" i="1"/>
  <c r="M154" i="1"/>
  <c r="M520" i="1"/>
  <c r="M399" i="1"/>
  <c r="M958" i="1"/>
  <c r="M175" i="1"/>
  <c r="M560" i="1"/>
  <c r="M97" i="1"/>
  <c r="M577" i="1"/>
  <c r="M635" i="1"/>
  <c r="M532" i="1"/>
  <c r="M976" i="1"/>
  <c r="M699" i="1"/>
  <c r="M110" i="1"/>
  <c r="M805" i="1"/>
  <c r="M59" i="1"/>
  <c r="M777" i="1"/>
  <c r="M7" i="1"/>
  <c r="M160" i="1"/>
  <c r="M497" i="1"/>
  <c r="M103" i="1"/>
  <c r="M327" i="1"/>
  <c r="M16" i="1"/>
  <c r="M299" i="1"/>
  <c r="M166" i="1"/>
  <c r="M498" i="1"/>
  <c r="M726" i="1"/>
  <c r="M122" i="1"/>
  <c r="M912" i="1"/>
  <c r="M942" i="1"/>
  <c r="M300" i="1"/>
  <c r="M376" i="1"/>
  <c r="M707" i="1"/>
  <c r="M139" i="1"/>
  <c r="M950" i="1"/>
  <c r="M304" i="1"/>
  <c r="M901" i="1"/>
  <c r="M50" i="1"/>
  <c r="M890" i="1"/>
  <c r="M760" i="1"/>
  <c r="M657" i="1"/>
  <c r="M111" i="1"/>
  <c r="M597" i="1"/>
  <c r="M305" i="1"/>
  <c r="M708" i="1"/>
  <c r="M306" i="1"/>
  <c r="M869" i="1"/>
  <c r="M155" i="1"/>
  <c r="M499" i="1"/>
  <c r="M824" i="1"/>
  <c r="M307" i="1"/>
  <c r="M393" i="1"/>
  <c r="M521" i="1"/>
  <c r="M753" i="1"/>
  <c r="M744" i="1"/>
  <c r="M447" i="1"/>
  <c r="M485" i="1"/>
  <c r="M263" i="1"/>
  <c r="M123" i="1"/>
  <c r="M774" i="1"/>
  <c r="M48" i="1"/>
  <c r="M778" i="1"/>
  <c r="M433" i="1"/>
  <c r="M709" i="1"/>
  <c r="M328" i="1"/>
  <c r="M618" i="1"/>
  <c r="M810" i="1"/>
  <c r="M164" i="1"/>
  <c r="M627" i="1"/>
  <c r="M663" i="1"/>
  <c r="M368" i="1"/>
  <c r="M434" i="1"/>
  <c r="M542" i="1"/>
  <c r="M400" i="1"/>
  <c r="M714" i="1"/>
  <c r="M873" i="1"/>
  <c r="M335" i="1"/>
  <c r="M603" i="1"/>
  <c r="M359" i="1"/>
  <c r="M604" i="1"/>
  <c r="M795" i="1"/>
  <c r="M448" i="1"/>
  <c r="M965" i="1"/>
  <c r="M243" i="1"/>
  <c r="M84" i="1"/>
  <c r="M813" i="1"/>
  <c r="M127" i="1"/>
  <c r="M170" i="1"/>
  <c r="M727" i="1"/>
  <c r="M128" i="1"/>
  <c r="M953" i="1"/>
  <c r="M284" i="1"/>
  <c r="M1003" i="1"/>
  <c r="M578" i="1"/>
  <c r="M690" i="1"/>
  <c r="M748" i="1"/>
  <c r="M561" i="1"/>
  <c r="M444" i="1"/>
  <c r="M132" i="1"/>
  <c r="M894" i="1"/>
  <c r="M543" i="1"/>
  <c r="M435" i="1"/>
  <c r="M862" i="1"/>
  <c r="M658" i="1"/>
  <c r="M783" i="1"/>
  <c r="M449" i="1"/>
  <c r="M275" i="1"/>
  <c r="M35" i="1"/>
  <c r="M113" i="1"/>
  <c r="M292" i="1"/>
  <c r="M269" i="1"/>
  <c r="M414" i="1"/>
  <c r="M954" i="1"/>
  <c r="M237" i="1"/>
  <c r="M784" i="1"/>
  <c r="M971" i="1"/>
  <c r="M909" i="1"/>
  <c r="M641" i="1"/>
  <c r="M156" i="1"/>
  <c r="M225" i="1"/>
  <c r="M60" i="1"/>
  <c r="M761" i="1"/>
  <c r="M463" i="1"/>
  <c r="M913" i="1"/>
  <c r="M106" i="1"/>
  <c r="M664" i="1"/>
  <c r="M85" i="1"/>
  <c r="M856" i="1"/>
  <c r="M189" i="1"/>
  <c r="M819" i="1"/>
  <c r="M628" i="1"/>
  <c r="M579" i="1"/>
  <c r="M436" i="1"/>
  <c r="M218" i="1"/>
  <c r="M715" i="1"/>
  <c r="M691" i="1"/>
  <c r="M140" i="1"/>
  <c r="M972" i="1"/>
  <c r="M147" i="1"/>
  <c r="M853" i="1"/>
  <c r="M544" i="1"/>
  <c r="M580" i="1"/>
  <c r="M219" i="1"/>
  <c r="M762" i="1"/>
  <c r="M384" i="1"/>
  <c r="M925" i="1"/>
  <c r="M728" i="1"/>
  <c r="M989" i="1"/>
  <c r="M293" i="1"/>
  <c r="M754" i="1"/>
  <c r="M94" i="1"/>
  <c r="M86" i="1"/>
  <c r="M763" i="1"/>
  <c r="M533" i="1"/>
  <c r="M318" i="1"/>
  <c r="M486" i="1"/>
  <c r="M598" i="1"/>
  <c r="M70" i="1"/>
  <c r="M437" i="1"/>
  <c r="M671" i="1"/>
  <c r="M17" i="1"/>
  <c r="M450" i="1"/>
  <c r="M308" i="1"/>
  <c r="M884" i="1"/>
  <c r="M255" i="1"/>
  <c r="M764" i="1"/>
  <c r="M114" i="1"/>
  <c r="M970" i="1"/>
  <c r="M336" i="1"/>
  <c r="M27" i="1"/>
  <c r="M124" i="1"/>
  <c r="M785" i="1"/>
  <c r="M902" i="1"/>
  <c r="M319" i="1"/>
  <c r="M863" i="1"/>
  <c r="M975" i="1"/>
  <c r="M369" i="1"/>
  <c r="M167" i="1"/>
  <c r="M78" i="1"/>
  <c r="M775" i="1"/>
  <c r="M438" i="1"/>
  <c r="M157" i="1"/>
  <c r="M735" i="1"/>
  <c r="M423" i="1"/>
  <c r="M401" i="1"/>
  <c r="M590" i="1"/>
  <c r="M424" i="1"/>
  <c r="M451" i="1"/>
  <c r="M993" i="1"/>
  <c r="M986" i="1"/>
  <c r="M370" i="1"/>
  <c r="M21" i="1"/>
  <c r="M642" i="1"/>
  <c r="M452" i="1"/>
  <c r="M905" i="1"/>
  <c r="M79" i="1"/>
  <c r="M80" i="1"/>
  <c r="M610" i="1"/>
  <c r="M210" i="1"/>
  <c r="M611" i="1"/>
  <c r="M988" i="1"/>
  <c r="M999" i="1"/>
  <c r="M350" i="1"/>
  <c r="M649" i="1"/>
  <c r="M309" i="1"/>
  <c r="M98" i="1"/>
  <c r="M310" i="1"/>
  <c r="M963" i="1"/>
  <c r="M12" i="1"/>
  <c r="M226" i="1"/>
  <c r="M176" i="1"/>
  <c r="M829" i="1"/>
  <c r="M115" i="1"/>
  <c r="M402" i="1"/>
  <c r="M914" i="1"/>
  <c r="M915" i="1"/>
  <c r="M227" i="1"/>
  <c r="M686" i="1"/>
  <c r="M716" i="1"/>
  <c r="M796" i="1"/>
  <c r="M500" i="1"/>
  <c r="M3" i="1"/>
  <c r="M825" i="1"/>
  <c r="M403" i="1"/>
  <c r="M32" i="1"/>
  <c r="M475" i="1"/>
  <c r="M934" i="1"/>
  <c r="M501" i="1"/>
  <c r="M650" i="1"/>
  <c r="M415" i="1"/>
  <c r="M545" i="1"/>
  <c r="M736" i="1"/>
  <c r="M552" i="1"/>
  <c r="M937" i="1"/>
  <c r="M839" i="1"/>
  <c r="M425" i="1"/>
  <c r="M672" i="1"/>
  <c r="M487" i="1"/>
  <c r="M895" i="1"/>
  <c r="M40" i="1"/>
  <c r="M605" i="1"/>
  <c r="M700" i="1"/>
  <c r="M737" i="1"/>
  <c r="M129" i="1"/>
  <c r="M404" i="1"/>
  <c r="M439" i="1"/>
  <c r="M71" i="1"/>
  <c r="M426" i="1"/>
  <c r="M651" i="1"/>
  <c r="M629" i="1"/>
  <c r="M729" i="1"/>
  <c r="M168" i="1"/>
  <c r="M770" i="1"/>
  <c r="M864" i="1"/>
  <c r="M488" i="1"/>
  <c r="M204" i="1"/>
  <c r="M228" i="1"/>
  <c r="M351" i="1"/>
  <c r="M786" i="1"/>
  <c r="M528" i="1"/>
  <c r="M606" i="1"/>
  <c r="M125" i="1"/>
  <c r="M14" i="1"/>
  <c r="M771" i="1"/>
  <c r="M294" i="1"/>
  <c r="M692" i="1"/>
  <c r="M840" i="1"/>
  <c r="M4" i="1"/>
  <c r="M385" i="1"/>
  <c r="M630" i="1"/>
  <c r="M502" i="1"/>
  <c r="M948" i="1"/>
  <c r="M636" i="1"/>
  <c r="M427" i="1"/>
  <c r="M197" i="1"/>
  <c r="M20" i="1"/>
  <c r="M360" i="1"/>
  <c r="M790" i="1"/>
  <c r="M717" i="1"/>
  <c r="M652" i="1"/>
  <c r="M329" i="1"/>
  <c r="M665" i="1"/>
  <c r="M643" i="1"/>
  <c r="M903" i="1"/>
  <c r="M28" i="1"/>
  <c r="M1013" i="1"/>
  <c r="M211" i="1"/>
  <c r="M133" i="1"/>
  <c r="M107" i="1"/>
  <c r="M264" i="1"/>
  <c r="M797" i="1"/>
  <c r="M870" i="1"/>
  <c r="M256" i="1"/>
  <c r="M935" i="1"/>
  <c r="M220" i="1"/>
  <c r="M177" i="1"/>
  <c r="M311" i="1"/>
  <c r="M464" i="1"/>
  <c r="M453" i="1"/>
  <c r="M621" i="1"/>
  <c r="M26" i="1"/>
  <c r="M738" i="1"/>
  <c r="M570" i="1"/>
  <c r="M330" i="1"/>
  <c r="M141" i="1"/>
  <c r="M238" i="1"/>
  <c r="M955" i="1"/>
  <c r="M896" i="1"/>
  <c r="M1008" i="1"/>
  <c r="M806" i="1"/>
  <c r="M1010" i="1"/>
  <c r="M61" i="1"/>
  <c r="M95" i="1"/>
  <c r="M906" i="1"/>
  <c r="M465" i="1"/>
  <c r="M874" i="1"/>
  <c r="M897" i="1"/>
  <c r="M984" i="1"/>
  <c r="L361" i="1"/>
  <c r="L820" i="1"/>
  <c r="L30" i="1"/>
  <c r="L875" i="1"/>
  <c r="L270" i="1"/>
  <c r="L244" i="1"/>
  <c r="L36" i="1"/>
  <c r="L964" i="1"/>
  <c r="L562" i="1"/>
  <c r="L876" i="1"/>
  <c r="L779" i="1"/>
  <c r="L929" i="1"/>
  <c r="L352" i="1"/>
  <c r="L342" i="1"/>
  <c r="L798" i="1"/>
  <c r="L331" i="1"/>
  <c r="L74" i="1"/>
  <c r="L1006" i="1"/>
  <c r="L932" i="1"/>
  <c r="L720" i="1"/>
  <c r="L534" i="1"/>
  <c r="L428" i="1"/>
  <c r="L857" i="1"/>
  <c r="L386" i="1"/>
  <c r="L301" i="1"/>
  <c r="L353" i="1"/>
  <c r="L687" i="1"/>
  <c r="L420" i="1"/>
  <c r="L476" i="1"/>
  <c r="L454" i="1"/>
  <c r="L371" i="1"/>
  <c r="L612" i="1"/>
  <c r="L581" i="1"/>
  <c r="L966" i="1"/>
  <c r="L62" i="1"/>
  <c r="L178" i="1"/>
  <c r="L198" i="1"/>
  <c r="L721" i="1"/>
  <c r="L116" i="1"/>
  <c r="L745" i="1"/>
  <c r="L746" i="1"/>
  <c r="L529" i="1"/>
  <c r="L701" i="1"/>
  <c r="L607" i="1"/>
  <c r="L807" i="1"/>
  <c r="L702" i="1"/>
  <c r="L659" i="1"/>
  <c r="L405" i="1"/>
  <c r="L455" i="1"/>
  <c r="L142" i="1"/>
  <c r="L826" i="1"/>
  <c r="L891" i="1"/>
  <c r="L916" i="1"/>
  <c r="L179" i="1"/>
  <c r="L171" i="1"/>
  <c r="L973" i="1"/>
  <c r="L117" i="1"/>
  <c r="L827" i="1"/>
  <c r="L710" i="1"/>
  <c r="L1014" i="1"/>
  <c r="L302" i="1"/>
  <c r="L982" i="1"/>
  <c r="L688" i="1"/>
  <c r="L343" i="1"/>
  <c r="L703" i="1"/>
  <c r="L591" i="1"/>
  <c r="L968" i="1"/>
  <c r="L466" i="1"/>
  <c r="L979" i="1"/>
  <c r="L808" i="1"/>
  <c r="L571" i="1"/>
  <c r="L666" i="1"/>
  <c r="L910" i="1"/>
  <c r="L718" i="1"/>
  <c r="L917" i="1"/>
  <c r="L960" i="1"/>
  <c r="L1007" i="1"/>
  <c r="L190" i="1"/>
  <c r="L456" i="1"/>
  <c r="L535" i="1"/>
  <c r="L885" i="1"/>
  <c r="L918" i="1"/>
  <c r="L858" i="1"/>
  <c r="L530" i="1"/>
  <c r="L977" i="1"/>
  <c r="L221" i="1"/>
  <c r="L148" i="1"/>
  <c r="L377" i="1"/>
  <c r="L563" i="1"/>
  <c r="L180" i="1"/>
  <c r="L421" i="1"/>
  <c r="L994" i="1"/>
  <c r="L337" i="1"/>
  <c r="L922" i="1"/>
  <c r="L99" i="1"/>
  <c r="L181" i="1"/>
  <c r="L582" i="1"/>
  <c r="L477" i="1"/>
  <c r="L622" i="1"/>
  <c r="L572" i="1"/>
  <c r="L406" i="1"/>
  <c r="L378" i="1"/>
  <c r="L67" i="1"/>
  <c r="L859" i="1"/>
  <c r="L41" i="1"/>
  <c r="L956" i="1"/>
  <c r="L22" i="1"/>
  <c r="L583" i="1"/>
  <c r="L536" i="1"/>
  <c r="L926" i="1"/>
  <c r="L72" i="1"/>
  <c r="L772" i="1"/>
  <c r="L841" i="1"/>
  <c r="L787" i="1"/>
  <c r="L5" i="1"/>
  <c r="L222" i="1"/>
  <c r="L172" i="1"/>
  <c r="L191" i="1"/>
  <c r="L711" i="1"/>
  <c r="L613" i="1"/>
  <c r="L87" i="1"/>
  <c r="L45" i="1"/>
  <c r="L42" i="1"/>
  <c r="L704" i="1"/>
  <c r="L212" i="1"/>
  <c r="L53" i="1"/>
  <c r="L457" i="1"/>
  <c r="L379" i="1"/>
  <c r="L199" i="1"/>
  <c r="L860" i="1"/>
  <c r="L108" i="1"/>
  <c r="L943" i="1"/>
  <c r="L257" i="1"/>
  <c r="L186" i="1"/>
  <c r="L276" i="1"/>
  <c r="L799" i="1"/>
  <c r="L886" i="1"/>
  <c r="L667" i="1"/>
  <c r="L957" i="1"/>
  <c r="L514" i="1"/>
  <c r="L354" i="1"/>
  <c r="L637" i="1"/>
  <c r="L861" i="1"/>
  <c r="L879" i="1"/>
  <c r="L192" i="1"/>
  <c r="L997" i="1"/>
  <c r="L149" i="1"/>
  <c r="L458" i="1"/>
  <c r="L312" i="1"/>
  <c r="L10" i="1"/>
  <c r="L537" i="1"/>
  <c r="L416" i="1"/>
  <c r="L564" i="1"/>
  <c r="L865" i="1"/>
  <c r="L608" i="1"/>
  <c r="L150" i="1"/>
  <c r="L362" i="1"/>
  <c r="L673" i="1"/>
  <c r="L229" i="1"/>
  <c r="L592" i="1"/>
  <c r="L230" i="1"/>
  <c r="L143" i="1"/>
  <c r="L842" i="1"/>
  <c r="L843" i="1"/>
  <c r="L73" i="1"/>
  <c r="L8" i="1"/>
  <c r="L830" i="1"/>
  <c r="L417" i="1"/>
  <c r="L271" i="1"/>
  <c r="L418" i="1"/>
  <c r="L887" i="1"/>
  <c r="L730" i="1"/>
  <c r="L158" i="1"/>
  <c r="L522" i="1"/>
  <c r="L877" i="1"/>
  <c r="L90" i="1"/>
  <c r="L814" i="1"/>
  <c r="L303" i="1"/>
  <c r="L644" i="1"/>
  <c r="L6" i="1"/>
  <c r="L478" i="1"/>
  <c r="L705" i="1"/>
  <c r="L880" i="1"/>
  <c r="L489" i="1"/>
  <c r="L888" i="1"/>
  <c r="L546" i="1"/>
  <c r="L338" i="1"/>
  <c r="L553" i="1"/>
  <c r="L892" i="1"/>
  <c r="L118" i="1"/>
  <c r="L523" i="1"/>
  <c r="L200" i="1"/>
  <c r="L593" i="1"/>
  <c r="L515" i="1"/>
  <c r="L201" i="1"/>
  <c r="L755" i="1"/>
  <c r="L584" i="1"/>
  <c r="L791" i="1"/>
  <c r="L849" i="1"/>
  <c r="L239" i="1"/>
  <c r="L205" i="1"/>
  <c r="L907" i="1"/>
  <c r="L387" i="1"/>
  <c r="L573" i="1"/>
  <c r="L908" i="1"/>
  <c r="L320" i="1"/>
  <c r="L467" i="1"/>
  <c r="L206" i="1"/>
  <c r="L258" i="1"/>
  <c r="L638" i="1"/>
  <c r="L202" i="1"/>
  <c r="L1001" i="1"/>
  <c r="L780" i="1"/>
  <c r="L765" i="1"/>
  <c r="L91" i="1"/>
  <c r="L173" i="1"/>
  <c r="L100" i="1"/>
  <c r="L978" i="1"/>
  <c r="L407" i="1"/>
  <c r="L722" i="1"/>
  <c r="L538" i="1"/>
  <c r="L161" i="1"/>
  <c r="L660" i="1"/>
  <c r="L182" i="1"/>
  <c r="L599" i="1"/>
  <c r="L831" i="1"/>
  <c r="L388" i="1"/>
  <c r="L800" i="1"/>
  <c r="L490" i="1"/>
  <c r="L33" i="1"/>
  <c r="L468" i="1"/>
  <c r="L941" i="1"/>
  <c r="L213" i="1"/>
  <c r="L101" i="1"/>
  <c r="L134" i="1"/>
  <c r="L245" i="1"/>
  <c r="L554" i="1"/>
  <c r="L539" i="1"/>
  <c r="L821" i="1"/>
  <c r="L165" i="1"/>
  <c r="L459" i="1"/>
  <c r="L159" i="1"/>
  <c r="L788" i="1"/>
  <c r="L850" i="1"/>
  <c r="L363" i="1"/>
  <c r="L246" i="1"/>
  <c r="L193" i="1"/>
  <c r="L555" i="1"/>
  <c r="L600" i="1"/>
  <c r="L668" i="1"/>
  <c r="L996" i="1"/>
  <c r="L207" i="1"/>
  <c r="L524" i="1"/>
  <c r="L247" i="1"/>
  <c r="L815" i="1"/>
  <c r="L479" i="1"/>
  <c r="L480" i="1"/>
  <c r="L844" i="1"/>
  <c r="L321" i="1"/>
  <c r="L285" i="1"/>
  <c r="L344" i="1"/>
  <c r="L214" i="1"/>
  <c r="L893" i="1"/>
  <c r="L23" i="1"/>
  <c r="L372" i="1"/>
  <c r="L1005" i="1"/>
  <c r="L898" i="1"/>
  <c r="L364" i="1"/>
  <c r="L37" i="1"/>
  <c r="L373" i="1"/>
  <c r="L585" i="1"/>
  <c r="L871" i="1"/>
  <c r="L816" i="1"/>
  <c r="L930" i="1"/>
  <c r="L723" i="1"/>
  <c r="L231" i="1"/>
  <c r="L49" i="1"/>
  <c r="L547" i="1"/>
  <c r="L259" i="1"/>
  <c r="L631" i="1"/>
  <c r="L881" i="1"/>
  <c r="L1000" i="1"/>
  <c r="L215" i="1"/>
  <c r="L295" i="1"/>
  <c r="L949" i="1"/>
  <c r="L162" i="1"/>
  <c r="L57" i="1"/>
  <c r="L203" i="1"/>
  <c r="L194" i="1"/>
  <c r="L265" i="1"/>
  <c r="L394" i="1"/>
  <c r="L272" i="1"/>
  <c r="L674" i="1"/>
  <c r="L408" i="1"/>
  <c r="L223" i="1"/>
  <c r="L951" i="1"/>
  <c r="L944" i="1"/>
  <c r="L409" i="1"/>
  <c r="L927" i="1"/>
  <c r="L119" i="1"/>
  <c r="L187" i="1"/>
  <c r="L792" i="1"/>
  <c r="L248" i="1"/>
  <c r="L345" i="1"/>
  <c r="L249" i="1"/>
  <c r="L481" i="1"/>
  <c r="L58" i="1"/>
  <c r="L882" i="1"/>
  <c r="L601" i="1"/>
  <c r="L817" i="1"/>
  <c r="L273" i="1"/>
  <c r="L653" i="1"/>
  <c r="L556" i="1"/>
  <c r="L491" i="1"/>
  <c r="L540" i="1"/>
  <c r="L509" i="1"/>
  <c r="L130" i="1"/>
  <c r="L240" i="1"/>
  <c r="L503" i="1"/>
  <c r="L645" i="1"/>
  <c r="L266" i="1"/>
  <c r="L188" i="1"/>
  <c r="L250" i="1"/>
  <c r="L872" i="1"/>
  <c r="L945" i="1"/>
  <c r="L63" i="1"/>
  <c r="L646" i="1"/>
  <c r="L1009" i="1"/>
  <c r="L232" i="1"/>
  <c r="L883" i="1"/>
  <c r="L594" i="1"/>
  <c r="L969" i="1"/>
  <c r="L739" i="1"/>
  <c r="L135" i="1"/>
  <c r="L46" i="1"/>
  <c r="L565" i="1"/>
  <c r="L389" i="1"/>
  <c r="L904" i="1"/>
  <c r="L1002" i="1"/>
  <c r="L866" i="1"/>
  <c r="L740" i="1"/>
  <c r="L548" i="1"/>
  <c r="L355" i="1"/>
  <c r="L469" i="1"/>
  <c r="L356" i="1"/>
  <c r="L286" i="1"/>
  <c r="L675" i="1"/>
  <c r="L64" i="1"/>
  <c r="L390" i="1"/>
  <c r="L208" i="1"/>
  <c r="L632" i="1"/>
  <c r="L712" i="1"/>
  <c r="L339" i="1"/>
  <c r="L801" i="1"/>
  <c r="L525" i="1"/>
  <c r="L936" i="1"/>
  <c r="L639" i="1"/>
  <c r="L983" i="1"/>
  <c r="L661" i="1"/>
  <c r="L92" i="1"/>
  <c r="L682" i="1"/>
  <c r="L151" i="1"/>
  <c r="L756" i="1"/>
  <c r="L998" i="1"/>
  <c r="L693" i="1"/>
  <c r="L766" i="1"/>
  <c r="L676" i="1"/>
  <c r="L952" i="1"/>
  <c r="L990" i="1"/>
  <c r="L174" i="1"/>
  <c r="L251" i="1"/>
  <c r="L619" i="1"/>
  <c r="L346" i="1"/>
  <c r="L38" i="1"/>
  <c r="L510" i="1"/>
  <c r="L946" i="1"/>
  <c r="L120" i="1"/>
  <c r="L677" i="1"/>
  <c r="L260" i="1"/>
  <c r="L595" i="1"/>
  <c r="L136" i="1"/>
  <c r="L24" i="1"/>
  <c r="L261" i="1"/>
  <c r="L938" i="1"/>
  <c r="L959" i="1"/>
  <c r="L365" i="1"/>
  <c r="L460" i="1"/>
  <c r="L511" i="1"/>
  <c r="L609" i="1"/>
  <c r="L366" i="1"/>
  <c r="L531" i="1"/>
  <c r="L332" i="1"/>
  <c r="L429" i="1"/>
  <c r="L767" i="1"/>
  <c r="L380" i="1"/>
  <c r="L933" i="1"/>
  <c r="L678" i="1"/>
  <c r="L51" i="1"/>
  <c r="L574" i="1"/>
  <c r="L724" i="1"/>
  <c r="L679" i="1"/>
  <c r="L919" i="1"/>
  <c r="L749" i="1"/>
  <c r="L623" i="1"/>
  <c r="L713" i="1"/>
  <c r="L492" i="1"/>
  <c r="L586" i="1"/>
  <c r="L195" i="1"/>
  <c r="L776" i="1"/>
  <c r="L104" i="1"/>
  <c r="L391" i="1"/>
  <c r="L163" i="1"/>
  <c r="L549" i="1"/>
  <c r="L550" i="1"/>
  <c r="L961" i="1"/>
  <c r="L296" i="1"/>
  <c r="L410" i="1"/>
  <c r="L395" i="1"/>
  <c r="L614" i="1"/>
  <c r="L768" i="1"/>
  <c r="L54" i="1"/>
  <c r="L683" i="1"/>
  <c r="L731" i="1"/>
  <c r="L313" i="1"/>
  <c r="L980" i="1"/>
  <c r="L602" i="1"/>
  <c r="L109" i="1"/>
  <c r="L482" i="1"/>
  <c r="L694" i="1"/>
  <c r="L640" i="1"/>
  <c r="L615" i="1"/>
  <c r="L504" i="1"/>
  <c r="L732" i="1"/>
  <c r="L828" i="1"/>
  <c r="L483" i="1"/>
  <c r="L991" i="1"/>
  <c r="L920" i="1"/>
  <c r="L396" i="1"/>
  <c r="L695" i="1"/>
  <c r="L93" i="1"/>
  <c r="L287" i="1"/>
  <c r="L196" i="1"/>
  <c r="L516" i="1"/>
  <c r="L252" i="1"/>
  <c r="L233" i="1"/>
  <c r="L367" i="1"/>
  <c r="L566" i="1"/>
  <c r="L152" i="1"/>
  <c r="L931" i="1"/>
  <c r="L297" i="1"/>
  <c r="L234" i="1"/>
  <c r="L18" i="1"/>
  <c r="L381" i="1"/>
  <c r="L733" i="1"/>
  <c r="L706" i="1"/>
  <c r="L911" i="1"/>
  <c r="L102" i="1"/>
  <c r="L832" i="1"/>
  <c r="L2" i="1"/>
  <c r="L484" i="1"/>
  <c r="L773" i="1"/>
  <c r="L851" i="1"/>
  <c r="L374" i="1"/>
  <c r="L96" i="1"/>
  <c r="L567" i="1"/>
  <c r="L76" i="1"/>
  <c r="L1011" i="1"/>
  <c r="L493" i="1"/>
  <c r="L131" i="1"/>
  <c r="L183" i="1"/>
  <c r="L725" i="1"/>
  <c r="L470" i="1"/>
  <c r="L845" i="1"/>
  <c r="L624" i="1"/>
  <c r="L47" i="1"/>
  <c r="L267" i="1"/>
  <c r="L494" i="1"/>
  <c r="L347" i="1"/>
  <c r="L616" i="1"/>
  <c r="L397" i="1"/>
  <c r="L921" i="1"/>
  <c r="L769" i="1"/>
  <c r="L551" i="1"/>
  <c r="L822" i="1"/>
  <c r="L833" i="1"/>
  <c r="L392" i="1"/>
  <c r="L781" i="1"/>
  <c r="L440" i="1"/>
  <c r="L719" i="1"/>
  <c r="L169" i="1"/>
  <c r="L802" i="1"/>
  <c r="L541" i="1"/>
  <c r="L105" i="1"/>
  <c r="L741" i="1"/>
  <c r="L633" i="1"/>
  <c r="L939" i="1"/>
  <c r="L846" i="1"/>
  <c r="L411" i="1"/>
  <c r="L505" i="1"/>
  <c r="L357" i="1"/>
  <c r="L224" i="1"/>
  <c r="L44" i="1"/>
  <c r="L689" i="1"/>
  <c r="L34" i="1"/>
  <c r="L852" i="1"/>
  <c r="L793" i="1"/>
  <c r="L495" i="1"/>
  <c r="L757" i="1"/>
  <c r="L235" i="1"/>
  <c r="L68" i="1"/>
  <c r="L348" i="1"/>
  <c r="L823" i="1"/>
  <c r="L992" i="1"/>
  <c r="L696" i="1"/>
  <c r="L55" i="1"/>
  <c r="L144" i="1"/>
  <c r="L153" i="1"/>
  <c r="L412" i="1"/>
  <c r="L333" i="1"/>
  <c r="L314" i="1"/>
  <c r="L734" i="1"/>
  <c r="L81" i="1"/>
  <c r="L647" i="1"/>
  <c r="L789" i="1"/>
  <c r="L847" i="1"/>
  <c r="L625" i="1"/>
  <c r="L697" i="1"/>
  <c r="L940" i="1"/>
  <c r="L974" i="1"/>
  <c r="L471" i="1"/>
  <c r="L445" i="1"/>
  <c r="L848" i="1"/>
  <c r="L962" i="1"/>
  <c r="L82" i="1"/>
  <c r="L430" i="1"/>
  <c r="L253" i="1"/>
  <c r="L750" i="1"/>
  <c r="L684" i="1"/>
  <c r="L334" i="1"/>
  <c r="L617" i="1"/>
  <c r="L419" i="1"/>
  <c r="L184" i="1"/>
  <c r="L209" i="1"/>
  <c r="L65" i="1"/>
  <c r="L587" i="1"/>
  <c r="L185" i="1"/>
  <c r="L19" i="1"/>
  <c r="L506" i="1"/>
  <c r="L588" i="1"/>
  <c r="L349" i="1"/>
  <c r="L834" i="1"/>
  <c r="L69" i="1"/>
  <c r="L923" i="1"/>
  <c r="L507" i="1"/>
  <c r="L924" i="1"/>
  <c r="L987" i="1"/>
  <c r="L472" i="1"/>
  <c r="L575" i="1"/>
  <c r="L589" i="1"/>
  <c r="L517" i="1"/>
  <c r="L277" i="1"/>
  <c r="L422" i="1"/>
  <c r="L31" i="1"/>
  <c r="L322" i="1"/>
  <c r="L995" i="1"/>
  <c r="L928" i="1"/>
  <c r="L13" i="1"/>
  <c r="L431" i="1"/>
  <c r="L818" i="1"/>
  <c r="L508" i="1"/>
  <c r="L382" i="1"/>
  <c r="L29" i="1"/>
  <c r="L742" i="1"/>
  <c r="L680" i="1"/>
  <c r="L298" i="1"/>
  <c r="L878" i="1"/>
  <c r="L782" i="1"/>
  <c r="L83" i="1"/>
  <c r="L794" i="1"/>
  <c r="L662" i="1"/>
  <c r="L43" i="1"/>
  <c r="L216" i="1"/>
  <c r="L398" i="1"/>
  <c r="L278" i="1"/>
  <c r="L323" i="1"/>
  <c r="L375" i="1"/>
  <c r="L889" i="1"/>
  <c r="L751" i="1"/>
  <c r="L654" i="1"/>
  <c r="L685" i="1"/>
  <c r="L752" i="1"/>
  <c r="L655" i="1"/>
  <c r="L526" i="1"/>
  <c r="L324" i="1"/>
  <c r="L15" i="1"/>
  <c r="L461" i="1"/>
  <c r="L1012" i="1"/>
  <c r="L835" i="1"/>
  <c r="L358" i="1"/>
  <c r="L279" i="1"/>
  <c r="L698" i="1"/>
  <c r="L1004" i="1"/>
  <c r="L236" i="1"/>
  <c r="L758" i="1"/>
  <c r="L75" i="1"/>
  <c r="L441" i="1"/>
  <c r="L126" i="1"/>
  <c r="L854" i="1"/>
  <c r="L626" i="1"/>
  <c r="L634" i="1"/>
  <c r="L596" i="1"/>
  <c r="L656" i="1"/>
  <c r="L39" i="1"/>
  <c r="L383" i="1"/>
  <c r="L56" i="1"/>
  <c r="L527" i="1"/>
  <c r="L967" i="1"/>
  <c r="L137" i="1"/>
  <c r="L88" i="1"/>
  <c r="L473" i="1"/>
  <c r="L867" i="1"/>
  <c r="L669" i="1"/>
  <c r="L803" i="1"/>
  <c r="L25" i="1"/>
  <c r="L670" i="1"/>
  <c r="L9" i="1"/>
  <c r="L512" i="1"/>
  <c r="L836" i="1"/>
  <c r="L855" i="1"/>
  <c r="L868" i="1"/>
  <c r="L518" i="1"/>
  <c r="L496" i="1"/>
  <c r="L340" i="1"/>
  <c r="L145" i="1"/>
  <c r="L146" i="1"/>
  <c r="L442" i="1"/>
  <c r="L280" i="1"/>
  <c r="L89" i="1"/>
  <c r="L217" i="1"/>
  <c r="L325" i="1"/>
  <c r="L899" i="1"/>
  <c r="L121" i="1"/>
  <c r="L254" i="1"/>
  <c r="L241" i="1"/>
  <c r="L568" i="1"/>
  <c r="L288" i="1"/>
  <c r="L576" i="1"/>
  <c r="L947" i="1"/>
  <c r="L985" i="1"/>
  <c r="L274" i="1"/>
  <c r="L809" i="1"/>
  <c r="L315" i="1"/>
  <c r="L52" i="1"/>
  <c r="L443" i="1"/>
  <c r="L262" i="1"/>
  <c r="L557" i="1"/>
  <c r="L900" i="1"/>
  <c r="L558" i="1"/>
  <c r="L804" i="1"/>
  <c r="L77" i="1"/>
  <c r="L316" i="1"/>
  <c r="L513" i="1"/>
  <c r="L569" i="1"/>
  <c r="L519" i="1"/>
  <c r="L474" i="1"/>
  <c r="L747" i="1"/>
  <c r="L462" i="1"/>
  <c r="L138" i="1"/>
  <c r="L446" i="1"/>
  <c r="L268" i="1"/>
  <c r="L432" i="1"/>
  <c r="L811" i="1"/>
  <c r="L326" i="1"/>
  <c r="L242" i="1"/>
  <c r="L317" i="1"/>
  <c r="L681" i="1"/>
  <c r="L289" i="1"/>
  <c r="L281" i="1"/>
  <c r="L812" i="1"/>
  <c r="L648" i="1"/>
  <c r="L413" i="1"/>
  <c r="L620" i="1"/>
  <c r="L743" i="1"/>
  <c r="L981" i="1"/>
  <c r="L559" i="1"/>
  <c r="L11" i="1"/>
  <c r="L282" i="1"/>
  <c r="L283" i="1"/>
  <c r="L837" i="1"/>
  <c r="L66" i="1"/>
  <c r="L838" i="1"/>
  <c r="L290" i="1"/>
  <c r="L341" i="1"/>
  <c r="L291" i="1"/>
  <c r="L759" i="1"/>
  <c r="L112" i="1"/>
  <c r="L154" i="1"/>
  <c r="L520" i="1"/>
  <c r="L399" i="1"/>
  <c r="L958" i="1"/>
  <c r="L175" i="1"/>
  <c r="L560" i="1"/>
  <c r="L97" i="1"/>
  <c r="L577" i="1"/>
  <c r="L635" i="1"/>
  <c r="L532" i="1"/>
  <c r="L976" i="1"/>
  <c r="L699" i="1"/>
  <c r="L110" i="1"/>
  <c r="L805" i="1"/>
  <c r="L59" i="1"/>
  <c r="L777" i="1"/>
  <c r="L7" i="1"/>
  <c r="L160" i="1"/>
  <c r="L497" i="1"/>
  <c r="L103" i="1"/>
  <c r="L327" i="1"/>
  <c r="L16" i="1"/>
  <c r="L299" i="1"/>
  <c r="L166" i="1"/>
  <c r="L498" i="1"/>
  <c r="L726" i="1"/>
  <c r="L122" i="1"/>
  <c r="L912" i="1"/>
  <c r="L942" i="1"/>
  <c r="L300" i="1"/>
  <c r="L376" i="1"/>
  <c r="L707" i="1"/>
  <c r="L139" i="1"/>
  <c r="L950" i="1"/>
  <c r="L304" i="1"/>
  <c r="L901" i="1"/>
  <c r="L50" i="1"/>
  <c r="L890" i="1"/>
  <c r="L760" i="1"/>
  <c r="L657" i="1"/>
  <c r="L111" i="1"/>
  <c r="L597" i="1"/>
  <c r="L305" i="1"/>
  <c r="L708" i="1"/>
  <c r="L306" i="1"/>
  <c r="L869" i="1"/>
  <c r="L155" i="1"/>
  <c r="L499" i="1"/>
  <c r="L824" i="1"/>
  <c r="L307" i="1"/>
  <c r="L393" i="1"/>
  <c r="L521" i="1"/>
  <c r="L753" i="1"/>
  <c r="L744" i="1"/>
  <c r="L447" i="1"/>
  <c r="L485" i="1"/>
  <c r="L263" i="1"/>
  <c r="L123" i="1"/>
  <c r="L774" i="1"/>
  <c r="L48" i="1"/>
  <c r="L778" i="1"/>
  <c r="L433" i="1"/>
  <c r="L709" i="1"/>
  <c r="L328" i="1"/>
  <c r="L618" i="1"/>
  <c r="L810" i="1"/>
  <c r="L164" i="1"/>
  <c r="L627" i="1"/>
  <c r="L663" i="1"/>
  <c r="L368" i="1"/>
  <c r="L434" i="1"/>
  <c r="L542" i="1"/>
  <c r="L400" i="1"/>
  <c r="L714" i="1"/>
  <c r="L873" i="1"/>
  <c r="L335" i="1"/>
  <c r="L603" i="1"/>
  <c r="L359" i="1"/>
  <c r="L604" i="1"/>
  <c r="L795" i="1"/>
  <c r="L448" i="1"/>
  <c r="L965" i="1"/>
  <c r="L243" i="1"/>
  <c r="L84" i="1"/>
  <c r="L813" i="1"/>
  <c r="L127" i="1"/>
  <c r="L170" i="1"/>
  <c r="L727" i="1"/>
  <c r="L128" i="1"/>
  <c r="L953" i="1"/>
  <c r="L284" i="1"/>
  <c r="L1003" i="1"/>
  <c r="L578" i="1"/>
  <c r="L690" i="1"/>
  <c r="L748" i="1"/>
  <c r="L561" i="1"/>
  <c r="L444" i="1"/>
  <c r="L132" i="1"/>
  <c r="L894" i="1"/>
  <c r="L543" i="1"/>
  <c r="L435" i="1"/>
  <c r="L862" i="1"/>
  <c r="L658" i="1"/>
  <c r="L783" i="1"/>
  <c r="L449" i="1"/>
  <c r="L275" i="1"/>
  <c r="L35" i="1"/>
  <c r="L113" i="1"/>
  <c r="L292" i="1"/>
  <c r="L269" i="1"/>
  <c r="L414" i="1"/>
  <c r="L954" i="1"/>
  <c r="L237" i="1"/>
  <c r="L784" i="1"/>
  <c r="L971" i="1"/>
  <c r="L909" i="1"/>
  <c r="L641" i="1"/>
  <c r="L156" i="1"/>
  <c r="L225" i="1"/>
  <c r="L60" i="1"/>
  <c r="L761" i="1"/>
  <c r="L463" i="1"/>
  <c r="L913" i="1"/>
  <c r="L106" i="1"/>
  <c r="L664" i="1"/>
  <c r="L85" i="1"/>
  <c r="L856" i="1"/>
  <c r="L189" i="1"/>
  <c r="L819" i="1"/>
  <c r="L628" i="1"/>
  <c r="L579" i="1"/>
  <c r="L436" i="1"/>
  <c r="L218" i="1"/>
  <c r="L715" i="1"/>
  <c r="L691" i="1"/>
  <c r="L140" i="1"/>
  <c r="L972" i="1"/>
  <c r="L147" i="1"/>
  <c r="L853" i="1"/>
  <c r="L544" i="1"/>
  <c r="L580" i="1"/>
  <c r="L219" i="1"/>
  <c r="L762" i="1"/>
  <c r="L384" i="1"/>
  <c r="L925" i="1"/>
  <c r="L728" i="1"/>
  <c r="L989" i="1"/>
  <c r="L293" i="1"/>
  <c r="L754" i="1"/>
  <c r="L94" i="1"/>
  <c r="L86" i="1"/>
  <c r="L763" i="1"/>
  <c r="L533" i="1"/>
  <c r="L318" i="1"/>
  <c r="L486" i="1"/>
  <c r="L598" i="1"/>
  <c r="L70" i="1"/>
  <c r="L437" i="1"/>
  <c r="L671" i="1"/>
  <c r="L17" i="1"/>
  <c r="L450" i="1"/>
  <c r="L308" i="1"/>
  <c r="L884" i="1"/>
  <c r="L255" i="1"/>
  <c r="L764" i="1"/>
  <c r="L114" i="1"/>
  <c r="L970" i="1"/>
  <c r="L336" i="1"/>
  <c r="L27" i="1"/>
  <c r="L124" i="1"/>
  <c r="L785" i="1"/>
  <c r="L902" i="1"/>
  <c r="L319" i="1"/>
  <c r="L863" i="1"/>
  <c r="L975" i="1"/>
  <c r="L369" i="1"/>
  <c r="L167" i="1"/>
  <c r="L78" i="1"/>
  <c r="L775" i="1"/>
  <c r="L438" i="1"/>
  <c r="L157" i="1"/>
  <c r="L735" i="1"/>
  <c r="L423" i="1"/>
  <c r="L401" i="1"/>
  <c r="L590" i="1"/>
  <c r="L424" i="1"/>
  <c r="L451" i="1"/>
  <c r="L993" i="1"/>
  <c r="L986" i="1"/>
  <c r="L370" i="1"/>
  <c r="L21" i="1"/>
  <c r="L642" i="1"/>
  <c r="L452" i="1"/>
  <c r="L905" i="1"/>
  <c r="L79" i="1"/>
  <c r="L80" i="1"/>
  <c r="L610" i="1"/>
  <c r="L210" i="1"/>
  <c r="L611" i="1"/>
  <c r="L988" i="1"/>
  <c r="L999" i="1"/>
  <c r="L350" i="1"/>
  <c r="L649" i="1"/>
  <c r="L309" i="1"/>
  <c r="L98" i="1"/>
  <c r="L310" i="1"/>
  <c r="L963" i="1"/>
  <c r="L12" i="1"/>
  <c r="L226" i="1"/>
  <c r="L176" i="1"/>
  <c r="L829" i="1"/>
  <c r="L115" i="1"/>
  <c r="L402" i="1"/>
  <c r="L914" i="1"/>
  <c r="L915" i="1"/>
  <c r="L227" i="1"/>
  <c r="L686" i="1"/>
  <c r="L716" i="1"/>
  <c r="L796" i="1"/>
  <c r="L500" i="1"/>
  <c r="L3" i="1"/>
  <c r="L825" i="1"/>
  <c r="L403" i="1"/>
  <c r="L32" i="1"/>
  <c r="L475" i="1"/>
  <c r="L934" i="1"/>
  <c r="L501" i="1"/>
  <c r="L650" i="1"/>
  <c r="L415" i="1"/>
  <c r="L545" i="1"/>
  <c r="L736" i="1"/>
  <c r="L552" i="1"/>
  <c r="L937" i="1"/>
  <c r="L839" i="1"/>
  <c r="L425" i="1"/>
  <c r="L672" i="1"/>
  <c r="L487" i="1"/>
  <c r="L895" i="1"/>
  <c r="L40" i="1"/>
  <c r="L605" i="1"/>
  <c r="L700" i="1"/>
  <c r="L737" i="1"/>
  <c r="L129" i="1"/>
  <c r="L404" i="1"/>
  <c r="L439" i="1"/>
  <c r="L71" i="1"/>
  <c r="L426" i="1"/>
  <c r="L651" i="1"/>
  <c r="L629" i="1"/>
  <c r="L729" i="1"/>
  <c r="L168" i="1"/>
  <c r="L770" i="1"/>
  <c r="L864" i="1"/>
  <c r="L488" i="1"/>
  <c r="L204" i="1"/>
  <c r="L228" i="1"/>
  <c r="L351" i="1"/>
  <c r="L786" i="1"/>
  <c r="L528" i="1"/>
  <c r="L606" i="1"/>
  <c r="L125" i="1"/>
  <c r="L14" i="1"/>
  <c r="L771" i="1"/>
  <c r="L294" i="1"/>
  <c r="L692" i="1"/>
  <c r="L840" i="1"/>
  <c r="L4" i="1"/>
  <c r="L385" i="1"/>
  <c r="L630" i="1"/>
  <c r="L502" i="1"/>
  <c r="L948" i="1"/>
  <c r="L636" i="1"/>
  <c r="L427" i="1"/>
  <c r="L197" i="1"/>
  <c r="L20" i="1"/>
  <c r="L360" i="1"/>
  <c r="L790" i="1"/>
  <c r="L717" i="1"/>
  <c r="L652" i="1"/>
  <c r="L329" i="1"/>
  <c r="L665" i="1"/>
  <c r="L643" i="1"/>
  <c r="L903" i="1"/>
  <c r="L28" i="1"/>
  <c r="L1013" i="1"/>
  <c r="L211" i="1"/>
  <c r="L133" i="1"/>
  <c r="L107" i="1"/>
  <c r="L264" i="1"/>
  <c r="L797" i="1"/>
  <c r="L870" i="1"/>
  <c r="L256" i="1"/>
  <c r="L935" i="1"/>
  <c r="L220" i="1"/>
  <c r="L177" i="1"/>
  <c r="L311" i="1"/>
  <c r="L464" i="1"/>
  <c r="L453" i="1"/>
  <c r="L621" i="1"/>
  <c r="L26" i="1"/>
  <c r="L738" i="1"/>
  <c r="L570" i="1"/>
  <c r="L330" i="1"/>
  <c r="L141" i="1"/>
  <c r="L238" i="1"/>
  <c r="L955" i="1"/>
  <c r="L896" i="1"/>
  <c r="L1008" i="1"/>
  <c r="L806" i="1"/>
  <c r="L1010" i="1"/>
  <c r="L61" i="1"/>
  <c r="L95" i="1"/>
  <c r="L906" i="1"/>
  <c r="L465" i="1"/>
  <c r="L874" i="1"/>
  <c r="L897" i="1"/>
  <c r="L984" i="1"/>
  <c r="K361" i="1"/>
  <c r="K820" i="1"/>
  <c r="K30" i="1"/>
  <c r="K875" i="1"/>
  <c r="K270" i="1"/>
  <c r="K244" i="1"/>
  <c r="K36" i="1"/>
  <c r="K964" i="1"/>
  <c r="K562" i="1"/>
  <c r="K876" i="1"/>
  <c r="K779" i="1"/>
  <c r="K929" i="1"/>
  <c r="K352" i="1"/>
  <c r="K342" i="1"/>
  <c r="K798" i="1"/>
  <c r="K331" i="1"/>
  <c r="K74" i="1"/>
  <c r="K1006" i="1"/>
  <c r="K932" i="1"/>
  <c r="K720" i="1"/>
  <c r="K534" i="1"/>
  <c r="K428" i="1"/>
  <c r="K857" i="1"/>
  <c r="K386" i="1"/>
  <c r="K301" i="1"/>
  <c r="K353" i="1"/>
  <c r="K687" i="1"/>
  <c r="K420" i="1"/>
  <c r="K476" i="1"/>
  <c r="K454" i="1"/>
  <c r="K371" i="1"/>
  <c r="K612" i="1"/>
  <c r="K581" i="1"/>
  <c r="K966" i="1"/>
  <c r="K62" i="1"/>
  <c r="K178" i="1"/>
  <c r="K198" i="1"/>
  <c r="K721" i="1"/>
  <c r="K116" i="1"/>
  <c r="K745" i="1"/>
  <c r="K746" i="1"/>
  <c r="K529" i="1"/>
  <c r="K701" i="1"/>
  <c r="K607" i="1"/>
  <c r="K807" i="1"/>
  <c r="K702" i="1"/>
  <c r="K659" i="1"/>
  <c r="K405" i="1"/>
  <c r="K455" i="1"/>
  <c r="K142" i="1"/>
  <c r="K826" i="1"/>
  <c r="K891" i="1"/>
  <c r="K916" i="1"/>
  <c r="K179" i="1"/>
  <c r="K171" i="1"/>
  <c r="K973" i="1"/>
  <c r="K117" i="1"/>
  <c r="K827" i="1"/>
  <c r="K710" i="1"/>
  <c r="K1014" i="1"/>
  <c r="K302" i="1"/>
  <c r="K982" i="1"/>
  <c r="K688" i="1"/>
  <c r="K343" i="1"/>
  <c r="K703" i="1"/>
  <c r="K591" i="1"/>
  <c r="K968" i="1"/>
  <c r="K466" i="1"/>
  <c r="K979" i="1"/>
  <c r="K808" i="1"/>
  <c r="K571" i="1"/>
  <c r="K666" i="1"/>
  <c r="K910" i="1"/>
  <c r="K718" i="1"/>
  <c r="K917" i="1"/>
  <c r="K960" i="1"/>
  <c r="K1007" i="1"/>
  <c r="K190" i="1"/>
  <c r="K456" i="1"/>
  <c r="K535" i="1"/>
  <c r="K885" i="1"/>
  <c r="K918" i="1"/>
  <c r="K858" i="1"/>
  <c r="K530" i="1"/>
  <c r="K977" i="1"/>
  <c r="K221" i="1"/>
  <c r="K148" i="1"/>
  <c r="K377" i="1"/>
  <c r="K563" i="1"/>
  <c r="K180" i="1"/>
  <c r="K421" i="1"/>
  <c r="K994" i="1"/>
  <c r="K337" i="1"/>
  <c r="K922" i="1"/>
  <c r="K99" i="1"/>
  <c r="K181" i="1"/>
  <c r="K582" i="1"/>
  <c r="K477" i="1"/>
  <c r="K622" i="1"/>
  <c r="K572" i="1"/>
  <c r="K406" i="1"/>
  <c r="K378" i="1"/>
  <c r="K67" i="1"/>
  <c r="K859" i="1"/>
  <c r="K41" i="1"/>
  <c r="K956" i="1"/>
  <c r="K22" i="1"/>
  <c r="K583" i="1"/>
  <c r="K536" i="1"/>
  <c r="K926" i="1"/>
  <c r="K72" i="1"/>
  <c r="K772" i="1"/>
  <c r="K841" i="1"/>
  <c r="K787" i="1"/>
  <c r="K5" i="1"/>
  <c r="K222" i="1"/>
  <c r="K172" i="1"/>
  <c r="K191" i="1"/>
  <c r="K711" i="1"/>
  <c r="K613" i="1"/>
  <c r="K87" i="1"/>
  <c r="K45" i="1"/>
  <c r="K42" i="1"/>
  <c r="K704" i="1"/>
  <c r="K212" i="1"/>
  <c r="K53" i="1"/>
  <c r="K457" i="1"/>
  <c r="K379" i="1"/>
  <c r="K199" i="1"/>
  <c r="K860" i="1"/>
  <c r="K108" i="1"/>
  <c r="K943" i="1"/>
  <c r="K257" i="1"/>
  <c r="K186" i="1"/>
  <c r="K276" i="1"/>
  <c r="K799" i="1"/>
  <c r="K886" i="1"/>
  <c r="K667" i="1"/>
  <c r="K957" i="1"/>
  <c r="K514" i="1"/>
  <c r="K354" i="1"/>
  <c r="K637" i="1"/>
  <c r="K861" i="1"/>
  <c r="K879" i="1"/>
  <c r="K192" i="1"/>
  <c r="K997" i="1"/>
  <c r="K149" i="1"/>
  <c r="K458" i="1"/>
  <c r="K312" i="1"/>
  <c r="K10" i="1"/>
  <c r="K537" i="1"/>
  <c r="K416" i="1"/>
  <c r="K564" i="1"/>
  <c r="K865" i="1"/>
  <c r="K608" i="1"/>
  <c r="K150" i="1"/>
  <c r="K362" i="1"/>
  <c r="K673" i="1"/>
  <c r="K229" i="1"/>
  <c r="K592" i="1"/>
  <c r="K230" i="1"/>
  <c r="K143" i="1"/>
  <c r="K842" i="1"/>
  <c r="K843" i="1"/>
  <c r="K73" i="1"/>
  <c r="K8" i="1"/>
  <c r="K830" i="1"/>
  <c r="K417" i="1"/>
  <c r="K271" i="1"/>
  <c r="K418" i="1"/>
  <c r="K887" i="1"/>
  <c r="K730" i="1"/>
  <c r="K158" i="1"/>
  <c r="K522" i="1"/>
  <c r="K877" i="1"/>
  <c r="K90" i="1"/>
  <c r="K814" i="1"/>
  <c r="K303" i="1"/>
  <c r="K644" i="1"/>
  <c r="K6" i="1"/>
  <c r="K478" i="1"/>
  <c r="K705" i="1"/>
  <c r="K880" i="1"/>
  <c r="K489" i="1"/>
  <c r="K888" i="1"/>
  <c r="K546" i="1"/>
  <c r="K338" i="1"/>
  <c r="K553" i="1"/>
  <c r="K892" i="1"/>
  <c r="K118" i="1"/>
  <c r="K523" i="1"/>
  <c r="K200" i="1"/>
  <c r="K593" i="1"/>
  <c r="K515" i="1"/>
  <c r="K201" i="1"/>
  <c r="K755" i="1"/>
  <c r="K584" i="1"/>
  <c r="K791" i="1"/>
  <c r="K849" i="1"/>
  <c r="K239" i="1"/>
  <c r="K205" i="1"/>
  <c r="K907" i="1"/>
  <c r="K387" i="1"/>
  <c r="K573" i="1"/>
  <c r="K908" i="1"/>
  <c r="K320" i="1"/>
  <c r="K467" i="1"/>
  <c r="K206" i="1"/>
  <c r="K258" i="1"/>
  <c r="K638" i="1"/>
  <c r="K202" i="1"/>
  <c r="K1001" i="1"/>
  <c r="K780" i="1"/>
  <c r="K765" i="1"/>
  <c r="K91" i="1"/>
  <c r="K173" i="1"/>
  <c r="K100" i="1"/>
  <c r="K978" i="1"/>
  <c r="K407" i="1"/>
  <c r="K722" i="1"/>
  <c r="K538" i="1"/>
  <c r="K161" i="1"/>
  <c r="K660" i="1"/>
  <c r="K182" i="1"/>
  <c r="K599" i="1"/>
  <c r="K831" i="1"/>
  <c r="K388" i="1"/>
  <c r="K800" i="1"/>
  <c r="K490" i="1"/>
  <c r="K33" i="1"/>
  <c r="K468" i="1"/>
  <c r="K941" i="1"/>
  <c r="K213" i="1"/>
  <c r="K101" i="1"/>
  <c r="K134" i="1"/>
  <c r="K245" i="1"/>
  <c r="K554" i="1"/>
  <c r="K539" i="1"/>
  <c r="K821" i="1"/>
  <c r="K165" i="1"/>
  <c r="K459" i="1"/>
  <c r="K159" i="1"/>
  <c r="K788" i="1"/>
  <c r="K850" i="1"/>
  <c r="K363" i="1"/>
  <c r="K246" i="1"/>
  <c r="K193" i="1"/>
  <c r="K555" i="1"/>
  <c r="K600" i="1"/>
  <c r="K668" i="1"/>
  <c r="K996" i="1"/>
  <c r="K207" i="1"/>
  <c r="K524" i="1"/>
  <c r="K247" i="1"/>
  <c r="K815" i="1"/>
  <c r="K479" i="1"/>
  <c r="K480" i="1"/>
  <c r="K844" i="1"/>
  <c r="K321" i="1"/>
  <c r="K285" i="1"/>
  <c r="K344" i="1"/>
  <c r="K214" i="1"/>
  <c r="K893" i="1"/>
  <c r="K23" i="1"/>
  <c r="K372" i="1"/>
  <c r="K1005" i="1"/>
  <c r="K898" i="1"/>
  <c r="K364" i="1"/>
  <c r="K37" i="1"/>
  <c r="K373" i="1"/>
  <c r="K585" i="1"/>
  <c r="K871" i="1"/>
  <c r="K816" i="1"/>
  <c r="K930" i="1"/>
  <c r="K723" i="1"/>
  <c r="K231" i="1"/>
  <c r="K49" i="1"/>
  <c r="K547" i="1"/>
  <c r="K259" i="1"/>
  <c r="K631" i="1"/>
  <c r="K881" i="1"/>
  <c r="K1000" i="1"/>
  <c r="K215" i="1"/>
  <c r="K295" i="1"/>
  <c r="K949" i="1"/>
  <c r="K162" i="1"/>
  <c r="K57" i="1"/>
  <c r="K203" i="1"/>
  <c r="K194" i="1"/>
  <c r="K265" i="1"/>
  <c r="K394" i="1"/>
  <c r="K272" i="1"/>
  <c r="K674" i="1"/>
  <c r="K408" i="1"/>
  <c r="K223" i="1"/>
  <c r="K951" i="1"/>
  <c r="K944" i="1"/>
  <c r="K409" i="1"/>
  <c r="K927" i="1"/>
  <c r="K119" i="1"/>
  <c r="K187" i="1"/>
  <c r="K792" i="1"/>
  <c r="K248" i="1"/>
  <c r="K345" i="1"/>
  <c r="K249" i="1"/>
  <c r="K481" i="1"/>
  <c r="K58" i="1"/>
  <c r="K882" i="1"/>
  <c r="K601" i="1"/>
  <c r="K817" i="1"/>
  <c r="K273" i="1"/>
  <c r="K653" i="1"/>
  <c r="K556" i="1"/>
  <c r="K491" i="1"/>
  <c r="K540" i="1"/>
  <c r="K509" i="1"/>
  <c r="K130" i="1"/>
  <c r="K240" i="1"/>
  <c r="K503" i="1"/>
  <c r="K645" i="1"/>
  <c r="K266" i="1"/>
  <c r="K188" i="1"/>
  <c r="K250" i="1"/>
  <c r="K872" i="1"/>
  <c r="K945" i="1"/>
  <c r="K63" i="1"/>
  <c r="K646" i="1"/>
  <c r="K1009" i="1"/>
  <c r="K232" i="1"/>
  <c r="K883" i="1"/>
  <c r="K594" i="1"/>
  <c r="K969" i="1"/>
  <c r="K739" i="1"/>
  <c r="K135" i="1"/>
  <c r="K46" i="1"/>
  <c r="K565" i="1"/>
  <c r="K389" i="1"/>
  <c r="K904" i="1"/>
  <c r="K1002" i="1"/>
  <c r="K866" i="1"/>
  <c r="K740" i="1"/>
  <c r="K548" i="1"/>
  <c r="K355" i="1"/>
  <c r="K469" i="1"/>
  <c r="K356" i="1"/>
  <c r="K286" i="1"/>
  <c r="K675" i="1"/>
  <c r="K64" i="1"/>
  <c r="K390" i="1"/>
  <c r="K208" i="1"/>
  <c r="K632" i="1"/>
  <c r="K712" i="1"/>
  <c r="K339" i="1"/>
  <c r="K801" i="1"/>
  <c r="K525" i="1"/>
  <c r="K936" i="1"/>
  <c r="K639" i="1"/>
  <c r="K983" i="1"/>
  <c r="K661" i="1"/>
  <c r="K92" i="1"/>
  <c r="K682" i="1"/>
  <c r="K151" i="1"/>
  <c r="K756" i="1"/>
  <c r="K998" i="1"/>
  <c r="K693" i="1"/>
  <c r="K766" i="1"/>
  <c r="K676" i="1"/>
  <c r="K952" i="1"/>
  <c r="K990" i="1"/>
  <c r="K174" i="1"/>
  <c r="K251" i="1"/>
  <c r="K619" i="1"/>
  <c r="K346" i="1"/>
  <c r="K38" i="1"/>
  <c r="K510" i="1"/>
  <c r="K946" i="1"/>
  <c r="K120" i="1"/>
  <c r="K677" i="1"/>
  <c r="K260" i="1"/>
  <c r="K595" i="1"/>
  <c r="K136" i="1"/>
  <c r="K24" i="1"/>
  <c r="K261" i="1"/>
  <c r="K938" i="1"/>
  <c r="K959" i="1"/>
  <c r="K365" i="1"/>
  <c r="K460" i="1"/>
  <c r="K511" i="1"/>
  <c r="K609" i="1"/>
  <c r="K366" i="1"/>
  <c r="K531" i="1"/>
  <c r="K332" i="1"/>
  <c r="K429" i="1"/>
  <c r="K767" i="1"/>
  <c r="K380" i="1"/>
  <c r="K933" i="1"/>
  <c r="K678" i="1"/>
  <c r="K51" i="1"/>
  <c r="K574" i="1"/>
  <c r="K724" i="1"/>
  <c r="K679" i="1"/>
  <c r="K919" i="1"/>
  <c r="K749" i="1"/>
  <c r="K623" i="1"/>
  <c r="K713" i="1"/>
  <c r="K492" i="1"/>
  <c r="K586" i="1"/>
  <c r="K195" i="1"/>
  <c r="K776" i="1"/>
  <c r="K104" i="1"/>
  <c r="K391" i="1"/>
  <c r="K163" i="1"/>
  <c r="K549" i="1"/>
  <c r="K550" i="1"/>
  <c r="K961" i="1"/>
  <c r="K296" i="1"/>
  <c r="K410" i="1"/>
  <c r="K395" i="1"/>
  <c r="K614" i="1"/>
  <c r="K768" i="1"/>
  <c r="K54" i="1"/>
  <c r="K683" i="1"/>
  <c r="K731" i="1"/>
  <c r="K313" i="1"/>
  <c r="K980" i="1"/>
  <c r="K602" i="1"/>
  <c r="K109" i="1"/>
  <c r="K482" i="1"/>
  <c r="K694" i="1"/>
  <c r="K640" i="1"/>
  <c r="K615" i="1"/>
  <c r="K504" i="1"/>
  <c r="K732" i="1"/>
  <c r="K828" i="1"/>
  <c r="K483" i="1"/>
  <c r="K991" i="1"/>
  <c r="K920" i="1"/>
  <c r="K396" i="1"/>
  <c r="K695" i="1"/>
  <c r="K93" i="1"/>
  <c r="K287" i="1"/>
  <c r="K196" i="1"/>
  <c r="K516" i="1"/>
  <c r="K252" i="1"/>
  <c r="K233" i="1"/>
  <c r="K367" i="1"/>
  <c r="K566" i="1"/>
  <c r="K152" i="1"/>
  <c r="K931" i="1"/>
  <c r="K297" i="1"/>
  <c r="K234" i="1"/>
  <c r="K18" i="1"/>
  <c r="K381" i="1"/>
  <c r="K733" i="1"/>
  <c r="K706" i="1"/>
  <c r="K911" i="1"/>
  <c r="K102" i="1"/>
  <c r="K832" i="1"/>
  <c r="K2" i="1"/>
  <c r="K484" i="1"/>
  <c r="K773" i="1"/>
  <c r="K851" i="1"/>
  <c r="K374" i="1"/>
  <c r="K96" i="1"/>
  <c r="K567" i="1"/>
  <c r="K76" i="1"/>
  <c r="K1011" i="1"/>
  <c r="K493" i="1"/>
  <c r="K131" i="1"/>
  <c r="K183" i="1"/>
  <c r="K725" i="1"/>
  <c r="K470" i="1"/>
  <c r="K845" i="1"/>
  <c r="K624" i="1"/>
  <c r="K47" i="1"/>
  <c r="K267" i="1"/>
  <c r="K494" i="1"/>
  <c r="K347" i="1"/>
  <c r="K616" i="1"/>
  <c r="K397" i="1"/>
  <c r="K921" i="1"/>
  <c r="K769" i="1"/>
  <c r="K551" i="1"/>
  <c r="K822" i="1"/>
  <c r="K833" i="1"/>
  <c r="K392" i="1"/>
  <c r="K781" i="1"/>
  <c r="K440" i="1"/>
  <c r="K719" i="1"/>
  <c r="K169" i="1"/>
  <c r="K802" i="1"/>
  <c r="K541" i="1"/>
  <c r="K105" i="1"/>
  <c r="K741" i="1"/>
  <c r="K633" i="1"/>
  <c r="K939" i="1"/>
  <c r="K846" i="1"/>
  <c r="K411" i="1"/>
  <c r="K505" i="1"/>
  <c r="K357" i="1"/>
  <c r="K224" i="1"/>
  <c r="K44" i="1"/>
  <c r="K689" i="1"/>
  <c r="K34" i="1"/>
  <c r="K852" i="1"/>
  <c r="K793" i="1"/>
  <c r="K495" i="1"/>
  <c r="K757" i="1"/>
  <c r="K235" i="1"/>
  <c r="K68" i="1"/>
  <c r="K348" i="1"/>
  <c r="K823" i="1"/>
  <c r="K992" i="1"/>
  <c r="K696" i="1"/>
  <c r="K55" i="1"/>
  <c r="K144" i="1"/>
  <c r="K153" i="1"/>
  <c r="K412" i="1"/>
  <c r="K333" i="1"/>
  <c r="K314" i="1"/>
  <c r="K734" i="1"/>
  <c r="K81" i="1"/>
  <c r="K647" i="1"/>
  <c r="K789" i="1"/>
  <c r="K847" i="1"/>
  <c r="K625" i="1"/>
  <c r="K697" i="1"/>
  <c r="K940" i="1"/>
  <c r="K974" i="1"/>
  <c r="K471" i="1"/>
  <c r="K445" i="1"/>
  <c r="K848" i="1"/>
  <c r="K962" i="1"/>
  <c r="K82" i="1"/>
  <c r="K430" i="1"/>
  <c r="K253" i="1"/>
  <c r="K750" i="1"/>
  <c r="K684" i="1"/>
  <c r="K334" i="1"/>
  <c r="K617" i="1"/>
  <c r="K419" i="1"/>
  <c r="K184" i="1"/>
  <c r="K209" i="1"/>
  <c r="K65" i="1"/>
  <c r="K587" i="1"/>
  <c r="K185" i="1"/>
  <c r="K19" i="1"/>
  <c r="K506" i="1"/>
  <c r="K588" i="1"/>
  <c r="K349" i="1"/>
  <c r="K834" i="1"/>
  <c r="K69" i="1"/>
  <c r="K923" i="1"/>
  <c r="K507" i="1"/>
  <c r="K924" i="1"/>
  <c r="K987" i="1"/>
  <c r="K472" i="1"/>
  <c r="K575" i="1"/>
  <c r="K589" i="1"/>
  <c r="K517" i="1"/>
  <c r="K277" i="1"/>
  <c r="K422" i="1"/>
  <c r="K31" i="1"/>
  <c r="K322" i="1"/>
  <c r="K995" i="1"/>
  <c r="K928" i="1"/>
  <c r="K13" i="1"/>
  <c r="K431" i="1"/>
  <c r="K818" i="1"/>
  <c r="K508" i="1"/>
  <c r="K382" i="1"/>
  <c r="K29" i="1"/>
  <c r="K742" i="1"/>
  <c r="K680" i="1"/>
  <c r="K298" i="1"/>
  <c r="K878" i="1"/>
  <c r="K782" i="1"/>
  <c r="K83" i="1"/>
  <c r="K794" i="1"/>
  <c r="K662" i="1"/>
  <c r="K43" i="1"/>
  <c r="K216" i="1"/>
  <c r="K398" i="1"/>
  <c r="K278" i="1"/>
  <c r="K323" i="1"/>
  <c r="K375" i="1"/>
  <c r="K889" i="1"/>
  <c r="K751" i="1"/>
  <c r="K654" i="1"/>
  <c r="K685" i="1"/>
  <c r="K752" i="1"/>
  <c r="K655" i="1"/>
  <c r="K526" i="1"/>
  <c r="K324" i="1"/>
  <c r="K15" i="1"/>
  <c r="K461" i="1"/>
  <c r="K1012" i="1"/>
  <c r="K835" i="1"/>
  <c r="K358" i="1"/>
  <c r="K279" i="1"/>
  <c r="K698" i="1"/>
  <c r="K1004" i="1"/>
  <c r="K236" i="1"/>
  <c r="K758" i="1"/>
  <c r="K75" i="1"/>
  <c r="K441" i="1"/>
  <c r="K126" i="1"/>
  <c r="K854" i="1"/>
  <c r="K626" i="1"/>
  <c r="K634" i="1"/>
  <c r="K596" i="1"/>
  <c r="K656" i="1"/>
  <c r="K39" i="1"/>
  <c r="K383" i="1"/>
  <c r="K56" i="1"/>
  <c r="K527" i="1"/>
  <c r="K967" i="1"/>
  <c r="K137" i="1"/>
  <c r="K88" i="1"/>
  <c r="K473" i="1"/>
  <c r="K867" i="1"/>
  <c r="K669" i="1"/>
  <c r="K803" i="1"/>
  <c r="K25" i="1"/>
  <c r="K670" i="1"/>
  <c r="K9" i="1"/>
  <c r="K512" i="1"/>
  <c r="K836" i="1"/>
  <c r="K855" i="1"/>
  <c r="K868" i="1"/>
  <c r="K518" i="1"/>
  <c r="K496" i="1"/>
  <c r="K340" i="1"/>
  <c r="K145" i="1"/>
  <c r="K146" i="1"/>
  <c r="K442" i="1"/>
  <c r="K280" i="1"/>
  <c r="K89" i="1"/>
  <c r="K217" i="1"/>
  <c r="K325" i="1"/>
  <c r="K899" i="1"/>
  <c r="K121" i="1"/>
  <c r="K254" i="1"/>
  <c r="K241" i="1"/>
  <c r="K568" i="1"/>
  <c r="K288" i="1"/>
  <c r="K576" i="1"/>
  <c r="K947" i="1"/>
  <c r="K985" i="1"/>
  <c r="K274" i="1"/>
  <c r="K809" i="1"/>
  <c r="K315" i="1"/>
  <c r="K52" i="1"/>
  <c r="K443" i="1"/>
  <c r="K262" i="1"/>
  <c r="K557" i="1"/>
  <c r="K900" i="1"/>
  <c r="K558" i="1"/>
  <c r="K804" i="1"/>
  <c r="K77" i="1"/>
  <c r="K316" i="1"/>
  <c r="K513" i="1"/>
  <c r="K569" i="1"/>
  <c r="K519" i="1"/>
  <c r="K474" i="1"/>
  <c r="K747" i="1"/>
  <c r="K462" i="1"/>
  <c r="K138" i="1"/>
  <c r="K446" i="1"/>
  <c r="K268" i="1"/>
  <c r="K432" i="1"/>
  <c r="K811" i="1"/>
  <c r="K326" i="1"/>
  <c r="K242" i="1"/>
  <c r="K317" i="1"/>
  <c r="K681" i="1"/>
  <c r="K289" i="1"/>
  <c r="K281" i="1"/>
  <c r="K812" i="1"/>
  <c r="K648" i="1"/>
  <c r="K413" i="1"/>
  <c r="K620" i="1"/>
  <c r="K743" i="1"/>
  <c r="K981" i="1"/>
  <c r="K559" i="1"/>
  <c r="K11" i="1"/>
  <c r="K282" i="1"/>
  <c r="K283" i="1"/>
  <c r="K837" i="1"/>
  <c r="K66" i="1"/>
  <c r="K838" i="1"/>
  <c r="K290" i="1"/>
  <c r="K341" i="1"/>
  <c r="K291" i="1"/>
  <c r="K759" i="1"/>
  <c r="K112" i="1"/>
  <c r="K154" i="1"/>
  <c r="K520" i="1"/>
  <c r="K399" i="1"/>
  <c r="K958" i="1"/>
  <c r="K175" i="1"/>
  <c r="K560" i="1"/>
  <c r="K97" i="1"/>
  <c r="K577" i="1"/>
  <c r="K635" i="1"/>
  <c r="K532" i="1"/>
  <c r="K976" i="1"/>
  <c r="K699" i="1"/>
  <c r="K110" i="1"/>
  <c r="K805" i="1"/>
  <c r="K59" i="1"/>
  <c r="K777" i="1"/>
  <c r="K7" i="1"/>
  <c r="K160" i="1"/>
  <c r="K497" i="1"/>
  <c r="K103" i="1"/>
  <c r="K327" i="1"/>
  <c r="K16" i="1"/>
  <c r="K299" i="1"/>
  <c r="K166" i="1"/>
  <c r="K498" i="1"/>
  <c r="K726" i="1"/>
  <c r="K122" i="1"/>
  <c r="K912" i="1"/>
  <c r="K942" i="1"/>
  <c r="K300" i="1"/>
  <c r="K376" i="1"/>
  <c r="K707" i="1"/>
  <c r="K139" i="1"/>
  <c r="K950" i="1"/>
  <c r="K304" i="1"/>
  <c r="K901" i="1"/>
  <c r="K50" i="1"/>
  <c r="K890" i="1"/>
  <c r="K760" i="1"/>
  <c r="K657" i="1"/>
  <c r="K111" i="1"/>
  <c r="K597" i="1"/>
  <c r="K305" i="1"/>
  <c r="K708" i="1"/>
  <c r="K306" i="1"/>
  <c r="K869" i="1"/>
  <c r="K155" i="1"/>
  <c r="K499" i="1"/>
  <c r="K824" i="1"/>
  <c r="K307" i="1"/>
  <c r="K393" i="1"/>
  <c r="K521" i="1"/>
  <c r="K753" i="1"/>
  <c r="K744" i="1"/>
  <c r="K447" i="1"/>
  <c r="K485" i="1"/>
  <c r="K263" i="1"/>
  <c r="K123" i="1"/>
  <c r="K774" i="1"/>
  <c r="K48" i="1"/>
  <c r="K778" i="1"/>
  <c r="K433" i="1"/>
  <c r="K709" i="1"/>
  <c r="K328" i="1"/>
  <c r="K618" i="1"/>
  <c r="K810" i="1"/>
  <c r="K164" i="1"/>
  <c r="K627" i="1"/>
  <c r="K663" i="1"/>
  <c r="K368" i="1"/>
  <c r="K434" i="1"/>
  <c r="K542" i="1"/>
  <c r="K400" i="1"/>
  <c r="K714" i="1"/>
  <c r="K873" i="1"/>
  <c r="K335" i="1"/>
  <c r="K603" i="1"/>
  <c r="K359" i="1"/>
  <c r="K604" i="1"/>
  <c r="K795" i="1"/>
  <c r="K448" i="1"/>
  <c r="K965" i="1"/>
  <c r="K243" i="1"/>
  <c r="K84" i="1"/>
  <c r="K813" i="1"/>
  <c r="K127" i="1"/>
  <c r="K170" i="1"/>
  <c r="K727" i="1"/>
  <c r="K128" i="1"/>
  <c r="K953" i="1"/>
  <c r="K284" i="1"/>
  <c r="K1003" i="1"/>
  <c r="K578" i="1"/>
  <c r="K690" i="1"/>
  <c r="K748" i="1"/>
  <c r="K561" i="1"/>
  <c r="K444" i="1"/>
  <c r="K132" i="1"/>
  <c r="K894" i="1"/>
  <c r="K543" i="1"/>
  <c r="K435" i="1"/>
  <c r="K862" i="1"/>
  <c r="K658" i="1"/>
  <c r="K783" i="1"/>
  <c r="K449" i="1"/>
  <c r="K275" i="1"/>
  <c r="K35" i="1"/>
  <c r="K113" i="1"/>
  <c r="K292" i="1"/>
  <c r="K269" i="1"/>
  <c r="K414" i="1"/>
  <c r="K954" i="1"/>
  <c r="K237" i="1"/>
  <c r="K784" i="1"/>
  <c r="K971" i="1"/>
  <c r="K909" i="1"/>
  <c r="K641" i="1"/>
  <c r="K156" i="1"/>
  <c r="K225" i="1"/>
  <c r="K60" i="1"/>
  <c r="K761" i="1"/>
  <c r="K463" i="1"/>
  <c r="K913" i="1"/>
  <c r="K106" i="1"/>
  <c r="K664" i="1"/>
  <c r="K85" i="1"/>
  <c r="K856" i="1"/>
  <c r="K189" i="1"/>
  <c r="K819" i="1"/>
  <c r="K628" i="1"/>
  <c r="K579" i="1"/>
  <c r="K436" i="1"/>
  <c r="K218" i="1"/>
  <c r="K715" i="1"/>
  <c r="K691" i="1"/>
  <c r="K140" i="1"/>
  <c r="K972" i="1"/>
  <c r="K147" i="1"/>
  <c r="K853" i="1"/>
  <c r="K544" i="1"/>
  <c r="K580" i="1"/>
  <c r="K219" i="1"/>
  <c r="K762" i="1"/>
  <c r="K384" i="1"/>
  <c r="K925" i="1"/>
  <c r="K728" i="1"/>
  <c r="K989" i="1"/>
  <c r="K293" i="1"/>
  <c r="K754" i="1"/>
  <c r="K94" i="1"/>
  <c r="K86" i="1"/>
  <c r="K763" i="1"/>
  <c r="K533" i="1"/>
  <c r="K318" i="1"/>
  <c r="K486" i="1"/>
  <c r="K598" i="1"/>
  <c r="K70" i="1"/>
  <c r="K437" i="1"/>
  <c r="K671" i="1"/>
  <c r="K17" i="1"/>
  <c r="K450" i="1"/>
  <c r="K308" i="1"/>
  <c r="K884" i="1"/>
  <c r="K255" i="1"/>
  <c r="K764" i="1"/>
  <c r="K114" i="1"/>
  <c r="K970" i="1"/>
  <c r="K336" i="1"/>
  <c r="K27" i="1"/>
  <c r="K124" i="1"/>
  <c r="K785" i="1"/>
  <c r="K902" i="1"/>
  <c r="K319" i="1"/>
  <c r="K863" i="1"/>
  <c r="K975" i="1"/>
  <c r="K369" i="1"/>
  <c r="K167" i="1"/>
  <c r="K78" i="1"/>
  <c r="K775" i="1"/>
  <c r="K438" i="1"/>
  <c r="K157" i="1"/>
  <c r="K735" i="1"/>
  <c r="K423" i="1"/>
  <c r="K401" i="1"/>
  <c r="K590" i="1"/>
  <c r="K424" i="1"/>
  <c r="K451" i="1"/>
  <c r="K993" i="1"/>
  <c r="K986" i="1"/>
  <c r="K370" i="1"/>
  <c r="K21" i="1"/>
  <c r="K642" i="1"/>
  <c r="K452" i="1"/>
  <c r="K905" i="1"/>
  <c r="K79" i="1"/>
  <c r="K80" i="1"/>
  <c r="K610" i="1"/>
  <c r="K210" i="1"/>
  <c r="K611" i="1"/>
  <c r="K988" i="1"/>
  <c r="K999" i="1"/>
  <c r="K350" i="1"/>
  <c r="K649" i="1"/>
  <c r="K309" i="1"/>
  <c r="K98" i="1"/>
  <c r="K310" i="1"/>
  <c r="K963" i="1"/>
  <c r="K12" i="1"/>
  <c r="K226" i="1"/>
  <c r="K176" i="1"/>
  <c r="K829" i="1"/>
  <c r="K115" i="1"/>
  <c r="K402" i="1"/>
  <c r="K914" i="1"/>
  <c r="K915" i="1"/>
  <c r="K227" i="1"/>
  <c r="K686" i="1"/>
  <c r="K716" i="1"/>
  <c r="K796" i="1"/>
  <c r="K500" i="1"/>
  <c r="K3" i="1"/>
  <c r="K825" i="1"/>
  <c r="K403" i="1"/>
  <c r="K32" i="1"/>
  <c r="K475" i="1"/>
  <c r="K934" i="1"/>
  <c r="K501" i="1"/>
  <c r="K650" i="1"/>
  <c r="K415" i="1"/>
  <c r="K545" i="1"/>
  <c r="K736" i="1"/>
  <c r="K552" i="1"/>
  <c r="K937" i="1"/>
  <c r="K839" i="1"/>
  <c r="K425" i="1"/>
  <c r="K672" i="1"/>
  <c r="K487" i="1"/>
  <c r="K895" i="1"/>
  <c r="K40" i="1"/>
  <c r="K605" i="1"/>
  <c r="K700" i="1"/>
  <c r="K737" i="1"/>
  <c r="K129" i="1"/>
  <c r="K404" i="1"/>
  <c r="K439" i="1"/>
  <c r="K71" i="1"/>
  <c r="K426" i="1"/>
  <c r="K651" i="1"/>
  <c r="K629" i="1"/>
  <c r="K729" i="1"/>
  <c r="K168" i="1"/>
  <c r="K770" i="1"/>
  <c r="K864" i="1"/>
  <c r="K488" i="1"/>
  <c r="K204" i="1"/>
  <c r="K228" i="1"/>
  <c r="K351" i="1"/>
  <c r="K786" i="1"/>
  <c r="K528" i="1"/>
  <c r="K606" i="1"/>
  <c r="K125" i="1"/>
  <c r="K14" i="1"/>
  <c r="K771" i="1"/>
  <c r="K294" i="1"/>
  <c r="K692" i="1"/>
  <c r="K840" i="1"/>
  <c r="K4" i="1"/>
  <c r="K385" i="1"/>
  <c r="K630" i="1"/>
  <c r="K502" i="1"/>
  <c r="K948" i="1"/>
  <c r="K636" i="1"/>
  <c r="K427" i="1"/>
  <c r="K197" i="1"/>
  <c r="K20" i="1"/>
  <c r="K360" i="1"/>
  <c r="K790" i="1"/>
  <c r="K717" i="1"/>
  <c r="K652" i="1"/>
  <c r="K329" i="1"/>
  <c r="K665" i="1"/>
  <c r="K643" i="1"/>
  <c r="K903" i="1"/>
  <c r="K28" i="1"/>
  <c r="K1013" i="1"/>
  <c r="K211" i="1"/>
  <c r="K133" i="1"/>
  <c r="K107" i="1"/>
  <c r="K264" i="1"/>
  <c r="K797" i="1"/>
  <c r="K870" i="1"/>
  <c r="K256" i="1"/>
  <c r="K935" i="1"/>
  <c r="K220" i="1"/>
  <c r="K177" i="1"/>
  <c r="K311" i="1"/>
  <c r="K464" i="1"/>
  <c r="K453" i="1"/>
  <c r="K621" i="1"/>
  <c r="K26" i="1"/>
  <c r="K738" i="1"/>
  <c r="K570" i="1"/>
  <c r="K330" i="1"/>
  <c r="K141" i="1"/>
  <c r="K238" i="1"/>
  <c r="K955" i="1"/>
  <c r="K896" i="1"/>
  <c r="K1008" i="1"/>
  <c r="K806" i="1"/>
  <c r="K1010" i="1"/>
  <c r="K61" i="1"/>
  <c r="K95" i="1"/>
  <c r="K906" i="1"/>
  <c r="K465" i="1"/>
  <c r="K874" i="1"/>
  <c r="K897" i="1"/>
  <c r="K984" i="1"/>
  <c r="AA20" i="1"/>
  <c r="Z20" i="1"/>
  <c r="AB19" i="1"/>
  <c r="Z19" i="1"/>
  <c r="AB18" i="1"/>
  <c r="AA18" i="1"/>
  <c r="I361" i="1"/>
  <c r="J361" i="1" s="1"/>
  <c r="I820" i="1"/>
  <c r="J820" i="1" s="1"/>
  <c r="I30" i="1"/>
  <c r="J30" i="1" s="1"/>
  <c r="I875" i="1"/>
  <c r="J875" i="1" s="1"/>
  <c r="I270" i="1"/>
  <c r="J270" i="1" s="1"/>
  <c r="I244" i="1"/>
  <c r="J244" i="1" s="1"/>
  <c r="I36" i="1"/>
  <c r="J36" i="1" s="1"/>
  <c r="I964" i="1"/>
  <c r="J964" i="1" s="1"/>
  <c r="I562" i="1"/>
  <c r="J562" i="1" s="1"/>
  <c r="I876" i="1"/>
  <c r="J876" i="1" s="1"/>
  <c r="I779" i="1"/>
  <c r="J779" i="1" s="1"/>
  <c r="I929" i="1"/>
  <c r="J929" i="1" s="1"/>
  <c r="I352" i="1"/>
  <c r="J352" i="1" s="1"/>
  <c r="I342" i="1"/>
  <c r="J342" i="1" s="1"/>
  <c r="I798" i="1"/>
  <c r="J798" i="1" s="1"/>
  <c r="I331" i="1"/>
  <c r="J331" i="1" s="1"/>
  <c r="I74" i="1"/>
  <c r="J74" i="1" s="1"/>
  <c r="I1006" i="1"/>
  <c r="J1006" i="1" s="1"/>
  <c r="I932" i="1"/>
  <c r="J932" i="1" s="1"/>
  <c r="I720" i="1"/>
  <c r="J720" i="1" s="1"/>
  <c r="I534" i="1"/>
  <c r="J534" i="1" s="1"/>
  <c r="I428" i="1"/>
  <c r="J428" i="1" s="1"/>
  <c r="I857" i="1"/>
  <c r="J857" i="1" s="1"/>
  <c r="I386" i="1"/>
  <c r="J386" i="1" s="1"/>
  <c r="I301" i="1"/>
  <c r="J301" i="1" s="1"/>
  <c r="I353" i="1"/>
  <c r="J353" i="1" s="1"/>
  <c r="I687" i="1"/>
  <c r="J687" i="1" s="1"/>
  <c r="I420" i="1"/>
  <c r="J420" i="1" s="1"/>
  <c r="I476" i="1"/>
  <c r="J476" i="1" s="1"/>
  <c r="I454" i="1"/>
  <c r="J454" i="1" s="1"/>
  <c r="I371" i="1"/>
  <c r="J371" i="1" s="1"/>
  <c r="I612" i="1"/>
  <c r="J612" i="1" s="1"/>
  <c r="I581" i="1"/>
  <c r="J581" i="1" s="1"/>
  <c r="I966" i="1"/>
  <c r="J966" i="1" s="1"/>
  <c r="I62" i="1"/>
  <c r="J62" i="1" s="1"/>
  <c r="I178" i="1"/>
  <c r="J178" i="1" s="1"/>
  <c r="I198" i="1"/>
  <c r="J198" i="1" s="1"/>
  <c r="I721" i="1"/>
  <c r="J721" i="1" s="1"/>
  <c r="I116" i="1"/>
  <c r="J116" i="1" s="1"/>
  <c r="I745" i="1"/>
  <c r="J745" i="1" s="1"/>
  <c r="I746" i="1"/>
  <c r="J746" i="1" s="1"/>
  <c r="I529" i="1"/>
  <c r="J529" i="1" s="1"/>
  <c r="I701" i="1"/>
  <c r="J701" i="1" s="1"/>
  <c r="I607" i="1"/>
  <c r="J607" i="1" s="1"/>
  <c r="I807" i="1"/>
  <c r="J807" i="1" s="1"/>
  <c r="I702" i="1"/>
  <c r="J702" i="1" s="1"/>
  <c r="I659" i="1"/>
  <c r="J659" i="1" s="1"/>
  <c r="I405" i="1"/>
  <c r="J405" i="1" s="1"/>
  <c r="I455" i="1"/>
  <c r="J455" i="1" s="1"/>
  <c r="I142" i="1"/>
  <c r="J142" i="1" s="1"/>
  <c r="I826" i="1"/>
  <c r="J826" i="1" s="1"/>
  <c r="I891" i="1"/>
  <c r="J891" i="1" s="1"/>
  <c r="I916" i="1"/>
  <c r="J916" i="1" s="1"/>
  <c r="I179" i="1"/>
  <c r="J179" i="1" s="1"/>
  <c r="I171" i="1"/>
  <c r="J171" i="1" s="1"/>
  <c r="I973" i="1"/>
  <c r="J973" i="1" s="1"/>
  <c r="I117" i="1"/>
  <c r="J117" i="1" s="1"/>
  <c r="I827" i="1"/>
  <c r="J827" i="1" s="1"/>
  <c r="I710" i="1"/>
  <c r="J710" i="1" s="1"/>
  <c r="I1014" i="1"/>
  <c r="J1014" i="1" s="1"/>
  <c r="I302" i="1"/>
  <c r="J302" i="1" s="1"/>
  <c r="I982" i="1"/>
  <c r="J982" i="1" s="1"/>
  <c r="I688" i="1"/>
  <c r="J688" i="1" s="1"/>
  <c r="I343" i="1"/>
  <c r="J343" i="1" s="1"/>
  <c r="I703" i="1"/>
  <c r="J703" i="1" s="1"/>
  <c r="I591" i="1"/>
  <c r="J591" i="1" s="1"/>
  <c r="I968" i="1"/>
  <c r="J968" i="1" s="1"/>
  <c r="I466" i="1"/>
  <c r="J466" i="1" s="1"/>
  <c r="I979" i="1"/>
  <c r="J979" i="1" s="1"/>
  <c r="I808" i="1"/>
  <c r="J808" i="1" s="1"/>
  <c r="I571" i="1"/>
  <c r="J571" i="1" s="1"/>
  <c r="I666" i="1"/>
  <c r="J666" i="1" s="1"/>
  <c r="I910" i="1"/>
  <c r="J910" i="1" s="1"/>
  <c r="I718" i="1"/>
  <c r="J718" i="1" s="1"/>
  <c r="I917" i="1"/>
  <c r="J917" i="1" s="1"/>
  <c r="I960" i="1"/>
  <c r="J960" i="1" s="1"/>
  <c r="I1007" i="1"/>
  <c r="J1007" i="1" s="1"/>
  <c r="I190" i="1"/>
  <c r="J190" i="1" s="1"/>
  <c r="I456" i="1"/>
  <c r="J456" i="1" s="1"/>
  <c r="I535" i="1"/>
  <c r="J535" i="1" s="1"/>
  <c r="I885" i="1"/>
  <c r="J885" i="1" s="1"/>
  <c r="I918" i="1"/>
  <c r="J918" i="1" s="1"/>
  <c r="I858" i="1"/>
  <c r="J858" i="1" s="1"/>
  <c r="I530" i="1"/>
  <c r="J530" i="1" s="1"/>
  <c r="I977" i="1"/>
  <c r="J977" i="1" s="1"/>
  <c r="I221" i="1"/>
  <c r="J221" i="1" s="1"/>
  <c r="I148" i="1"/>
  <c r="J148" i="1" s="1"/>
  <c r="I377" i="1"/>
  <c r="J377" i="1" s="1"/>
  <c r="I563" i="1"/>
  <c r="J563" i="1" s="1"/>
  <c r="I180" i="1"/>
  <c r="J180" i="1" s="1"/>
  <c r="I421" i="1"/>
  <c r="J421" i="1" s="1"/>
  <c r="I994" i="1"/>
  <c r="J994" i="1" s="1"/>
  <c r="I337" i="1"/>
  <c r="J337" i="1" s="1"/>
  <c r="I922" i="1"/>
  <c r="J922" i="1" s="1"/>
  <c r="I99" i="1"/>
  <c r="J99" i="1" s="1"/>
  <c r="I181" i="1"/>
  <c r="J181" i="1" s="1"/>
  <c r="I582" i="1"/>
  <c r="J582" i="1" s="1"/>
  <c r="I477" i="1"/>
  <c r="J477" i="1" s="1"/>
  <c r="I622" i="1"/>
  <c r="J622" i="1" s="1"/>
  <c r="I572" i="1"/>
  <c r="J572" i="1" s="1"/>
  <c r="I406" i="1"/>
  <c r="J406" i="1" s="1"/>
  <c r="I378" i="1"/>
  <c r="J378" i="1" s="1"/>
  <c r="I67" i="1"/>
  <c r="J67" i="1" s="1"/>
  <c r="I859" i="1"/>
  <c r="J859" i="1" s="1"/>
  <c r="I41" i="1"/>
  <c r="J41" i="1" s="1"/>
  <c r="I956" i="1"/>
  <c r="J956" i="1" s="1"/>
  <c r="I22" i="1"/>
  <c r="J22" i="1" s="1"/>
  <c r="I583" i="1"/>
  <c r="J583" i="1" s="1"/>
  <c r="I536" i="1"/>
  <c r="J536" i="1" s="1"/>
  <c r="I926" i="1"/>
  <c r="J926" i="1" s="1"/>
  <c r="I72" i="1"/>
  <c r="J72" i="1" s="1"/>
  <c r="I772" i="1"/>
  <c r="J772" i="1" s="1"/>
  <c r="I841" i="1"/>
  <c r="J841" i="1" s="1"/>
  <c r="I787" i="1"/>
  <c r="J787" i="1" s="1"/>
  <c r="I5" i="1"/>
  <c r="J5" i="1" s="1"/>
  <c r="I222" i="1"/>
  <c r="J222" i="1" s="1"/>
  <c r="I172" i="1"/>
  <c r="J172" i="1" s="1"/>
  <c r="I191" i="1"/>
  <c r="J191" i="1" s="1"/>
  <c r="I711" i="1"/>
  <c r="J711" i="1" s="1"/>
  <c r="I613" i="1"/>
  <c r="J613" i="1" s="1"/>
  <c r="I87" i="1"/>
  <c r="J87" i="1" s="1"/>
  <c r="I45" i="1"/>
  <c r="J45" i="1" s="1"/>
  <c r="I42" i="1"/>
  <c r="J42" i="1" s="1"/>
  <c r="I704" i="1"/>
  <c r="J704" i="1" s="1"/>
  <c r="I212" i="1"/>
  <c r="J212" i="1" s="1"/>
  <c r="I53" i="1"/>
  <c r="J53" i="1" s="1"/>
  <c r="I457" i="1"/>
  <c r="J457" i="1" s="1"/>
  <c r="I379" i="1"/>
  <c r="J379" i="1" s="1"/>
  <c r="I199" i="1"/>
  <c r="J199" i="1" s="1"/>
  <c r="I860" i="1"/>
  <c r="J860" i="1" s="1"/>
  <c r="I108" i="1"/>
  <c r="J108" i="1" s="1"/>
  <c r="I943" i="1"/>
  <c r="J943" i="1" s="1"/>
  <c r="I257" i="1"/>
  <c r="J257" i="1" s="1"/>
  <c r="I186" i="1"/>
  <c r="J186" i="1" s="1"/>
  <c r="I276" i="1"/>
  <c r="J276" i="1" s="1"/>
  <c r="I799" i="1"/>
  <c r="J799" i="1" s="1"/>
  <c r="I886" i="1"/>
  <c r="J886" i="1" s="1"/>
  <c r="I667" i="1"/>
  <c r="J667" i="1" s="1"/>
  <c r="I957" i="1"/>
  <c r="J957" i="1" s="1"/>
  <c r="I514" i="1"/>
  <c r="J514" i="1" s="1"/>
  <c r="I354" i="1"/>
  <c r="J354" i="1" s="1"/>
  <c r="I637" i="1"/>
  <c r="J637" i="1" s="1"/>
  <c r="I861" i="1"/>
  <c r="J861" i="1" s="1"/>
  <c r="I879" i="1"/>
  <c r="J879" i="1" s="1"/>
  <c r="I192" i="1"/>
  <c r="J192" i="1" s="1"/>
  <c r="I997" i="1"/>
  <c r="J997" i="1" s="1"/>
  <c r="I149" i="1"/>
  <c r="J149" i="1" s="1"/>
  <c r="I458" i="1"/>
  <c r="J458" i="1" s="1"/>
  <c r="I312" i="1"/>
  <c r="J312" i="1" s="1"/>
  <c r="I10" i="1"/>
  <c r="J10" i="1" s="1"/>
  <c r="I537" i="1"/>
  <c r="J537" i="1" s="1"/>
  <c r="I416" i="1"/>
  <c r="J416" i="1" s="1"/>
  <c r="I564" i="1"/>
  <c r="J564" i="1" s="1"/>
  <c r="I865" i="1"/>
  <c r="J865" i="1" s="1"/>
  <c r="I608" i="1"/>
  <c r="J608" i="1" s="1"/>
  <c r="I150" i="1"/>
  <c r="J150" i="1" s="1"/>
  <c r="I362" i="1"/>
  <c r="J362" i="1" s="1"/>
  <c r="I673" i="1"/>
  <c r="J673" i="1" s="1"/>
  <c r="I229" i="1"/>
  <c r="J229" i="1" s="1"/>
  <c r="I592" i="1"/>
  <c r="J592" i="1" s="1"/>
  <c r="I230" i="1"/>
  <c r="J230" i="1" s="1"/>
  <c r="I143" i="1"/>
  <c r="J143" i="1" s="1"/>
  <c r="I842" i="1"/>
  <c r="J842" i="1" s="1"/>
  <c r="I843" i="1"/>
  <c r="J843" i="1" s="1"/>
  <c r="I73" i="1"/>
  <c r="J73" i="1" s="1"/>
  <c r="I8" i="1"/>
  <c r="J8" i="1" s="1"/>
  <c r="I830" i="1"/>
  <c r="J830" i="1" s="1"/>
  <c r="I417" i="1"/>
  <c r="J417" i="1" s="1"/>
  <c r="I271" i="1"/>
  <c r="J271" i="1" s="1"/>
  <c r="I418" i="1"/>
  <c r="J418" i="1" s="1"/>
  <c r="I887" i="1"/>
  <c r="J887" i="1" s="1"/>
  <c r="I730" i="1"/>
  <c r="J730" i="1" s="1"/>
  <c r="I158" i="1"/>
  <c r="J158" i="1" s="1"/>
  <c r="I522" i="1"/>
  <c r="J522" i="1" s="1"/>
  <c r="I877" i="1"/>
  <c r="J877" i="1" s="1"/>
  <c r="I90" i="1"/>
  <c r="J90" i="1" s="1"/>
  <c r="I814" i="1"/>
  <c r="J814" i="1" s="1"/>
  <c r="I303" i="1"/>
  <c r="J303" i="1" s="1"/>
  <c r="I644" i="1"/>
  <c r="J644" i="1" s="1"/>
  <c r="I6" i="1"/>
  <c r="J6" i="1" s="1"/>
  <c r="I478" i="1"/>
  <c r="J478" i="1" s="1"/>
  <c r="I705" i="1"/>
  <c r="J705" i="1" s="1"/>
  <c r="I880" i="1"/>
  <c r="J880" i="1" s="1"/>
  <c r="I489" i="1"/>
  <c r="J489" i="1" s="1"/>
  <c r="I888" i="1"/>
  <c r="J888" i="1" s="1"/>
  <c r="I546" i="1"/>
  <c r="J546" i="1" s="1"/>
  <c r="I338" i="1"/>
  <c r="J338" i="1" s="1"/>
  <c r="I553" i="1"/>
  <c r="J553" i="1" s="1"/>
  <c r="I892" i="1"/>
  <c r="J892" i="1" s="1"/>
  <c r="I118" i="1"/>
  <c r="J118" i="1" s="1"/>
  <c r="I523" i="1"/>
  <c r="J523" i="1" s="1"/>
  <c r="I200" i="1"/>
  <c r="J200" i="1" s="1"/>
  <c r="I593" i="1"/>
  <c r="J593" i="1" s="1"/>
  <c r="I515" i="1"/>
  <c r="J515" i="1" s="1"/>
  <c r="I201" i="1"/>
  <c r="J201" i="1" s="1"/>
  <c r="I755" i="1"/>
  <c r="J755" i="1" s="1"/>
  <c r="I584" i="1"/>
  <c r="J584" i="1" s="1"/>
  <c r="I791" i="1"/>
  <c r="J791" i="1" s="1"/>
  <c r="I849" i="1"/>
  <c r="J849" i="1" s="1"/>
  <c r="I239" i="1"/>
  <c r="J239" i="1" s="1"/>
  <c r="I205" i="1"/>
  <c r="J205" i="1" s="1"/>
  <c r="I907" i="1"/>
  <c r="J907" i="1" s="1"/>
  <c r="I387" i="1"/>
  <c r="J387" i="1" s="1"/>
  <c r="I573" i="1"/>
  <c r="J573" i="1" s="1"/>
  <c r="I908" i="1"/>
  <c r="J908" i="1" s="1"/>
  <c r="I320" i="1"/>
  <c r="J320" i="1" s="1"/>
  <c r="I467" i="1"/>
  <c r="J467" i="1" s="1"/>
  <c r="I206" i="1"/>
  <c r="J206" i="1" s="1"/>
  <c r="I258" i="1"/>
  <c r="J258" i="1" s="1"/>
  <c r="I638" i="1"/>
  <c r="J638" i="1" s="1"/>
  <c r="I202" i="1"/>
  <c r="J202" i="1" s="1"/>
  <c r="I1001" i="1"/>
  <c r="J1001" i="1" s="1"/>
  <c r="I780" i="1"/>
  <c r="J780" i="1" s="1"/>
  <c r="I765" i="1"/>
  <c r="J765" i="1" s="1"/>
  <c r="I91" i="1"/>
  <c r="J91" i="1" s="1"/>
  <c r="I173" i="1"/>
  <c r="J173" i="1" s="1"/>
  <c r="I100" i="1"/>
  <c r="J100" i="1" s="1"/>
  <c r="I978" i="1"/>
  <c r="J978" i="1" s="1"/>
  <c r="I407" i="1"/>
  <c r="J407" i="1" s="1"/>
  <c r="I722" i="1"/>
  <c r="J722" i="1" s="1"/>
  <c r="I538" i="1"/>
  <c r="J538" i="1" s="1"/>
  <c r="I161" i="1"/>
  <c r="J161" i="1" s="1"/>
  <c r="I660" i="1"/>
  <c r="J660" i="1" s="1"/>
  <c r="I182" i="1"/>
  <c r="J182" i="1" s="1"/>
  <c r="I599" i="1"/>
  <c r="J599" i="1" s="1"/>
  <c r="I831" i="1"/>
  <c r="J831" i="1" s="1"/>
  <c r="I388" i="1"/>
  <c r="J388" i="1" s="1"/>
  <c r="I800" i="1"/>
  <c r="J800" i="1" s="1"/>
  <c r="I490" i="1"/>
  <c r="J490" i="1" s="1"/>
  <c r="I33" i="1"/>
  <c r="J33" i="1" s="1"/>
  <c r="I468" i="1"/>
  <c r="J468" i="1" s="1"/>
  <c r="I941" i="1"/>
  <c r="J941" i="1" s="1"/>
  <c r="I213" i="1"/>
  <c r="J213" i="1" s="1"/>
  <c r="I101" i="1"/>
  <c r="J101" i="1" s="1"/>
  <c r="I134" i="1"/>
  <c r="J134" i="1" s="1"/>
  <c r="I245" i="1"/>
  <c r="J245" i="1" s="1"/>
  <c r="I554" i="1"/>
  <c r="J554" i="1" s="1"/>
  <c r="I539" i="1"/>
  <c r="J539" i="1" s="1"/>
  <c r="I821" i="1"/>
  <c r="J821" i="1" s="1"/>
  <c r="I165" i="1"/>
  <c r="J165" i="1" s="1"/>
  <c r="I459" i="1"/>
  <c r="J459" i="1" s="1"/>
  <c r="I159" i="1"/>
  <c r="J159" i="1" s="1"/>
  <c r="I788" i="1"/>
  <c r="J788" i="1" s="1"/>
  <c r="I850" i="1"/>
  <c r="J850" i="1" s="1"/>
  <c r="I363" i="1"/>
  <c r="J363" i="1" s="1"/>
  <c r="I246" i="1"/>
  <c r="J246" i="1" s="1"/>
  <c r="I193" i="1"/>
  <c r="J193" i="1" s="1"/>
  <c r="I555" i="1"/>
  <c r="J555" i="1" s="1"/>
  <c r="I600" i="1"/>
  <c r="J600" i="1" s="1"/>
  <c r="I668" i="1"/>
  <c r="J668" i="1" s="1"/>
  <c r="I996" i="1"/>
  <c r="J996" i="1" s="1"/>
  <c r="I207" i="1"/>
  <c r="J207" i="1" s="1"/>
  <c r="I524" i="1"/>
  <c r="J524" i="1" s="1"/>
  <c r="I247" i="1"/>
  <c r="J247" i="1" s="1"/>
  <c r="I815" i="1"/>
  <c r="J815" i="1" s="1"/>
  <c r="I479" i="1"/>
  <c r="J479" i="1" s="1"/>
  <c r="I480" i="1"/>
  <c r="J480" i="1" s="1"/>
  <c r="I844" i="1"/>
  <c r="J844" i="1" s="1"/>
  <c r="I321" i="1"/>
  <c r="J321" i="1" s="1"/>
  <c r="I285" i="1"/>
  <c r="J285" i="1" s="1"/>
  <c r="I344" i="1"/>
  <c r="J344" i="1" s="1"/>
  <c r="I214" i="1"/>
  <c r="J214" i="1" s="1"/>
  <c r="I893" i="1"/>
  <c r="J893" i="1" s="1"/>
  <c r="I23" i="1"/>
  <c r="J23" i="1" s="1"/>
  <c r="I372" i="1"/>
  <c r="J372" i="1" s="1"/>
  <c r="I1005" i="1"/>
  <c r="J1005" i="1" s="1"/>
  <c r="I898" i="1"/>
  <c r="J898" i="1" s="1"/>
  <c r="I364" i="1"/>
  <c r="J364" i="1" s="1"/>
  <c r="I37" i="1"/>
  <c r="J37" i="1" s="1"/>
  <c r="I373" i="1"/>
  <c r="J373" i="1" s="1"/>
  <c r="I585" i="1"/>
  <c r="J585" i="1" s="1"/>
  <c r="I871" i="1"/>
  <c r="J871" i="1" s="1"/>
  <c r="I816" i="1"/>
  <c r="J816" i="1" s="1"/>
  <c r="I930" i="1"/>
  <c r="J930" i="1" s="1"/>
  <c r="I723" i="1"/>
  <c r="J723" i="1" s="1"/>
  <c r="I231" i="1"/>
  <c r="J231" i="1" s="1"/>
  <c r="I49" i="1"/>
  <c r="J49" i="1" s="1"/>
  <c r="I547" i="1"/>
  <c r="J547" i="1" s="1"/>
  <c r="I259" i="1"/>
  <c r="J259" i="1" s="1"/>
  <c r="I631" i="1"/>
  <c r="J631" i="1" s="1"/>
  <c r="I881" i="1"/>
  <c r="J881" i="1" s="1"/>
  <c r="I1000" i="1"/>
  <c r="J1000" i="1" s="1"/>
  <c r="I215" i="1"/>
  <c r="J215" i="1" s="1"/>
  <c r="I295" i="1"/>
  <c r="J295" i="1" s="1"/>
  <c r="I949" i="1"/>
  <c r="J949" i="1" s="1"/>
  <c r="I162" i="1"/>
  <c r="J162" i="1" s="1"/>
  <c r="I57" i="1"/>
  <c r="J57" i="1" s="1"/>
  <c r="I203" i="1"/>
  <c r="J203" i="1" s="1"/>
  <c r="I194" i="1"/>
  <c r="J194" i="1" s="1"/>
  <c r="I265" i="1"/>
  <c r="J265" i="1" s="1"/>
  <c r="I394" i="1"/>
  <c r="J394" i="1" s="1"/>
  <c r="I272" i="1"/>
  <c r="J272" i="1" s="1"/>
  <c r="I674" i="1"/>
  <c r="J674" i="1" s="1"/>
  <c r="I408" i="1"/>
  <c r="J408" i="1" s="1"/>
  <c r="I223" i="1"/>
  <c r="J223" i="1" s="1"/>
  <c r="I951" i="1"/>
  <c r="J951" i="1" s="1"/>
  <c r="I944" i="1"/>
  <c r="J944" i="1" s="1"/>
  <c r="I409" i="1"/>
  <c r="J409" i="1" s="1"/>
  <c r="I927" i="1"/>
  <c r="J927" i="1" s="1"/>
  <c r="I119" i="1"/>
  <c r="J119" i="1" s="1"/>
  <c r="I187" i="1"/>
  <c r="J187" i="1" s="1"/>
  <c r="I792" i="1"/>
  <c r="J792" i="1" s="1"/>
  <c r="I248" i="1"/>
  <c r="J248" i="1" s="1"/>
  <c r="I345" i="1"/>
  <c r="J345" i="1" s="1"/>
  <c r="I249" i="1"/>
  <c r="J249" i="1" s="1"/>
  <c r="I481" i="1"/>
  <c r="J481" i="1" s="1"/>
  <c r="I58" i="1"/>
  <c r="J58" i="1" s="1"/>
  <c r="I882" i="1"/>
  <c r="J882" i="1" s="1"/>
  <c r="I601" i="1"/>
  <c r="J601" i="1" s="1"/>
  <c r="I817" i="1"/>
  <c r="J817" i="1" s="1"/>
  <c r="I273" i="1"/>
  <c r="J273" i="1" s="1"/>
  <c r="I653" i="1"/>
  <c r="J653" i="1" s="1"/>
  <c r="I556" i="1"/>
  <c r="J556" i="1" s="1"/>
  <c r="I491" i="1"/>
  <c r="J491" i="1" s="1"/>
  <c r="I540" i="1"/>
  <c r="J540" i="1" s="1"/>
  <c r="I509" i="1"/>
  <c r="J509" i="1" s="1"/>
  <c r="I130" i="1"/>
  <c r="J130" i="1" s="1"/>
  <c r="I240" i="1"/>
  <c r="J240" i="1" s="1"/>
  <c r="I503" i="1"/>
  <c r="J503" i="1" s="1"/>
  <c r="I645" i="1"/>
  <c r="J645" i="1" s="1"/>
  <c r="I266" i="1"/>
  <c r="J266" i="1" s="1"/>
  <c r="I188" i="1"/>
  <c r="J188" i="1" s="1"/>
  <c r="I250" i="1"/>
  <c r="J250" i="1" s="1"/>
  <c r="I872" i="1"/>
  <c r="J872" i="1" s="1"/>
  <c r="I945" i="1"/>
  <c r="J945" i="1" s="1"/>
  <c r="I63" i="1"/>
  <c r="J63" i="1" s="1"/>
  <c r="I646" i="1"/>
  <c r="J646" i="1" s="1"/>
  <c r="I1009" i="1"/>
  <c r="J1009" i="1" s="1"/>
  <c r="I232" i="1"/>
  <c r="J232" i="1" s="1"/>
  <c r="I883" i="1"/>
  <c r="J883" i="1" s="1"/>
  <c r="I594" i="1"/>
  <c r="J594" i="1" s="1"/>
  <c r="I969" i="1"/>
  <c r="J969" i="1" s="1"/>
  <c r="I739" i="1"/>
  <c r="J739" i="1" s="1"/>
  <c r="I135" i="1"/>
  <c r="J135" i="1" s="1"/>
  <c r="I46" i="1"/>
  <c r="J46" i="1" s="1"/>
  <c r="I565" i="1"/>
  <c r="J565" i="1" s="1"/>
  <c r="I389" i="1"/>
  <c r="J389" i="1" s="1"/>
  <c r="I904" i="1"/>
  <c r="J904" i="1" s="1"/>
  <c r="I1002" i="1"/>
  <c r="J1002" i="1" s="1"/>
  <c r="I866" i="1"/>
  <c r="J866" i="1" s="1"/>
  <c r="I740" i="1"/>
  <c r="J740" i="1" s="1"/>
  <c r="I548" i="1"/>
  <c r="J548" i="1" s="1"/>
  <c r="I355" i="1"/>
  <c r="J355" i="1" s="1"/>
  <c r="I469" i="1"/>
  <c r="J469" i="1" s="1"/>
  <c r="I356" i="1"/>
  <c r="J356" i="1" s="1"/>
  <c r="I286" i="1"/>
  <c r="J286" i="1" s="1"/>
  <c r="I675" i="1"/>
  <c r="J675" i="1" s="1"/>
  <c r="I64" i="1"/>
  <c r="J64" i="1" s="1"/>
  <c r="I390" i="1"/>
  <c r="J390" i="1" s="1"/>
  <c r="I208" i="1"/>
  <c r="J208" i="1" s="1"/>
  <c r="I632" i="1"/>
  <c r="J632" i="1" s="1"/>
  <c r="I712" i="1"/>
  <c r="J712" i="1" s="1"/>
  <c r="I339" i="1"/>
  <c r="J339" i="1" s="1"/>
  <c r="I801" i="1"/>
  <c r="J801" i="1" s="1"/>
  <c r="I525" i="1"/>
  <c r="J525" i="1" s="1"/>
  <c r="I936" i="1"/>
  <c r="J936" i="1" s="1"/>
  <c r="I639" i="1"/>
  <c r="J639" i="1" s="1"/>
  <c r="I983" i="1"/>
  <c r="J983" i="1" s="1"/>
  <c r="I661" i="1"/>
  <c r="J661" i="1" s="1"/>
  <c r="I92" i="1"/>
  <c r="J92" i="1" s="1"/>
  <c r="I682" i="1"/>
  <c r="J682" i="1" s="1"/>
  <c r="I151" i="1"/>
  <c r="J151" i="1" s="1"/>
  <c r="I756" i="1"/>
  <c r="J756" i="1" s="1"/>
  <c r="I998" i="1"/>
  <c r="J998" i="1" s="1"/>
  <c r="I693" i="1"/>
  <c r="J693" i="1" s="1"/>
  <c r="I766" i="1"/>
  <c r="J766" i="1" s="1"/>
  <c r="I676" i="1"/>
  <c r="J676" i="1" s="1"/>
  <c r="I952" i="1"/>
  <c r="J952" i="1" s="1"/>
  <c r="I990" i="1"/>
  <c r="J990" i="1" s="1"/>
  <c r="I174" i="1"/>
  <c r="J174" i="1" s="1"/>
  <c r="I251" i="1"/>
  <c r="J251" i="1" s="1"/>
  <c r="I619" i="1"/>
  <c r="J619" i="1" s="1"/>
  <c r="I346" i="1"/>
  <c r="J346" i="1" s="1"/>
  <c r="I38" i="1"/>
  <c r="J38" i="1" s="1"/>
  <c r="I510" i="1"/>
  <c r="J510" i="1" s="1"/>
  <c r="I946" i="1"/>
  <c r="J946" i="1" s="1"/>
  <c r="I120" i="1"/>
  <c r="J120" i="1" s="1"/>
  <c r="I677" i="1"/>
  <c r="J677" i="1" s="1"/>
  <c r="I260" i="1"/>
  <c r="J260" i="1" s="1"/>
  <c r="I595" i="1"/>
  <c r="J595" i="1" s="1"/>
  <c r="I136" i="1"/>
  <c r="J136" i="1" s="1"/>
  <c r="I24" i="1"/>
  <c r="J24" i="1" s="1"/>
  <c r="I261" i="1"/>
  <c r="J261" i="1" s="1"/>
  <c r="I938" i="1"/>
  <c r="J938" i="1" s="1"/>
  <c r="I959" i="1"/>
  <c r="J959" i="1" s="1"/>
  <c r="I365" i="1"/>
  <c r="J365" i="1" s="1"/>
  <c r="I460" i="1"/>
  <c r="J460" i="1" s="1"/>
  <c r="I511" i="1"/>
  <c r="J511" i="1" s="1"/>
  <c r="I609" i="1"/>
  <c r="J609" i="1" s="1"/>
  <c r="I366" i="1"/>
  <c r="J366" i="1" s="1"/>
  <c r="I531" i="1"/>
  <c r="J531" i="1" s="1"/>
  <c r="I332" i="1"/>
  <c r="J332" i="1" s="1"/>
  <c r="I429" i="1"/>
  <c r="J429" i="1" s="1"/>
  <c r="I767" i="1"/>
  <c r="J767" i="1" s="1"/>
  <c r="I380" i="1"/>
  <c r="J380" i="1" s="1"/>
  <c r="I933" i="1"/>
  <c r="J933" i="1" s="1"/>
  <c r="I678" i="1"/>
  <c r="J678" i="1" s="1"/>
  <c r="I51" i="1"/>
  <c r="J51" i="1" s="1"/>
  <c r="I574" i="1"/>
  <c r="J574" i="1" s="1"/>
  <c r="I724" i="1"/>
  <c r="J724" i="1" s="1"/>
  <c r="I679" i="1"/>
  <c r="J679" i="1" s="1"/>
  <c r="I919" i="1"/>
  <c r="J919" i="1" s="1"/>
  <c r="I749" i="1"/>
  <c r="J749" i="1" s="1"/>
  <c r="I623" i="1"/>
  <c r="J623" i="1" s="1"/>
  <c r="I713" i="1"/>
  <c r="J713" i="1" s="1"/>
  <c r="I492" i="1"/>
  <c r="J492" i="1" s="1"/>
  <c r="I586" i="1"/>
  <c r="J586" i="1" s="1"/>
  <c r="I195" i="1"/>
  <c r="J195" i="1" s="1"/>
  <c r="I776" i="1"/>
  <c r="J776" i="1" s="1"/>
  <c r="I104" i="1"/>
  <c r="J104" i="1" s="1"/>
  <c r="I391" i="1"/>
  <c r="J391" i="1" s="1"/>
  <c r="I163" i="1"/>
  <c r="J163" i="1" s="1"/>
  <c r="I549" i="1"/>
  <c r="J549" i="1" s="1"/>
  <c r="I550" i="1"/>
  <c r="J550" i="1" s="1"/>
  <c r="I961" i="1"/>
  <c r="J961" i="1" s="1"/>
  <c r="I296" i="1"/>
  <c r="J296" i="1" s="1"/>
  <c r="I410" i="1"/>
  <c r="J410" i="1" s="1"/>
  <c r="I395" i="1"/>
  <c r="J395" i="1" s="1"/>
  <c r="I614" i="1"/>
  <c r="J614" i="1" s="1"/>
  <c r="I768" i="1"/>
  <c r="J768" i="1" s="1"/>
  <c r="I54" i="1"/>
  <c r="J54" i="1" s="1"/>
  <c r="I683" i="1"/>
  <c r="J683" i="1" s="1"/>
  <c r="I731" i="1"/>
  <c r="J731" i="1" s="1"/>
  <c r="I313" i="1"/>
  <c r="J313" i="1" s="1"/>
  <c r="I980" i="1"/>
  <c r="J980" i="1" s="1"/>
  <c r="I602" i="1"/>
  <c r="J602" i="1" s="1"/>
  <c r="I109" i="1"/>
  <c r="J109" i="1" s="1"/>
  <c r="I482" i="1"/>
  <c r="J482" i="1" s="1"/>
  <c r="I694" i="1"/>
  <c r="J694" i="1" s="1"/>
  <c r="I640" i="1"/>
  <c r="J640" i="1" s="1"/>
  <c r="I615" i="1"/>
  <c r="J615" i="1" s="1"/>
  <c r="I504" i="1"/>
  <c r="J504" i="1" s="1"/>
  <c r="I732" i="1"/>
  <c r="J732" i="1" s="1"/>
  <c r="I828" i="1"/>
  <c r="J828" i="1" s="1"/>
  <c r="I483" i="1"/>
  <c r="J483" i="1" s="1"/>
  <c r="I991" i="1"/>
  <c r="J991" i="1" s="1"/>
  <c r="I920" i="1"/>
  <c r="J920" i="1" s="1"/>
  <c r="I396" i="1"/>
  <c r="J396" i="1" s="1"/>
  <c r="I695" i="1"/>
  <c r="J695" i="1" s="1"/>
  <c r="I93" i="1"/>
  <c r="J93" i="1" s="1"/>
  <c r="I287" i="1"/>
  <c r="J287" i="1" s="1"/>
  <c r="I196" i="1"/>
  <c r="J196" i="1" s="1"/>
  <c r="I516" i="1"/>
  <c r="J516" i="1" s="1"/>
  <c r="I252" i="1"/>
  <c r="J252" i="1" s="1"/>
  <c r="I233" i="1"/>
  <c r="J233" i="1" s="1"/>
  <c r="I367" i="1"/>
  <c r="J367" i="1" s="1"/>
  <c r="I566" i="1"/>
  <c r="J566" i="1" s="1"/>
  <c r="I152" i="1"/>
  <c r="J152" i="1" s="1"/>
  <c r="I931" i="1"/>
  <c r="J931" i="1" s="1"/>
  <c r="I297" i="1"/>
  <c r="J297" i="1" s="1"/>
  <c r="I234" i="1"/>
  <c r="J234" i="1" s="1"/>
  <c r="I18" i="1"/>
  <c r="J18" i="1" s="1"/>
  <c r="I381" i="1"/>
  <c r="J381" i="1" s="1"/>
  <c r="I733" i="1"/>
  <c r="J733" i="1" s="1"/>
  <c r="I706" i="1"/>
  <c r="J706" i="1" s="1"/>
  <c r="I911" i="1"/>
  <c r="J911" i="1" s="1"/>
  <c r="I102" i="1"/>
  <c r="J102" i="1" s="1"/>
  <c r="I832" i="1"/>
  <c r="J832" i="1" s="1"/>
  <c r="I2" i="1"/>
  <c r="J2" i="1" s="1"/>
  <c r="I484" i="1"/>
  <c r="J484" i="1" s="1"/>
  <c r="I773" i="1"/>
  <c r="J773" i="1" s="1"/>
  <c r="I851" i="1"/>
  <c r="J851" i="1" s="1"/>
  <c r="I374" i="1"/>
  <c r="J374" i="1" s="1"/>
  <c r="I96" i="1"/>
  <c r="J96" i="1" s="1"/>
  <c r="I567" i="1"/>
  <c r="J567" i="1" s="1"/>
  <c r="I76" i="1"/>
  <c r="J76" i="1" s="1"/>
  <c r="I1011" i="1"/>
  <c r="J1011" i="1" s="1"/>
  <c r="I493" i="1"/>
  <c r="J493" i="1" s="1"/>
  <c r="I131" i="1"/>
  <c r="J131" i="1" s="1"/>
  <c r="I183" i="1"/>
  <c r="J183" i="1" s="1"/>
  <c r="I725" i="1"/>
  <c r="J725" i="1" s="1"/>
  <c r="I470" i="1"/>
  <c r="J470" i="1" s="1"/>
  <c r="I845" i="1"/>
  <c r="J845" i="1" s="1"/>
  <c r="I624" i="1"/>
  <c r="J624" i="1" s="1"/>
  <c r="I47" i="1"/>
  <c r="J47" i="1" s="1"/>
  <c r="I267" i="1"/>
  <c r="J267" i="1" s="1"/>
  <c r="I494" i="1"/>
  <c r="J494" i="1" s="1"/>
  <c r="I347" i="1"/>
  <c r="J347" i="1" s="1"/>
  <c r="I616" i="1"/>
  <c r="J616" i="1" s="1"/>
  <c r="I397" i="1"/>
  <c r="J397" i="1" s="1"/>
  <c r="I921" i="1"/>
  <c r="J921" i="1" s="1"/>
  <c r="I769" i="1"/>
  <c r="J769" i="1" s="1"/>
  <c r="I551" i="1"/>
  <c r="J551" i="1" s="1"/>
  <c r="I822" i="1"/>
  <c r="J822" i="1" s="1"/>
  <c r="I833" i="1"/>
  <c r="J833" i="1" s="1"/>
  <c r="I392" i="1"/>
  <c r="J392" i="1" s="1"/>
  <c r="I781" i="1"/>
  <c r="J781" i="1" s="1"/>
  <c r="I440" i="1"/>
  <c r="J440" i="1" s="1"/>
  <c r="I719" i="1"/>
  <c r="J719" i="1" s="1"/>
  <c r="I169" i="1"/>
  <c r="J169" i="1" s="1"/>
  <c r="I802" i="1"/>
  <c r="J802" i="1" s="1"/>
  <c r="I541" i="1"/>
  <c r="J541" i="1" s="1"/>
  <c r="I105" i="1"/>
  <c r="J105" i="1" s="1"/>
  <c r="I741" i="1"/>
  <c r="J741" i="1" s="1"/>
  <c r="I633" i="1"/>
  <c r="J633" i="1" s="1"/>
  <c r="I939" i="1"/>
  <c r="J939" i="1" s="1"/>
  <c r="I846" i="1"/>
  <c r="J846" i="1" s="1"/>
  <c r="I411" i="1"/>
  <c r="J411" i="1" s="1"/>
  <c r="I505" i="1"/>
  <c r="J505" i="1" s="1"/>
  <c r="I357" i="1"/>
  <c r="J357" i="1" s="1"/>
  <c r="I224" i="1"/>
  <c r="J224" i="1" s="1"/>
  <c r="I44" i="1"/>
  <c r="J44" i="1" s="1"/>
  <c r="I689" i="1"/>
  <c r="J689" i="1" s="1"/>
  <c r="I34" i="1"/>
  <c r="J34" i="1" s="1"/>
  <c r="I852" i="1"/>
  <c r="J852" i="1" s="1"/>
  <c r="I793" i="1"/>
  <c r="J793" i="1" s="1"/>
  <c r="I495" i="1"/>
  <c r="J495" i="1" s="1"/>
  <c r="I757" i="1"/>
  <c r="J757" i="1" s="1"/>
  <c r="I235" i="1"/>
  <c r="J235" i="1" s="1"/>
  <c r="I68" i="1"/>
  <c r="J68" i="1" s="1"/>
  <c r="I348" i="1"/>
  <c r="J348" i="1" s="1"/>
  <c r="I823" i="1"/>
  <c r="J823" i="1" s="1"/>
  <c r="I992" i="1"/>
  <c r="J992" i="1" s="1"/>
  <c r="I696" i="1"/>
  <c r="J696" i="1" s="1"/>
  <c r="I55" i="1"/>
  <c r="J55" i="1" s="1"/>
  <c r="I144" i="1"/>
  <c r="J144" i="1" s="1"/>
  <c r="I153" i="1"/>
  <c r="J153" i="1" s="1"/>
  <c r="I412" i="1"/>
  <c r="J412" i="1" s="1"/>
  <c r="I333" i="1"/>
  <c r="J333" i="1" s="1"/>
  <c r="I314" i="1"/>
  <c r="J314" i="1" s="1"/>
  <c r="I734" i="1"/>
  <c r="J734" i="1" s="1"/>
  <c r="I81" i="1"/>
  <c r="J81" i="1" s="1"/>
  <c r="I647" i="1"/>
  <c r="J647" i="1" s="1"/>
  <c r="I789" i="1"/>
  <c r="J789" i="1" s="1"/>
  <c r="I847" i="1"/>
  <c r="J847" i="1" s="1"/>
  <c r="I625" i="1"/>
  <c r="J625" i="1" s="1"/>
  <c r="I697" i="1"/>
  <c r="J697" i="1" s="1"/>
  <c r="I940" i="1"/>
  <c r="J940" i="1" s="1"/>
  <c r="I974" i="1"/>
  <c r="J974" i="1" s="1"/>
  <c r="I471" i="1"/>
  <c r="J471" i="1" s="1"/>
  <c r="I445" i="1"/>
  <c r="J445" i="1" s="1"/>
  <c r="I848" i="1"/>
  <c r="J848" i="1" s="1"/>
  <c r="I962" i="1"/>
  <c r="J962" i="1" s="1"/>
  <c r="I82" i="1"/>
  <c r="J82" i="1" s="1"/>
  <c r="I430" i="1"/>
  <c r="J430" i="1" s="1"/>
  <c r="I253" i="1"/>
  <c r="J253" i="1" s="1"/>
  <c r="I750" i="1"/>
  <c r="J750" i="1" s="1"/>
  <c r="I684" i="1"/>
  <c r="J684" i="1" s="1"/>
  <c r="I334" i="1"/>
  <c r="J334" i="1" s="1"/>
  <c r="I617" i="1"/>
  <c r="J617" i="1" s="1"/>
  <c r="I419" i="1"/>
  <c r="J419" i="1" s="1"/>
  <c r="I184" i="1"/>
  <c r="J184" i="1" s="1"/>
  <c r="I209" i="1"/>
  <c r="J209" i="1" s="1"/>
  <c r="I65" i="1"/>
  <c r="J65" i="1" s="1"/>
  <c r="I587" i="1"/>
  <c r="J587" i="1" s="1"/>
  <c r="I185" i="1"/>
  <c r="J185" i="1" s="1"/>
  <c r="I19" i="1"/>
  <c r="J19" i="1" s="1"/>
  <c r="I506" i="1"/>
  <c r="J506" i="1" s="1"/>
  <c r="I588" i="1"/>
  <c r="J588" i="1" s="1"/>
  <c r="I349" i="1"/>
  <c r="J349" i="1" s="1"/>
  <c r="I834" i="1"/>
  <c r="J834" i="1" s="1"/>
  <c r="I69" i="1"/>
  <c r="J69" i="1" s="1"/>
  <c r="I923" i="1"/>
  <c r="J923" i="1" s="1"/>
  <c r="I507" i="1"/>
  <c r="J507" i="1" s="1"/>
  <c r="I924" i="1"/>
  <c r="J924" i="1" s="1"/>
  <c r="I987" i="1"/>
  <c r="J987" i="1" s="1"/>
  <c r="I472" i="1"/>
  <c r="J472" i="1" s="1"/>
  <c r="I575" i="1"/>
  <c r="J575" i="1" s="1"/>
  <c r="I589" i="1"/>
  <c r="J589" i="1" s="1"/>
  <c r="I517" i="1"/>
  <c r="J517" i="1" s="1"/>
  <c r="I277" i="1"/>
  <c r="J277" i="1" s="1"/>
  <c r="I422" i="1"/>
  <c r="J422" i="1" s="1"/>
  <c r="I31" i="1"/>
  <c r="J31" i="1" s="1"/>
  <c r="I322" i="1"/>
  <c r="J322" i="1" s="1"/>
  <c r="I995" i="1"/>
  <c r="J995" i="1" s="1"/>
  <c r="I928" i="1"/>
  <c r="J928" i="1" s="1"/>
  <c r="I13" i="1"/>
  <c r="J13" i="1" s="1"/>
  <c r="I431" i="1"/>
  <c r="J431" i="1" s="1"/>
  <c r="I818" i="1"/>
  <c r="J818" i="1" s="1"/>
  <c r="I508" i="1"/>
  <c r="J508" i="1" s="1"/>
  <c r="I382" i="1"/>
  <c r="J382" i="1" s="1"/>
  <c r="I29" i="1"/>
  <c r="J29" i="1" s="1"/>
  <c r="I742" i="1"/>
  <c r="J742" i="1" s="1"/>
  <c r="I680" i="1"/>
  <c r="J680" i="1" s="1"/>
  <c r="I298" i="1"/>
  <c r="J298" i="1" s="1"/>
  <c r="I878" i="1"/>
  <c r="J878" i="1" s="1"/>
  <c r="I782" i="1"/>
  <c r="J782" i="1" s="1"/>
  <c r="I83" i="1"/>
  <c r="J83" i="1" s="1"/>
  <c r="I794" i="1"/>
  <c r="J794" i="1" s="1"/>
  <c r="I662" i="1"/>
  <c r="J662" i="1" s="1"/>
  <c r="I43" i="1"/>
  <c r="J43" i="1" s="1"/>
  <c r="I216" i="1"/>
  <c r="J216" i="1" s="1"/>
  <c r="I398" i="1"/>
  <c r="J398" i="1" s="1"/>
  <c r="I278" i="1"/>
  <c r="J278" i="1" s="1"/>
  <c r="I323" i="1"/>
  <c r="J323" i="1" s="1"/>
  <c r="I375" i="1"/>
  <c r="J375" i="1" s="1"/>
  <c r="I889" i="1"/>
  <c r="J889" i="1" s="1"/>
  <c r="I751" i="1"/>
  <c r="J751" i="1" s="1"/>
  <c r="I654" i="1"/>
  <c r="J654" i="1" s="1"/>
  <c r="I685" i="1"/>
  <c r="J685" i="1" s="1"/>
  <c r="I752" i="1"/>
  <c r="J752" i="1" s="1"/>
  <c r="I655" i="1"/>
  <c r="J655" i="1" s="1"/>
  <c r="I526" i="1"/>
  <c r="J526" i="1" s="1"/>
  <c r="I324" i="1"/>
  <c r="J324" i="1" s="1"/>
  <c r="I15" i="1"/>
  <c r="J15" i="1" s="1"/>
  <c r="I461" i="1"/>
  <c r="J461" i="1" s="1"/>
  <c r="I1012" i="1"/>
  <c r="J1012" i="1" s="1"/>
  <c r="I835" i="1"/>
  <c r="J835" i="1" s="1"/>
  <c r="I358" i="1"/>
  <c r="J358" i="1" s="1"/>
  <c r="I279" i="1"/>
  <c r="J279" i="1" s="1"/>
  <c r="I698" i="1"/>
  <c r="J698" i="1" s="1"/>
  <c r="I1004" i="1"/>
  <c r="J1004" i="1" s="1"/>
  <c r="I236" i="1"/>
  <c r="J236" i="1" s="1"/>
  <c r="I758" i="1"/>
  <c r="J758" i="1" s="1"/>
  <c r="I75" i="1"/>
  <c r="J75" i="1" s="1"/>
  <c r="I441" i="1"/>
  <c r="J441" i="1" s="1"/>
  <c r="I126" i="1"/>
  <c r="J126" i="1" s="1"/>
  <c r="I854" i="1"/>
  <c r="J854" i="1" s="1"/>
  <c r="I626" i="1"/>
  <c r="J626" i="1" s="1"/>
  <c r="I634" i="1"/>
  <c r="J634" i="1" s="1"/>
  <c r="I596" i="1"/>
  <c r="J596" i="1" s="1"/>
  <c r="I656" i="1"/>
  <c r="J656" i="1" s="1"/>
  <c r="I39" i="1"/>
  <c r="J39" i="1" s="1"/>
  <c r="I383" i="1"/>
  <c r="J383" i="1" s="1"/>
  <c r="I56" i="1"/>
  <c r="J56" i="1" s="1"/>
  <c r="I527" i="1"/>
  <c r="J527" i="1" s="1"/>
  <c r="I967" i="1"/>
  <c r="J967" i="1" s="1"/>
  <c r="I137" i="1"/>
  <c r="J137" i="1" s="1"/>
  <c r="I88" i="1"/>
  <c r="J88" i="1" s="1"/>
  <c r="I473" i="1"/>
  <c r="J473" i="1" s="1"/>
  <c r="I867" i="1"/>
  <c r="J867" i="1" s="1"/>
  <c r="I669" i="1"/>
  <c r="J669" i="1" s="1"/>
  <c r="I803" i="1"/>
  <c r="J803" i="1" s="1"/>
  <c r="I25" i="1"/>
  <c r="J25" i="1" s="1"/>
  <c r="I670" i="1"/>
  <c r="J670" i="1" s="1"/>
  <c r="I9" i="1"/>
  <c r="J9" i="1" s="1"/>
  <c r="I512" i="1"/>
  <c r="J512" i="1" s="1"/>
  <c r="I836" i="1"/>
  <c r="J836" i="1" s="1"/>
  <c r="I855" i="1"/>
  <c r="J855" i="1" s="1"/>
  <c r="I868" i="1"/>
  <c r="J868" i="1" s="1"/>
  <c r="I518" i="1"/>
  <c r="J518" i="1" s="1"/>
  <c r="I496" i="1"/>
  <c r="J496" i="1" s="1"/>
  <c r="I340" i="1"/>
  <c r="J340" i="1" s="1"/>
  <c r="I145" i="1"/>
  <c r="J145" i="1" s="1"/>
  <c r="I146" i="1"/>
  <c r="J146" i="1" s="1"/>
  <c r="I442" i="1"/>
  <c r="J442" i="1" s="1"/>
  <c r="I280" i="1"/>
  <c r="J280" i="1" s="1"/>
  <c r="I89" i="1"/>
  <c r="J89" i="1" s="1"/>
  <c r="I217" i="1"/>
  <c r="J217" i="1" s="1"/>
  <c r="I325" i="1"/>
  <c r="J325" i="1" s="1"/>
  <c r="I899" i="1"/>
  <c r="J899" i="1" s="1"/>
  <c r="I121" i="1"/>
  <c r="J121" i="1" s="1"/>
  <c r="I254" i="1"/>
  <c r="J254" i="1" s="1"/>
  <c r="I241" i="1"/>
  <c r="J241" i="1" s="1"/>
  <c r="I568" i="1"/>
  <c r="J568" i="1" s="1"/>
  <c r="I288" i="1"/>
  <c r="J288" i="1" s="1"/>
  <c r="I576" i="1"/>
  <c r="J576" i="1" s="1"/>
  <c r="I947" i="1"/>
  <c r="J947" i="1" s="1"/>
  <c r="I985" i="1"/>
  <c r="J985" i="1" s="1"/>
  <c r="I274" i="1"/>
  <c r="J274" i="1" s="1"/>
  <c r="I809" i="1"/>
  <c r="J809" i="1" s="1"/>
  <c r="I315" i="1"/>
  <c r="J315" i="1" s="1"/>
  <c r="I52" i="1"/>
  <c r="J52" i="1" s="1"/>
  <c r="I443" i="1"/>
  <c r="J443" i="1" s="1"/>
  <c r="I262" i="1"/>
  <c r="J262" i="1" s="1"/>
  <c r="I557" i="1"/>
  <c r="J557" i="1" s="1"/>
  <c r="I900" i="1"/>
  <c r="J900" i="1" s="1"/>
  <c r="I558" i="1"/>
  <c r="J558" i="1" s="1"/>
  <c r="I804" i="1"/>
  <c r="J804" i="1" s="1"/>
  <c r="I77" i="1"/>
  <c r="J77" i="1" s="1"/>
  <c r="I316" i="1"/>
  <c r="J316" i="1" s="1"/>
  <c r="I513" i="1"/>
  <c r="J513" i="1" s="1"/>
  <c r="I569" i="1"/>
  <c r="J569" i="1" s="1"/>
  <c r="I519" i="1"/>
  <c r="J519" i="1" s="1"/>
  <c r="I474" i="1"/>
  <c r="J474" i="1" s="1"/>
  <c r="I747" i="1"/>
  <c r="J747" i="1" s="1"/>
  <c r="I462" i="1"/>
  <c r="J462" i="1" s="1"/>
  <c r="I138" i="1"/>
  <c r="J138" i="1" s="1"/>
  <c r="I446" i="1"/>
  <c r="J446" i="1" s="1"/>
  <c r="I268" i="1"/>
  <c r="J268" i="1" s="1"/>
  <c r="I432" i="1"/>
  <c r="J432" i="1" s="1"/>
  <c r="I811" i="1"/>
  <c r="J811" i="1" s="1"/>
  <c r="I326" i="1"/>
  <c r="J326" i="1" s="1"/>
  <c r="I242" i="1"/>
  <c r="J242" i="1" s="1"/>
  <c r="I317" i="1"/>
  <c r="J317" i="1" s="1"/>
  <c r="I681" i="1"/>
  <c r="J681" i="1" s="1"/>
  <c r="I289" i="1"/>
  <c r="J289" i="1" s="1"/>
  <c r="I281" i="1"/>
  <c r="J281" i="1" s="1"/>
  <c r="I812" i="1"/>
  <c r="J812" i="1" s="1"/>
  <c r="I648" i="1"/>
  <c r="J648" i="1" s="1"/>
  <c r="I413" i="1"/>
  <c r="J413" i="1" s="1"/>
  <c r="I620" i="1"/>
  <c r="J620" i="1" s="1"/>
  <c r="I743" i="1"/>
  <c r="J743" i="1" s="1"/>
  <c r="I981" i="1"/>
  <c r="J981" i="1" s="1"/>
  <c r="I559" i="1"/>
  <c r="J559" i="1" s="1"/>
  <c r="I11" i="1"/>
  <c r="J11" i="1" s="1"/>
  <c r="I282" i="1"/>
  <c r="J282" i="1" s="1"/>
  <c r="I283" i="1"/>
  <c r="J283" i="1" s="1"/>
  <c r="I837" i="1"/>
  <c r="J837" i="1" s="1"/>
  <c r="I66" i="1"/>
  <c r="J66" i="1" s="1"/>
  <c r="I838" i="1"/>
  <c r="J838" i="1" s="1"/>
  <c r="I290" i="1"/>
  <c r="J290" i="1" s="1"/>
  <c r="I341" i="1"/>
  <c r="J341" i="1" s="1"/>
  <c r="I291" i="1"/>
  <c r="J291" i="1" s="1"/>
  <c r="I759" i="1"/>
  <c r="J759" i="1" s="1"/>
  <c r="I112" i="1"/>
  <c r="J112" i="1" s="1"/>
  <c r="I154" i="1"/>
  <c r="J154" i="1" s="1"/>
  <c r="I520" i="1"/>
  <c r="J520" i="1" s="1"/>
  <c r="I399" i="1"/>
  <c r="J399" i="1" s="1"/>
  <c r="I958" i="1"/>
  <c r="J958" i="1" s="1"/>
  <c r="I175" i="1"/>
  <c r="J175" i="1" s="1"/>
  <c r="I560" i="1"/>
  <c r="J560" i="1" s="1"/>
  <c r="I97" i="1"/>
  <c r="J97" i="1" s="1"/>
  <c r="I577" i="1"/>
  <c r="J577" i="1" s="1"/>
  <c r="I635" i="1"/>
  <c r="J635" i="1" s="1"/>
  <c r="I532" i="1"/>
  <c r="J532" i="1" s="1"/>
  <c r="I976" i="1"/>
  <c r="J976" i="1" s="1"/>
  <c r="I699" i="1"/>
  <c r="J699" i="1" s="1"/>
  <c r="I110" i="1"/>
  <c r="J110" i="1" s="1"/>
  <c r="I805" i="1"/>
  <c r="J805" i="1" s="1"/>
  <c r="I59" i="1"/>
  <c r="J59" i="1" s="1"/>
  <c r="I777" i="1"/>
  <c r="J777" i="1" s="1"/>
  <c r="I7" i="1"/>
  <c r="J7" i="1" s="1"/>
  <c r="I160" i="1"/>
  <c r="J160" i="1" s="1"/>
  <c r="I497" i="1"/>
  <c r="J497" i="1" s="1"/>
  <c r="I103" i="1"/>
  <c r="J103" i="1" s="1"/>
  <c r="I327" i="1"/>
  <c r="J327" i="1" s="1"/>
  <c r="I16" i="1"/>
  <c r="J16" i="1" s="1"/>
  <c r="I299" i="1"/>
  <c r="J299" i="1" s="1"/>
  <c r="I166" i="1"/>
  <c r="J166" i="1" s="1"/>
  <c r="I498" i="1"/>
  <c r="J498" i="1" s="1"/>
  <c r="I726" i="1"/>
  <c r="J726" i="1" s="1"/>
  <c r="I122" i="1"/>
  <c r="J122" i="1" s="1"/>
  <c r="I912" i="1"/>
  <c r="J912" i="1" s="1"/>
  <c r="I942" i="1"/>
  <c r="J942" i="1" s="1"/>
  <c r="I300" i="1"/>
  <c r="J300" i="1" s="1"/>
  <c r="I376" i="1"/>
  <c r="J376" i="1" s="1"/>
  <c r="I707" i="1"/>
  <c r="J707" i="1" s="1"/>
  <c r="I139" i="1"/>
  <c r="J139" i="1" s="1"/>
  <c r="I950" i="1"/>
  <c r="J950" i="1" s="1"/>
  <c r="I304" i="1"/>
  <c r="J304" i="1" s="1"/>
  <c r="I901" i="1"/>
  <c r="J901" i="1" s="1"/>
  <c r="I50" i="1"/>
  <c r="J50" i="1" s="1"/>
  <c r="I890" i="1"/>
  <c r="J890" i="1" s="1"/>
  <c r="I760" i="1"/>
  <c r="J760" i="1" s="1"/>
  <c r="I657" i="1"/>
  <c r="J657" i="1" s="1"/>
  <c r="I111" i="1"/>
  <c r="J111" i="1" s="1"/>
  <c r="I597" i="1"/>
  <c r="J597" i="1" s="1"/>
  <c r="I305" i="1"/>
  <c r="J305" i="1" s="1"/>
  <c r="I708" i="1"/>
  <c r="J708" i="1" s="1"/>
  <c r="I306" i="1"/>
  <c r="J306" i="1" s="1"/>
  <c r="I869" i="1"/>
  <c r="J869" i="1" s="1"/>
  <c r="I155" i="1"/>
  <c r="J155" i="1" s="1"/>
  <c r="I499" i="1"/>
  <c r="J499" i="1" s="1"/>
  <c r="I824" i="1"/>
  <c r="J824" i="1" s="1"/>
  <c r="I307" i="1"/>
  <c r="J307" i="1" s="1"/>
  <c r="I393" i="1"/>
  <c r="J393" i="1" s="1"/>
  <c r="I521" i="1"/>
  <c r="J521" i="1" s="1"/>
  <c r="I753" i="1"/>
  <c r="J753" i="1" s="1"/>
  <c r="I744" i="1"/>
  <c r="J744" i="1" s="1"/>
  <c r="I447" i="1"/>
  <c r="J447" i="1" s="1"/>
  <c r="I485" i="1"/>
  <c r="J485" i="1" s="1"/>
  <c r="I263" i="1"/>
  <c r="J263" i="1" s="1"/>
  <c r="I123" i="1"/>
  <c r="J123" i="1" s="1"/>
  <c r="I774" i="1"/>
  <c r="J774" i="1" s="1"/>
  <c r="I48" i="1"/>
  <c r="J48" i="1" s="1"/>
  <c r="I778" i="1"/>
  <c r="J778" i="1" s="1"/>
  <c r="I433" i="1"/>
  <c r="J433" i="1" s="1"/>
  <c r="I709" i="1"/>
  <c r="J709" i="1" s="1"/>
  <c r="I328" i="1"/>
  <c r="J328" i="1" s="1"/>
  <c r="I618" i="1"/>
  <c r="J618" i="1" s="1"/>
  <c r="I810" i="1"/>
  <c r="J810" i="1" s="1"/>
  <c r="I164" i="1"/>
  <c r="J164" i="1" s="1"/>
  <c r="I627" i="1"/>
  <c r="J627" i="1" s="1"/>
  <c r="I663" i="1"/>
  <c r="J663" i="1" s="1"/>
  <c r="I368" i="1"/>
  <c r="J368" i="1" s="1"/>
  <c r="I434" i="1"/>
  <c r="J434" i="1" s="1"/>
  <c r="I542" i="1"/>
  <c r="J542" i="1" s="1"/>
  <c r="I400" i="1"/>
  <c r="J400" i="1" s="1"/>
  <c r="I714" i="1"/>
  <c r="J714" i="1" s="1"/>
  <c r="I873" i="1"/>
  <c r="J873" i="1" s="1"/>
  <c r="I335" i="1"/>
  <c r="J335" i="1" s="1"/>
  <c r="I603" i="1"/>
  <c r="J603" i="1" s="1"/>
  <c r="I359" i="1"/>
  <c r="J359" i="1" s="1"/>
  <c r="I604" i="1"/>
  <c r="J604" i="1" s="1"/>
  <c r="I795" i="1"/>
  <c r="J795" i="1" s="1"/>
  <c r="I448" i="1"/>
  <c r="J448" i="1" s="1"/>
  <c r="I965" i="1"/>
  <c r="J965" i="1" s="1"/>
  <c r="I243" i="1"/>
  <c r="J243" i="1" s="1"/>
  <c r="I84" i="1"/>
  <c r="J84" i="1" s="1"/>
  <c r="I813" i="1"/>
  <c r="J813" i="1" s="1"/>
  <c r="I127" i="1"/>
  <c r="J127" i="1" s="1"/>
  <c r="I170" i="1"/>
  <c r="J170" i="1" s="1"/>
  <c r="I727" i="1"/>
  <c r="J727" i="1" s="1"/>
  <c r="I128" i="1"/>
  <c r="J128" i="1" s="1"/>
  <c r="I953" i="1"/>
  <c r="J953" i="1" s="1"/>
  <c r="I284" i="1"/>
  <c r="J284" i="1" s="1"/>
  <c r="I1003" i="1"/>
  <c r="J1003" i="1" s="1"/>
  <c r="I578" i="1"/>
  <c r="J578" i="1" s="1"/>
  <c r="I690" i="1"/>
  <c r="J690" i="1" s="1"/>
  <c r="I748" i="1"/>
  <c r="J748" i="1" s="1"/>
  <c r="I561" i="1"/>
  <c r="J561" i="1" s="1"/>
  <c r="I444" i="1"/>
  <c r="J444" i="1" s="1"/>
  <c r="I132" i="1"/>
  <c r="J132" i="1" s="1"/>
  <c r="I894" i="1"/>
  <c r="J894" i="1" s="1"/>
  <c r="I543" i="1"/>
  <c r="J543" i="1" s="1"/>
  <c r="I435" i="1"/>
  <c r="J435" i="1" s="1"/>
  <c r="I862" i="1"/>
  <c r="J862" i="1" s="1"/>
  <c r="I658" i="1"/>
  <c r="J658" i="1" s="1"/>
  <c r="I783" i="1"/>
  <c r="J783" i="1" s="1"/>
  <c r="I449" i="1"/>
  <c r="J449" i="1" s="1"/>
  <c r="I275" i="1"/>
  <c r="J275" i="1" s="1"/>
  <c r="I35" i="1"/>
  <c r="J35" i="1" s="1"/>
  <c r="I113" i="1"/>
  <c r="J113" i="1" s="1"/>
  <c r="I292" i="1"/>
  <c r="J292" i="1" s="1"/>
  <c r="I269" i="1"/>
  <c r="J269" i="1" s="1"/>
  <c r="I414" i="1"/>
  <c r="J414" i="1" s="1"/>
  <c r="I954" i="1"/>
  <c r="J954" i="1" s="1"/>
  <c r="I237" i="1"/>
  <c r="J237" i="1" s="1"/>
  <c r="I784" i="1"/>
  <c r="J784" i="1" s="1"/>
  <c r="I971" i="1"/>
  <c r="J971" i="1" s="1"/>
  <c r="I909" i="1"/>
  <c r="J909" i="1" s="1"/>
  <c r="I641" i="1"/>
  <c r="J641" i="1" s="1"/>
  <c r="I156" i="1"/>
  <c r="J156" i="1" s="1"/>
  <c r="I225" i="1"/>
  <c r="J225" i="1" s="1"/>
  <c r="I60" i="1"/>
  <c r="J60" i="1" s="1"/>
  <c r="I761" i="1"/>
  <c r="J761" i="1" s="1"/>
  <c r="I463" i="1"/>
  <c r="J463" i="1" s="1"/>
  <c r="I913" i="1"/>
  <c r="J913" i="1" s="1"/>
  <c r="I106" i="1"/>
  <c r="J106" i="1" s="1"/>
  <c r="I664" i="1"/>
  <c r="J664" i="1" s="1"/>
  <c r="I85" i="1"/>
  <c r="J85" i="1" s="1"/>
  <c r="I856" i="1"/>
  <c r="J856" i="1" s="1"/>
  <c r="I189" i="1"/>
  <c r="J189" i="1" s="1"/>
  <c r="I819" i="1"/>
  <c r="J819" i="1" s="1"/>
  <c r="I628" i="1"/>
  <c r="J628" i="1" s="1"/>
  <c r="I579" i="1"/>
  <c r="J579" i="1" s="1"/>
  <c r="I436" i="1"/>
  <c r="J436" i="1" s="1"/>
  <c r="I218" i="1"/>
  <c r="J218" i="1" s="1"/>
  <c r="I715" i="1"/>
  <c r="J715" i="1" s="1"/>
  <c r="I691" i="1"/>
  <c r="J691" i="1" s="1"/>
  <c r="I140" i="1"/>
  <c r="J140" i="1" s="1"/>
  <c r="I972" i="1"/>
  <c r="J972" i="1" s="1"/>
  <c r="I147" i="1"/>
  <c r="J147" i="1" s="1"/>
  <c r="I853" i="1"/>
  <c r="J853" i="1" s="1"/>
  <c r="I544" i="1"/>
  <c r="J544" i="1" s="1"/>
  <c r="I580" i="1"/>
  <c r="J580" i="1" s="1"/>
  <c r="I219" i="1"/>
  <c r="J219" i="1" s="1"/>
  <c r="I762" i="1"/>
  <c r="J762" i="1" s="1"/>
  <c r="I384" i="1"/>
  <c r="J384" i="1" s="1"/>
  <c r="I925" i="1"/>
  <c r="J925" i="1" s="1"/>
  <c r="I728" i="1"/>
  <c r="J728" i="1" s="1"/>
  <c r="I989" i="1"/>
  <c r="J989" i="1" s="1"/>
  <c r="I293" i="1"/>
  <c r="J293" i="1" s="1"/>
  <c r="I754" i="1"/>
  <c r="J754" i="1" s="1"/>
  <c r="I94" i="1"/>
  <c r="J94" i="1" s="1"/>
  <c r="I86" i="1"/>
  <c r="J86" i="1" s="1"/>
  <c r="I763" i="1"/>
  <c r="J763" i="1" s="1"/>
  <c r="I533" i="1"/>
  <c r="J533" i="1" s="1"/>
  <c r="I318" i="1"/>
  <c r="J318" i="1" s="1"/>
  <c r="I486" i="1"/>
  <c r="J486" i="1" s="1"/>
  <c r="I598" i="1"/>
  <c r="J598" i="1" s="1"/>
  <c r="I70" i="1"/>
  <c r="J70" i="1" s="1"/>
  <c r="I437" i="1"/>
  <c r="J437" i="1" s="1"/>
  <c r="I671" i="1"/>
  <c r="J671" i="1" s="1"/>
  <c r="I17" i="1"/>
  <c r="J17" i="1" s="1"/>
  <c r="I450" i="1"/>
  <c r="J450" i="1" s="1"/>
  <c r="I308" i="1"/>
  <c r="J308" i="1" s="1"/>
  <c r="I884" i="1"/>
  <c r="J884" i="1" s="1"/>
  <c r="I255" i="1"/>
  <c r="J255" i="1" s="1"/>
  <c r="I764" i="1"/>
  <c r="J764" i="1" s="1"/>
  <c r="I114" i="1"/>
  <c r="J114" i="1" s="1"/>
  <c r="I970" i="1"/>
  <c r="J970" i="1" s="1"/>
  <c r="I336" i="1"/>
  <c r="J336" i="1" s="1"/>
  <c r="I27" i="1"/>
  <c r="J27" i="1" s="1"/>
  <c r="I124" i="1"/>
  <c r="J124" i="1" s="1"/>
  <c r="I785" i="1"/>
  <c r="J785" i="1" s="1"/>
  <c r="I902" i="1"/>
  <c r="J902" i="1" s="1"/>
  <c r="I319" i="1"/>
  <c r="J319" i="1" s="1"/>
  <c r="I863" i="1"/>
  <c r="J863" i="1" s="1"/>
  <c r="I975" i="1"/>
  <c r="J975" i="1" s="1"/>
  <c r="I369" i="1"/>
  <c r="J369" i="1" s="1"/>
  <c r="I167" i="1"/>
  <c r="J167" i="1" s="1"/>
  <c r="I78" i="1"/>
  <c r="J78" i="1" s="1"/>
  <c r="I775" i="1"/>
  <c r="J775" i="1" s="1"/>
  <c r="I438" i="1"/>
  <c r="J438" i="1" s="1"/>
  <c r="I157" i="1"/>
  <c r="J157" i="1" s="1"/>
  <c r="I735" i="1"/>
  <c r="J735" i="1" s="1"/>
  <c r="I423" i="1"/>
  <c r="J423" i="1" s="1"/>
  <c r="I401" i="1"/>
  <c r="J401" i="1" s="1"/>
  <c r="I590" i="1"/>
  <c r="J590" i="1" s="1"/>
  <c r="I424" i="1"/>
  <c r="J424" i="1" s="1"/>
  <c r="I451" i="1"/>
  <c r="J451" i="1" s="1"/>
  <c r="I993" i="1"/>
  <c r="J993" i="1" s="1"/>
  <c r="I986" i="1"/>
  <c r="J986" i="1" s="1"/>
  <c r="I370" i="1"/>
  <c r="J370" i="1" s="1"/>
  <c r="I21" i="1"/>
  <c r="J21" i="1" s="1"/>
  <c r="I642" i="1"/>
  <c r="J642" i="1" s="1"/>
  <c r="I452" i="1"/>
  <c r="J452" i="1" s="1"/>
  <c r="I905" i="1"/>
  <c r="J905" i="1" s="1"/>
  <c r="I79" i="1"/>
  <c r="J79" i="1" s="1"/>
  <c r="I80" i="1"/>
  <c r="J80" i="1" s="1"/>
  <c r="I610" i="1"/>
  <c r="J610" i="1" s="1"/>
  <c r="I210" i="1"/>
  <c r="J210" i="1" s="1"/>
  <c r="I611" i="1"/>
  <c r="J611" i="1" s="1"/>
  <c r="I988" i="1"/>
  <c r="J988" i="1" s="1"/>
  <c r="I999" i="1"/>
  <c r="J999" i="1" s="1"/>
  <c r="I350" i="1"/>
  <c r="J350" i="1" s="1"/>
  <c r="I649" i="1"/>
  <c r="J649" i="1" s="1"/>
  <c r="I309" i="1"/>
  <c r="J309" i="1" s="1"/>
  <c r="I98" i="1"/>
  <c r="J98" i="1" s="1"/>
  <c r="I310" i="1"/>
  <c r="J310" i="1" s="1"/>
  <c r="I963" i="1"/>
  <c r="J963" i="1" s="1"/>
  <c r="I12" i="1"/>
  <c r="J12" i="1" s="1"/>
  <c r="I226" i="1"/>
  <c r="J226" i="1" s="1"/>
  <c r="I176" i="1"/>
  <c r="J176" i="1" s="1"/>
  <c r="I829" i="1"/>
  <c r="J829" i="1" s="1"/>
  <c r="I115" i="1"/>
  <c r="J115" i="1" s="1"/>
  <c r="I402" i="1"/>
  <c r="J402" i="1" s="1"/>
  <c r="I914" i="1"/>
  <c r="J914" i="1" s="1"/>
  <c r="I915" i="1"/>
  <c r="J915" i="1" s="1"/>
  <c r="I227" i="1"/>
  <c r="J227" i="1" s="1"/>
  <c r="I686" i="1"/>
  <c r="J686" i="1" s="1"/>
  <c r="I716" i="1"/>
  <c r="J716" i="1" s="1"/>
  <c r="I796" i="1"/>
  <c r="J796" i="1" s="1"/>
  <c r="I500" i="1"/>
  <c r="J500" i="1" s="1"/>
  <c r="I3" i="1"/>
  <c r="J3" i="1" s="1"/>
  <c r="I825" i="1"/>
  <c r="J825" i="1" s="1"/>
  <c r="I403" i="1"/>
  <c r="J403" i="1" s="1"/>
  <c r="I32" i="1"/>
  <c r="J32" i="1" s="1"/>
  <c r="I475" i="1"/>
  <c r="J475" i="1" s="1"/>
  <c r="I934" i="1"/>
  <c r="J934" i="1" s="1"/>
  <c r="I501" i="1"/>
  <c r="J501" i="1" s="1"/>
  <c r="I650" i="1"/>
  <c r="J650" i="1" s="1"/>
  <c r="I415" i="1"/>
  <c r="J415" i="1" s="1"/>
  <c r="I545" i="1"/>
  <c r="J545" i="1" s="1"/>
  <c r="I736" i="1"/>
  <c r="J736" i="1" s="1"/>
  <c r="I552" i="1"/>
  <c r="J552" i="1" s="1"/>
  <c r="I937" i="1"/>
  <c r="J937" i="1" s="1"/>
  <c r="I839" i="1"/>
  <c r="J839" i="1" s="1"/>
  <c r="I425" i="1"/>
  <c r="J425" i="1" s="1"/>
  <c r="I672" i="1"/>
  <c r="J672" i="1" s="1"/>
  <c r="I487" i="1"/>
  <c r="J487" i="1" s="1"/>
  <c r="I895" i="1"/>
  <c r="J895" i="1" s="1"/>
  <c r="I40" i="1"/>
  <c r="J40" i="1" s="1"/>
  <c r="I605" i="1"/>
  <c r="J605" i="1" s="1"/>
  <c r="I700" i="1"/>
  <c r="J700" i="1" s="1"/>
  <c r="I737" i="1"/>
  <c r="J737" i="1" s="1"/>
  <c r="I129" i="1"/>
  <c r="J129" i="1" s="1"/>
  <c r="I404" i="1"/>
  <c r="J404" i="1" s="1"/>
  <c r="I439" i="1"/>
  <c r="J439" i="1" s="1"/>
  <c r="I71" i="1"/>
  <c r="J71" i="1" s="1"/>
  <c r="I426" i="1"/>
  <c r="J426" i="1" s="1"/>
  <c r="I651" i="1"/>
  <c r="J651" i="1" s="1"/>
  <c r="I629" i="1"/>
  <c r="J629" i="1" s="1"/>
  <c r="I729" i="1"/>
  <c r="J729" i="1" s="1"/>
  <c r="I168" i="1"/>
  <c r="J168" i="1" s="1"/>
  <c r="I770" i="1"/>
  <c r="J770" i="1" s="1"/>
  <c r="I864" i="1"/>
  <c r="J864" i="1" s="1"/>
  <c r="I488" i="1"/>
  <c r="J488" i="1" s="1"/>
  <c r="I204" i="1"/>
  <c r="J204" i="1" s="1"/>
  <c r="I228" i="1"/>
  <c r="J228" i="1" s="1"/>
  <c r="I351" i="1"/>
  <c r="J351" i="1" s="1"/>
  <c r="I786" i="1"/>
  <c r="J786" i="1" s="1"/>
  <c r="I528" i="1"/>
  <c r="J528" i="1" s="1"/>
  <c r="I606" i="1"/>
  <c r="J606" i="1" s="1"/>
  <c r="I125" i="1"/>
  <c r="J125" i="1" s="1"/>
  <c r="I14" i="1"/>
  <c r="J14" i="1" s="1"/>
  <c r="I771" i="1"/>
  <c r="J771" i="1" s="1"/>
  <c r="I294" i="1"/>
  <c r="J294" i="1" s="1"/>
  <c r="I692" i="1"/>
  <c r="J692" i="1" s="1"/>
  <c r="I840" i="1"/>
  <c r="J840" i="1" s="1"/>
  <c r="I4" i="1"/>
  <c r="J4" i="1" s="1"/>
  <c r="I385" i="1"/>
  <c r="J385" i="1" s="1"/>
  <c r="I630" i="1"/>
  <c r="J630" i="1" s="1"/>
  <c r="I502" i="1"/>
  <c r="J502" i="1" s="1"/>
  <c r="I948" i="1"/>
  <c r="J948" i="1" s="1"/>
  <c r="I636" i="1"/>
  <c r="J636" i="1" s="1"/>
  <c r="I427" i="1"/>
  <c r="J427" i="1" s="1"/>
  <c r="I197" i="1"/>
  <c r="J197" i="1" s="1"/>
  <c r="I20" i="1"/>
  <c r="J20" i="1" s="1"/>
  <c r="I360" i="1"/>
  <c r="J360" i="1" s="1"/>
  <c r="I790" i="1"/>
  <c r="J790" i="1" s="1"/>
  <c r="I717" i="1"/>
  <c r="J717" i="1" s="1"/>
  <c r="I652" i="1"/>
  <c r="J652" i="1" s="1"/>
  <c r="I329" i="1"/>
  <c r="J329" i="1" s="1"/>
  <c r="I665" i="1"/>
  <c r="J665" i="1" s="1"/>
  <c r="I643" i="1"/>
  <c r="J643" i="1" s="1"/>
  <c r="I903" i="1"/>
  <c r="J903" i="1" s="1"/>
  <c r="I28" i="1"/>
  <c r="J28" i="1" s="1"/>
  <c r="I1013" i="1"/>
  <c r="J1013" i="1" s="1"/>
  <c r="I211" i="1"/>
  <c r="J211" i="1" s="1"/>
  <c r="I133" i="1"/>
  <c r="J133" i="1" s="1"/>
  <c r="I107" i="1"/>
  <c r="J107" i="1" s="1"/>
  <c r="I264" i="1"/>
  <c r="J264" i="1" s="1"/>
  <c r="I797" i="1"/>
  <c r="J797" i="1" s="1"/>
  <c r="I870" i="1"/>
  <c r="J870" i="1" s="1"/>
  <c r="I256" i="1"/>
  <c r="J256" i="1" s="1"/>
  <c r="I935" i="1"/>
  <c r="J935" i="1" s="1"/>
  <c r="I220" i="1"/>
  <c r="J220" i="1" s="1"/>
  <c r="I177" i="1"/>
  <c r="J177" i="1" s="1"/>
  <c r="I311" i="1"/>
  <c r="J311" i="1" s="1"/>
  <c r="I464" i="1"/>
  <c r="J464" i="1" s="1"/>
  <c r="I453" i="1"/>
  <c r="J453" i="1" s="1"/>
  <c r="I621" i="1"/>
  <c r="J621" i="1" s="1"/>
  <c r="I26" i="1"/>
  <c r="J26" i="1" s="1"/>
  <c r="I738" i="1"/>
  <c r="J738" i="1" s="1"/>
  <c r="I570" i="1"/>
  <c r="J570" i="1" s="1"/>
  <c r="I330" i="1"/>
  <c r="J330" i="1" s="1"/>
  <c r="I141" i="1"/>
  <c r="J141" i="1" s="1"/>
  <c r="I238" i="1"/>
  <c r="J238" i="1" s="1"/>
  <c r="I955" i="1"/>
  <c r="J955" i="1" s="1"/>
  <c r="I896" i="1"/>
  <c r="J896" i="1" s="1"/>
  <c r="I1008" i="1"/>
  <c r="J1008" i="1" s="1"/>
  <c r="I806" i="1"/>
  <c r="J806" i="1" s="1"/>
  <c r="I1010" i="1"/>
  <c r="J1010" i="1" s="1"/>
  <c r="I61" i="1"/>
  <c r="J61" i="1" s="1"/>
  <c r="I95" i="1"/>
  <c r="J95" i="1" s="1"/>
  <c r="I906" i="1"/>
  <c r="J906" i="1" s="1"/>
  <c r="I465" i="1"/>
  <c r="J465" i="1" s="1"/>
  <c r="I874" i="1"/>
  <c r="J874" i="1" s="1"/>
  <c r="I897" i="1"/>
  <c r="J897" i="1" s="1"/>
  <c r="I984" i="1"/>
  <c r="J984" i="1" s="1"/>
  <c r="Z2" i="1" a="1"/>
  <c r="Z2" i="1" s="1"/>
  <c r="AB3" i="1" a="1"/>
  <c r="AB3" i="1" s="1"/>
  <c r="AB2" i="1" a="1"/>
  <c r="AB2" i="1" s="1"/>
  <c r="AA3" i="1" a="1"/>
  <c r="AA3" i="1" s="1"/>
  <c r="AA2" i="1" a="1"/>
  <c r="AA2" i="1" s="1"/>
  <c r="AA4" i="1" s="1"/>
  <c r="Z3" i="1" a="1"/>
  <c r="Z3" i="1" s="1"/>
  <c r="AB4" i="1" l="1"/>
  <c r="Z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<sst xmlns="http://schemas.openxmlformats.org/spreadsheetml/2006/main" count="11882" uniqueCount="179">
  <si>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</si>
  <si>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</si>
  <si>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</si>
  <si>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</si>
  <si>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</si>
  <si>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</si>
  <si>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</si>
  <si>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</si>
  <si>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</si>
  <si>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</si>
  <si>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</si>
  <si>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</si>
  <si>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</si>
  <si>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</si>
  <si>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</si>
  <si>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</si>
  <si>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</si>
  <si>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</si>
  <si>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</si>
  <si>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</si>
  <si>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</si>
  <si>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</si>
  <si>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</si>
  <si>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</si>
  <si>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bachelor' sdegree</t>
  </si>
  <si>
    <t>smoe college</t>
  </si>
  <si>
    <t>group E</t>
  </si>
  <si>
    <t>associtae's degree</t>
  </si>
  <si>
    <t>compleetd</t>
  </si>
  <si>
    <t>complteed</t>
  </si>
  <si>
    <t>some ocllege</t>
  </si>
  <si>
    <t>copmleted</t>
  </si>
  <si>
    <t>completde</t>
  </si>
  <si>
    <t>bachelor'sd egree</t>
  </si>
  <si>
    <t>some high shcool</t>
  </si>
  <si>
    <t>associate'sd egree</t>
  </si>
  <si>
    <t>bachelo'rs degree</t>
  </si>
  <si>
    <t>soem college</t>
  </si>
  <si>
    <t>master's degere</t>
  </si>
  <si>
    <t>cmopleted</t>
  </si>
  <si>
    <t>high scholo</t>
  </si>
  <si>
    <t>compelted</t>
  </si>
  <si>
    <t>associat'es degree</t>
  </si>
  <si>
    <t>some colelge</t>
  </si>
  <si>
    <t>hig hschool</t>
  </si>
  <si>
    <t>smoe high school</t>
  </si>
  <si>
    <t>associate's dergee</t>
  </si>
  <si>
    <t>asscoiate's degree</t>
  </si>
  <si>
    <t>somec ollege</t>
  </si>
  <si>
    <t>soem high school</t>
  </si>
  <si>
    <t>bachelors' degree</t>
  </si>
  <si>
    <t>bachelor's degere</t>
  </si>
  <si>
    <t>associate's edgree</t>
  </si>
  <si>
    <t>some ihgh school</t>
  </si>
  <si>
    <t>some hig hschool</t>
  </si>
  <si>
    <t>some highs chool</t>
  </si>
  <si>
    <t>comlpeted</t>
  </si>
  <si>
    <t>bachelro's degree</t>
  </si>
  <si>
    <t>high cshool</t>
  </si>
  <si>
    <t>bachleor's degree</t>
  </si>
  <si>
    <t>hihg school</t>
  </si>
  <si>
    <t>associates' degree</t>
  </si>
  <si>
    <t>high scohol</t>
  </si>
  <si>
    <t>asosciate's degree</t>
  </si>
  <si>
    <t>some colleeg</t>
  </si>
  <si>
    <t>associaet's degree</t>
  </si>
  <si>
    <t>assocaite's degree</t>
  </si>
  <si>
    <t>assoicate's degree</t>
  </si>
  <si>
    <t>highs chool</t>
  </si>
  <si>
    <t>som ecollege</t>
  </si>
  <si>
    <t>bcahelor's degree</t>
  </si>
  <si>
    <t>hgih school</t>
  </si>
  <si>
    <t>masetr's degree</t>
  </si>
  <si>
    <t>some hgih school</t>
  </si>
  <si>
    <t>high shcool</t>
  </si>
  <si>
    <t>associate' sdegree</t>
  </si>
  <si>
    <t>bachelor's edgree</t>
  </si>
  <si>
    <t>someh igh school</t>
  </si>
  <si>
    <t>bachelor's dgeree</t>
  </si>
  <si>
    <t>bachelor' degree</t>
  </si>
  <si>
    <t>some ollege</t>
  </si>
  <si>
    <t>Correct Spelling</t>
  </si>
  <si>
    <t>Incorrect Spelling</t>
  </si>
  <si>
    <t>Bachelor's Degree</t>
  </si>
  <si>
    <t>Some College</t>
  </si>
  <si>
    <t>Master's Degree</t>
  </si>
  <si>
    <t>Associate's Degree</t>
  </si>
  <si>
    <t>High School</t>
  </si>
  <si>
    <t>Some High School</t>
  </si>
  <si>
    <t>A</t>
  </si>
  <si>
    <t>None</t>
  </si>
  <si>
    <t>X</t>
  </si>
  <si>
    <t>Row No.</t>
  </si>
  <si>
    <t>Flag Reason</t>
  </si>
  <si>
    <t>Potential duplicate - scores are all same, lunch column different value</t>
  </si>
  <si>
    <t xml:space="preserve">Potential duplicate - very similar scores writing score in row 1012 has 'None' value, possible duplicated to row 65 </t>
  </si>
  <si>
    <t>Potential duplicate - Almost identical scores with none value, possibe duplicated with row 1009</t>
  </si>
  <si>
    <t>Potential duplicate - very identical scores to row 275</t>
  </si>
  <si>
    <t>Potential duplicate - similar scores with minor difference or missing value</t>
  </si>
  <si>
    <t>Potential duplicate - very similar scores , value with none could be same as 70</t>
  </si>
  <si>
    <t>Potential duplicate - similar scores with minor difference 66 vs 63</t>
  </si>
  <si>
    <t>Potential duplicate - Very similar scores with almost identical values</t>
  </si>
  <si>
    <t xml:space="preserve">Potential duplicate - Writing score with value 'None' however row 1011 is almost identical. </t>
  </si>
  <si>
    <t xml:space="preserve">Similar to above </t>
  </si>
  <si>
    <t xml:space="preserve">Potential duplicate - values of Writing scores 75 vs 85 </t>
  </si>
  <si>
    <t>Similar to above, one of 'none' values</t>
  </si>
  <si>
    <t>Potential duplicate - could not be a duplicate but a little suspicious</t>
  </si>
  <si>
    <t>Suspicious to flag</t>
  </si>
  <si>
    <t>Very identical - potential duplicate</t>
  </si>
  <si>
    <t>Row Labels</t>
  </si>
  <si>
    <t>Grand Total</t>
  </si>
  <si>
    <t>Statistics</t>
  </si>
  <si>
    <t>Math</t>
  </si>
  <si>
    <t>Reading</t>
  </si>
  <si>
    <t>Writing</t>
  </si>
  <si>
    <t>Female</t>
  </si>
  <si>
    <t>Male</t>
  </si>
  <si>
    <t xml:space="preserve">Avg Math </t>
  </si>
  <si>
    <t>Avg Reading</t>
  </si>
  <si>
    <t>Avg Writing</t>
  </si>
  <si>
    <t>Avg Math</t>
  </si>
  <si>
    <t>Average Score</t>
  </si>
  <si>
    <t>Avg Average Score</t>
  </si>
  <si>
    <t>Pass/Fail</t>
  </si>
  <si>
    <t xml:space="preserve">Reading </t>
  </si>
  <si>
    <t>Corelation</t>
  </si>
  <si>
    <t xml:space="preserve">Reading - Math </t>
  </si>
  <si>
    <t>Writing - Reading</t>
  </si>
  <si>
    <t>Writing - Math</t>
  </si>
  <si>
    <t xml:space="preserve">Avg Reading - Math </t>
  </si>
  <si>
    <t>Avg Writing - Reading</t>
  </si>
  <si>
    <t>Avg Writing - Math</t>
  </si>
  <si>
    <t>Math Score Clean</t>
  </si>
  <si>
    <t>Reading Score Clean</t>
  </si>
  <si>
    <t>Writing Score Clean</t>
  </si>
  <si>
    <t>Count of Math Score Clean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</si>
  <si>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</si>
  <si>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</si>
  <si>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</si>
  <si>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</si>
  <si>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</si>
  <si>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</si>
  <si>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</si>
  <si>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</si>
  <si>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</si>
  <si>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90-100</t>
  </si>
  <si>
    <t>Count of Reading Score Clean</t>
  </si>
  <si>
    <t>Count of Writing Score Clean</t>
  </si>
  <si>
    <t>Count of Average Score</t>
  </si>
  <si>
    <t>0-10</t>
  </si>
  <si>
    <t>10-20</t>
  </si>
  <si>
    <t>20-30</t>
  </si>
  <si>
    <t>30-40</t>
  </si>
  <si>
    <t>40-50</t>
  </si>
  <si>
    <t>50-60</t>
  </si>
  <si>
    <t>60-70</t>
  </si>
  <si>
    <t>70-80</t>
  </si>
  <si>
    <t>80-90</t>
  </si>
  <si>
    <t>Fail</t>
  </si>
  <si>
    <t>Pass</t>
  </si>
  <si>
    <t>Count Pass/Fail</t>
  </si>
  <si>
    <t>Math Pass</t>
  </si>
  <si>
    <t>Reading Pass</t>
  </si>
  <si>
    <t xml:space="preserve">Writing Pass </t>
  </si>
  <si>
    <t>Column Labels</t>
  </si>
  <si>
    <t>Count of Math Pass</t>
  </si>
  <si>
    <t>Count of Reading Pass</t>
  </si>
  <si>
    <t xml:space="preserve">Count of Writing Pass </t>
  </si>
  <si>
    <t>Total Score</t>
  </si>
  <si>
    <t>Count of Students</t>
  </si>
  <si>
    <t>Score Range</t>
  </si>
  <si>
    <t>Outliers</t>
  </si>
  <si>
    <t>Normal</t>
  </si>
  <si>
    <t>Outlier</t>
  </si>
  <si>
    <t>Count of Student</t>
  </si>
  <si>
    <t xml:space="preserve">Subject </t>
  </si>
  <si>
    <t>Count of Pass/Fail</t>
  </si>
  <si>
    <t>Count of Math Score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</si>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</sst>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1" fillId="0" borderId="1" xfId="0" applyNumberFormat="1" applyFont="1" applyBorder="1"/>
    <xf numFmtId="1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right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49" fontId="0" fillId="0" borderId="0" xfId="0" applyNumberFormat="1" applyAlignment="1">
      <alignment horizontal="right"/>
    </xf>
    <xf numFmtId="1" fontId="0" fillId="0" borderId="0" xfId="0" pivotButton="1" applyNumberFormat="1"/>
    <xf numFmtId="1" fontId="0" fillId="0" borderId="0" xfId="0" applyNumberFormat="1" applyAlignment="1">
      <alignment horizontal="left"/>
    </xf>
    <xf numFmtId="1" fontId="0" fillId="0" borderId="0" xfId="0" applyNumberFormat="1"/>
    <xf numFmtId="10" fontId="0" fillId="0" borderId="0" xfId="0" applyNumberFormat="1"/>
    <xf numFmtId="1" fontId="0" fillId="2" borderId="0" xfId="0" applyNumberFormat="1" applyFill="1" applyAlignment="1">
      <alignment horizontal="right"/>
    </xf>
    <xf numFmtId="0" fontId="1" fillId="0" borderId="1" xfId="0" applyFont="1" applyBorder="1"/>
    <xf numFmtId="1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0" fontId="1" fillId="0" borderId="2" xfId="0" applyFont="1" applyBorder="1"/>
    <xf numFmtId="0" fontId="0" fillId="0" borderId="0" xfId="0" applyAlignment="1">
      <alignment horizontal="left" indent="1"/>
    </xf>
    <xf numFmtId="49" fontId="1" fillId="0" borderId="2" xfId="0" applyNumberFormat="1" applyFont="1" applyBorder="1"/>
    <xf numFmtId="1" fontId="1" fillId="0" borderId="2" xfId="0" applyNumberFormat="1" applyFont="1" applyBorder="1" applyAlignment="1">
      <alignment horizontal="right"/>
    </xf>
    <xf numFmtId="49" fontId="1" fillId="0" borderId="2" xfId="0" applyNumberFormat="1" applyFont="1" applyBorder="1" applyAlignment="1">
      <alignment horizontal="right"/>
    </xf>
    <xf numFmtId="49" fontId="0" fillId="2" borderId="0" xfId="0" applyNumberFormat="1" applyFont="1" applyFill="1"/>
    <xf numFmtId="1" fontId="0" fillId="2" borderId="0" xfId="0" applyNumberFormat="1" applyFont="1" applyFill="1" applyAlignment="1">
      <alignment horizontal="right"/>
    </xf>
    <xf numFmtId="49" fontId="0" fillId="2" borderId="0" xfId="0" applyNumberFormat="1" applyFont="1" applyFill="1" applyAlignment="1">
      <alignment horizontal="right"/>
    </xf>
    <xf numFmtId="49" fontId="0" fillId="0" borderId="0" xfId="0" applyNumberFormat="1" applyFont="1"/>
    <xf numFmtId="1" fontId="0" fillId="0" borderId="0" xfId="0" applyNumberFormat="1" applyFont="1" applyAlignment="1">
      <alignment horizontal="right"/>
    </xf>
    <xf numFmtId="49" fontId="0" fillId="0" borderId="0" xfId="0" applyNumberFormat="1" applyFont="1" applyAlignment="1">
      <alignment horizontal="right"/>
    </xf>
    <xf numFmtId="49" fontId="0" fillId="2" borderId="1" xfId="0" applyNumberFormat="1" applyFont="1" applyFill="1" applyBorder="1"/>
    <xf numFmtId="1" fontId="0" fillId="2" borderId="1" xfId="0" applyNumberFormat="1" applyFont="1" applyFill="1" applyBorder="1" applyAlignment="1">
      <alignment horizontal="right"/>
    </xf>
    <xf numFmtId="49" fontId="0" fillId="2" borderId="1" xfId="0" applyNumberFormat="1" applyFont="1" applyFill="1" applyBorder="1" applyAlignment="1">
      <alignment horizontal="right"/>
    </xf>
    <xf numFmtId="0" fontId="0" fillId="0" borderId="4" xfId="0" applyBorder="1"/>
    <xf numFmtId="2" fontId="0" fillId="0" borderId="5" xfId="0" applyNumberFormat="1" applyBorder="1"/>
    <xf numFmtId="2" fontId="0" fillId="0" borderId="6" xfId="0" applyNumberFormat="1" applyBorder="1"/>
    <xf numFmtId="0" fontId="0" fillId="0" borderId="7" xfId="0" applyBorder="1"/>
    <xf numFmtId="2" fontId="0" fillId="0" borderId="3" xfId="0" applyNumberFormat="1" applyBorder="1"/>
    <xf numFmtId="2" fontId="0" fillId="0" borderId="8" xfId="0" applyNumberFormat="1" applyBorder="1"/>
    <xf numFmtId="0" fontId="0" fillId="0" borderId="9" xfId="0" applyBorder="1"/>
    <xf numFmtId="2" fontId="0" fillId="0" borderId="10" xfId="0" applyNumberFormat="1" applyBorder="1"/>
    <xf numFmtId="2" fontId="0" fillId="0" borderId="11" xfId="0" applyNumberFormat="1" applyBorder="1"/>
    <xf numFmtId="0" fontId="0" fillId="3" borderId="11" xfId="0" applyFill="1" applyBorder="1"/>
    <xf numFmtId="2" fontId="0" fillId="3" borderId="12" xfId="0" applyNumberFormat="1" applyFill="1" applyBorder="1"/>
    <xf numFmtId="2" fontId="0" fillId="3" borderId="9" xfId="0" applyNumberFormat="1" applyFill="1" applyBorder="1"/>
    <xf numFmtId="0" fontId="0" fillId="3" borderId="6" xfId="0" applyFill="1" applyBorder="1"/>
    <xf numFmtId="2" fontId="0" fillId="3" borderId="13" xfId="0" applyNumberFormat="1" applyFill="1" applyBorder="1"/>
    <xf numFmtId="2" fontId="0" fillId="3" borderId="4" xfId="0" applyNumberFormat="1" applyFill="1" applyBorder="1"/>
  </cellXfs>
  <cellStyles count="1">
    <cellStyle name="Normal" xfId="0" builtinId="0"/>
  </cellStyles>
  <dxfs count="111"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Average Scores by Gender Across Subjects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Student_Performance!$Y$2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6539923954372651E-2"/>
                  <c:y val="-7.22543352601156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C5D-46D4-A1F1-91267C3586DC}"/>
                </c:ext>
              </c:extLst>
            </c:dLbl>
            <c:dLbl>
              <c:idx val="1"/>
              <c:layout>
                <c:manualLayout>
                  <c:x val="-5.7034220532319449E-2"/>
                  <c:y val="-5.78034682080925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C5D-46D4-A1F1-91267C3586DC}"/>
                </c:ext>
              </c:extLst>
            </c:dLbl>
            <c:dLbl>
              <c:idx val="2"/>
              <c:layout>
                <c:manualLayout>
                  <c:x val="-6.3371356147021551E-2"/>
                  <c:y val="-5.78034682080924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C5D-46D4-A1F1-91267C3586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Student_Performance!$Z$1:$AB$1</c:f>
              <c:strCache>
                <c:ptCount val="3"/>
                <c:pt idx="0">
                  <c:v>Math</c:v>
                </c:pt>
                <c:pt idx="1">
                  <c:v>Reading</c:v>
                </c:pt>
                <c:pt idx="2">
                  <c:v>Writing</c:v>
                </c:pt>
              </c:strCache>
            </c:strRef>
          </c:cat>
          <c:val>
            <c:numRef>
              <c:f>Student_Performance!$Z$2:$AB$2</c:f>
              <c:numCache>
                <c:formatCode>0.00</c:formatCode>
                <c:ptCount val="3"/>
                <c:pt idx="0">
                  <c:v>14.640538129098392</c:v>
                </c:pt>
                <c:pt idx="1">
                  <c:v>13.581565472163955</c:v>
                </c:pt>
                <c:pt idx="2">
                  <c:v>13.922831540144344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5D-46D4-A1F1-91267C3586DC}"/>
            </c:ext>
          </c:extLst>
        </c:ser>
        <c:ser>
          <c:idx val="1"/>
          <c:order val="1"/>
          <c:tx>
            <c:strRef>
              <c:f>Student_Performance!$Y$3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3371356147021579E-2"/>
                  <c:y val="-5.78034682080925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C5D-46D4-A1F1-91267C3586DC}"/>
                </c:ext>
              </c:extLst>
            </c:dLbl>
            <c:dLbl>
              <c:idx val="1"/>
              <c:layout>
                <c:manualLayout>
                  <c:x val="-5.7034220532319449E-2"/>
                  <c:y val="-5.78034682080925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C5D-46D4-A1F1-91267C3586DC}"/>
                </c:ext>
              </c:extLst>
            </c:dLbl>
            <c:dLbl>
              <c:idx val="2"/>
              <c:layout>
                <c:manualLayout>
                  <c:x val="-5.3865652724968315E-2"/>
                  <c:y val="-6.26204238921002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C5D-46D4-A1F1-91267C3586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Student_Performance!$Z$1:$AB$1</c:f>
              <c:strCache>
                <c:ptCount val="3"/>
                <c:pt idx="0">
                  <c:v>Math</c:v>
                </c:pt>
                <c:pt idx="1">
                  <c:v>Reading</c:v>
                </c:pt>
                <c:pt idx="2">
                  <c:v>Writing</c:v>
                </c:pt>
              </c:strCache>
            </c:strRef>
          </c:cat>
          <c:val>
            <c:numRef>
              <c:f>Student_Performance!$Z$3:$AB$3</c:f>
              <c:numCache>
                <c:formatCode>0.00</c:formatCode>
                <c:ptCount val="3"/>
                <c:pt idx="0">
                  <c:v>14.071235285050744</c:v>
                </c:pt>
                <c:pt idx="1">
                  <c:v>13.58119388701606</c:v>
                </c:pt>
                <c:pt idx="2">
                  <c:v>13.656987664644062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5D-46D4-A1F1-91267C3586DC}"/>
            </c:ext>
          </c:extLst>
        </c:ser>
        <c:ser>
          <c:idx val="2"/>
          <c:order val="2"/>
          <c:tx>
            <c:strRef>
              <c:f>Student_Performance!$Y$4</c:f>
              <c:strCache>
                <c:ptCount val="1"/>
                <c:pt idx="0">
                  <c:v>Overall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0697084917617263E-2"/>
                  <c:y val="-5.78034682080924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C5D-46D4-A1F1-91267C3586DC}"/>
                </c:ext>
              </c:extLst>
            </c:dLbl>
            <c:dLbl>
              <c:idx val="1"/>
              <c:layout>
                <c:manualLayout>
                  <c:x val="-6.6539923954372679E-2"/>
                  <c:y val="-6.26204238921001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C5D-46D4-A1F1-91267C3586DC}"/>
                </c:ext>
              </c:extLst>
            </c:dLbl>
            <c:dLbl>
              <c:idx val="2"/>
              <c:layout>
                <c:manualLayout>
                  <c:x val="-6.6539923954372623E-2"/>
                  <c:y val="-4.81695568400770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C5D-46D4-A1F1-91267C3586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Student_Performance!$Z$1:$AB$1</c:f>
              <c:strCache>
                <c:ptCount val="3"/>
                <c:pt idx="0">
                  <c:v>Math</c:v>
                </c:pt>
                <c:pt idx="1">
                  <c:v>Reading</c:v>
                </c:pt>
                <c:pt idx="2">
                  <c:v>Writing</c:v>
                </c:pt>
              </c:strCache>
            </c:strRef>
          </c:cat>
          <c:val>
            <c:numRef>
              <c:f>Student_Performance!$Z$4:$AB$4</c:f>
              <c:numCache>
                <c:formatCode>0.00</c:formatCode>
                <c:ptCount val="3"/>
                <c:pt idx="0">
                  <c:v>14.355886707074568</c:v>
                </c:pt>
                <c:pt idx="1">
                  <c:v>13.581379679590007</c:v>
                </c:pt>
                <c:pt idx="2">
                  <c:v>13.789909602394204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5D-46D4-A1F1-91267C358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4165536"/>
        <c:axId val="1244178432"/>
      </c:lineChart>
      <c:catAx>
        <c:axId val="124416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178432"/>
        <c:crosses val="autoZero"/>
        <c:auto val="1"/>
        <c:lblAlgn val="ctr"/>
        <c:lblOffset val="100"/>
        <c:noMultiLvlLbl val="0"/>
      </c:catAx>
      <c:valAx>
        <c:axId val="124417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16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Reading vs Writing (Y = Writing)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9145450568678916E-2"/>
                  <c:y val="-5.77814231554389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ScatterData!$B$2:$B$1014</c:f>
              <c:numCache>
                <c:formatCode>0</c:formatCode>
                <c:ptCount val="101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97</c:v>
                </c:pt>
                <c:pt idx="8">
                  <c:v>100</c:v>
                </c:pt>
                <c:pt idx="9">
                  <c:v>99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96</c:v>
                </c:pt>
                <c:pt idx="15">
                  <c:v>97</c:v>
                </c:pt>
                <c:pt idx="16">
                  <c:v>92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93</c:v>
                </c:pt>
                <c:pt idx="22">
                  <c:v>100</c:v>
                </c:pt>
                <c:pt idx="23">
                  <c:v>96</c:v>
                </c:pt>
                <c:pt idx="24">
                  <c:v>99</c:v>
                </c:pt>
                <c:pt idx="25">
                  <c:v>93</c:v>
                </c:pt>
                <c:pt idx="26">
                  <c:v>95</c:v>
                </c:pt>
                <c:pt idx="27">
                  <c:v>96</c:v>
                </c:pt>
                <c:pt idx="28">
                  <c:v>95</c:v>
                </c:pt>
                <c:pt idx="29">
                  <c:v>90</c:v>
                </c:pt>
                <c:pt idx="30">
                  <c:v>96</c:v>
                </c:pt>
                <c:pt idx="31">
                  <c:v>95</c:v>
                </c:pt>
                <c:pt idx="32">
                  <c:v>89</c:v>
                </c:pt>
                <c:pt idx="33">
                  <c:v>94</c:v>
                </c:pt>
                <c:pt idx="34">
                  <c:v>95</c:v>
                </c:pt>
                <c:pt idx="35">
                  <c:v>92</c:v>
                </c:pt>
                <c:pt idx="36">
                  <c:v>97</c:v>
                </c:pt>
                <c:pt idx="37">
                  <c:v>90</c:v>
                </c:pt>
                <c:pt idx="38">
                  <c:v>87</c:v>
                </c:pt>
                <c:pt idx="39">
                  <c:v>86</c:v>
                </c:pt>
                <c:pt idx="40">
                  <c:v>93</c:v>
                </c:pt>
                <c:pt idx="41">
                  <c:v>97</c:v>
                </c:pt>
                <c:pt idx="42">
                  <c:v>87</c:v>
                </c:pt>
                <c:pt idx="43">
                  <c:v>89</c:v>
                </c:pt>
                <c:pt idx="44">
                  <c:v>93</c:v>
                </c:pt>
                <c:pt idx="45">
                  <c:v>90</c:v>
                </c:pt>
                <c:pt idx="46">
                  <c:v>95</c:v>
                </c:pt>
                <c:pt idx="47">
                  <c:v>92</c:v>
                </c:pt>
                <c:pt idx="48">
                  <c:v>89</c:v>
                </c:pt>
                <c:pt idx="49">
                  <c:v>89</c:v>
                </c:pt>
                <c:pt idx="50">
                  <c:v>86</c:v>
                </c:pt>
                <c:pt idx="51">
                  <c:v>95</c:v>
                </c:pt>
                <c:pt idx="52">
                  <c:v>93</c:v>
                </c:pt>
                <c:pt idx="53">
                  <c:v>97</c:v>
                </c:pt>
                <c:pt idx="54">
                  <c:v>93</c:v>
                </c:pt>
                <c:pt idx="55">
                  <c:v>82</c:v>
                </c:pt>
                <c:pt idx="56">
                  <c:v>87</c:v>
                </c:pt>
                <c:pt idx="57">
                  <c:v>84</c:v>
                </c:pt>
                <c:pt idx="58">
                  <c:v>86</c:v>
                </c:pt>
                <c:pt idx="59">
                  <c:v>90</c:v>
                </c:pt>
                <c:pt idx="60">
                  <c:v>87</c:v>
                </c:pt>
                <c:pt idx="61">
                  <c:v>90</c:v>
                </c:pt>
                <c:pt idx="62">
                  <c:v>94</c:v>
                </c:pt>
                <c:pt idx="63">
                  <c:v>95</c:v>
                </c:pt>
                <c:pt idx="64">
                  <c:v>90</c:v>
                </c:pt>
                <c:pt idx="65">
                  <c:v>91</c:v>
                </c:pt>
                <c:pt idx="66">
                  <c:v>92</c:v>
                </c:pt>
                <c:pt idx="67">
                  <c:v>90</c:v>
                </c:pt>
                <c:pt idx="68">
                  <c:v>85</c:v>
                </c:pt>
                <c:pt idx="69">
                  <c:v>91</c:v>
                </c:pt>
                <c:pt idx="70">
                  <c:v>89</c:v>
                </c:pt>
                <c:pt idx="71">
                  <c:v>92</c:v>
                </c:pt>
                <c:pt idx="72">
                  <c:v>89</c:v>
                </c:pt>
                <c:pt idx="73">
                  <c:v>89</c:v>
                </c:pt>
                <c:pt idx="74">
                  <c:v>87</c:v>
                </c:pt>
                <c:pt idx="75">
                  <c:v>87</c:v>
                </c:pt>
                <c:pt idx="76">
                  <c:v>90</c:v>
                </c:pt>
                <c:pt idx="77">
                  <c:v>85</c:v>
                </c:pt>
                <c:pt idx="78">
                  <c:v>92</c:v>
                </c:pt>
                <c:pt idx="79">
                  <c:v>86</c:v>
                </c:pt>
                <c:pt idx="80">
                  <c:v>88</c:v>
                </c:pt>
                <c:pt idx="81">
                  <c:v>91</c:v>
                </c:pt>
                <c:pt idx="82">
                  <c:v>85</c:v>
                </c:pt>
                <c:pt idx="83">
                  <c:v>90</c:v>
                </c:pt>
                <c:pt idx="84">
                  <c:v>85</c:v>
                </c:pt>
                <c:pt idx="85">
                  <c:v>92</c:v>
                </c:pt>
                <c:pt idx="86">
                  <c:v>81</c:v>
                </c:pt>
                <c:pt idx="87">
                  <c:v>92</c:v>
                </c:pt>
                <c:pt idx="88">
                  <c:v>91</c:v>
                </c:pt>
                <c:pt idx="89">
                  <c:v>91</c:v>
                </c:pt>
                <c:pt idx="90">
                  <c:v>90</c:v>
                </c:pt>
                <c:pt idx="91">
                  <c:v>88</c:v>
                </c:pt>
                <c:pt idx="92">
                  <c:v>85</c:v>
                </c:pt>
                <c:pt idx="93">
                  <c:v>88</c:v>
                </c:pt>
                <c:pt idx="94">
                  <c:v>90</c:v>
                </c:pt>
                <c:pt idx="95">
                  <c:v>84</c:v>
                </c:pt>
                <c:pt idx="96">
                  <c:v>84</c:v>
                </c:pt>
                <c:pt idx="97">
                  <c:v>86</c:v>
                </c:pt>
                <c:pt idx="98">
                  <c:v>86</c:v>
                </c:pt>
                <c:pt idx="99">
                  <c:v>87</c:v>
                </c:pt>
                <c:pt idx="100">
                  <c:v>89</c:v>
                </c:pt>
                <c:pt idx="101">
                  <c:v>94</c:v>
                </c:pt>
                <c:pt idx="102">
                  <c:v>84</c:v>
                </c:pt>
                <c:pt idx="103">
                  <c:v>83</c:v>
                </c:pt>
                <c:pt idx="104">
                  <c:v>91</c:v>
                </c:pt>
                <c:pt idx="105">
                  <c:v>87</c:v>
                </c:pt>
                <c:pt idx="106">
                  <c:v>84</c:v>
                </c:pt>
                <c:pt idx="107">
                  <c:v>83</c:v>
                </c:pt>
                <c:pt idx="108">
                  <c:v>87</c:v>
                </c:pt>
                <c:pt idx="109">
                  <c:v>79</c:v>
                </c:pt>
                <c:pt idx="110">
                  <c:v>89</c:v>
                </c:pt>
                <c:pt idx="111">
                  <c:v>85</c:v>
                </c:pt>
                <c:pt idx="112">
                  <c:v>86</c:v>
                </c:pt>
                <c:pt idx="113">
                  <c:v>84</c:v>
                </c:pt>
                <c:pt idx="114">
                  <c:v>90</c:v>
                </c:pt>
                <c:pt idx="115">
                  <c:v>85</c:v>
                </c:pt>
                <c:pt idx="116">
                  <c:v>88</c:v>
                </c:pt>
                <c:pt idx="117">
                  <c:v>87</c:v>
                </c:pt>
                <c:pt idx="118">
                  <c:v>90</c:v>
                </c:pt>
                <c:pt idx="119">
                  <c:v>88</c:v>
                </c:pt>
                <c:pt idx="120">
                  <c:v>90</c:v>
                </c:pt>
                <c:pt idx="121">
                  <c:v>90</c:v>
                </c:pt>
                <c:pt idx="122">
                  <c:v>82</c:v>
                </c:pt>
                <c:pt idx="123">
                  <c:v>87</c:v>
                </c:pt>
                <c:pt idx="124">
                  <c:v>84</c:v>
                </c:pt>
                <c:pt idx="125">
                  <c:v>90</c:v>
                </c:pt>
                <c:pt idx="126">
                  <c:v>81</c:v>
                </c:pt>
                <c:pt idx="127">
                  <c:v>81</c:v>
                </c:pt>
                <c:pt idx="128">
                  <c:v>82</c:v>
                </c:pt>
                <c:pt idx="129">
                  <c:v>88</c:v>
                </c:pt>
                <c:pt idx="130">
                  <c:v>84</c:v>
                </c:pt>
                <c:pt idx="131">
                  <c:v>85</c:v>
                </c:pt>
                <c:pt idx="132">
                  <c:v>82</c:v>
                </c:pt>
                <c:pt idx="133">
                  <c:v>78</c:v>
                </c:pt>
                <c:pt idx="134">
                  <c:v>86</c:v>
                </c:pt>
                <c:pt idx="135">
                  <c:v>78</c:v>
                </c:pt>
                <c:pt idx="136">
                  <c:v>85</c:v>
                </c:pt>
                <c:pt idx="137">
                  <c:v>92</c:v>
                </c:pt>
                <c:pt idx="138">
                  <c:v>86</c:v>
                </c:pt>
                <c:pt idx="139">
                  <c:v>86</c:v>
                </c:pt>
                <c:pt idx="140">
                  <c:v>84</c:v>
                </c:pt>
                <c:pt idx="141">
                  <c:v>88</c:v>
                </c:pt>
                <c:pt idx="142">
                  <c:v>87</c:v>
                </c:pt>
                <c:pt idx="143">
                  <c:v>88</c:v>
                </c:pt>
                <c:pt idx="144">
                  <c:v>84</c:v>
                </c:pt>
                <c:pt idx="145">
                  <c:v>82</c:v>
                </c:pt>
                <c:pt idx="146">
                  <c:v>83</c:v>
                </c:pt>
                <c:pt idx="147">
                  <c:v>84</c:v>
                </c:pt>
                <c:pt idx="148">
                  <c:v>89</c:v>
                </c:pt>
                <c:pt idx="149">
                  <c:v>84</c:v>
                </c:pt>
                <c:pt idx="150">
                  <c:v>81</c:v>
                </c:pt>
                <c:pt idx="151">
                  <c:v>89</c:v>
                </c:pt>
                <c:pt idx="152">
                  <c:v>82</c:v>
                </c:pt>
                <c:pt idx="153">
                  <c:v>84</c:v>
                </c:pt>
                <c:pt idx="154">
                  <c:v>84</c:v>
                </c:pt>
                <c:pt idx="155">
                  <c:v>82</c:v>
                </c:pt>
                <c:pt idx="156">
                  <c:v>86</c:v>
                </c:pt>
                <c:pt idx="157">
                  <c:v>83</c:v>
                </c:pt>
                <c:pt idx="158">
                  <c:v>81</c:v>
                </c:pt>
                <c:pt idx="159">
                  <c:v>85</c:v>
                </c:pt>
                <c:pt idx="160">
                  <c:v>82</c:v>
                </c:pt>
                <c:pt idx="161">
                  <c:v>83</c:v>
                </c:pt>
                <c:pt idx="162">
                  <c:v>81</c:v>
                </c:pt>
                <c:pt idx="163">
                  <c:v>80</c:v>
                </c:pt>
                <c:pt idx="164">
                  <c:v>73</c:v>
                </c:pt>
                <c:pt idx="165">
                  <c:v>84</c:v>
                </c:pt>
                <c:pt idx="166">
                  <c:v>82</c:v>
                </c:pt>
                <c:pt idx="167">
                  <c:v>82</c:v>
                </c:pt>
                <c:pt idx="168">
                  <c:v>85</c:v>
                </c:pt>
                <c:pt idx="169">
                  <c:v>84</c:v>
                </c:pt>
                <c:pt idx="170">
                  <c:v>85</c:v>
                </c:pt>
                <c:pt idx="171">
                  <c:v>83</c:v>
                </c:pt>
                <c:pt idx="172">
                  <c:v>84</c:v>
                </c:pt>
                <c:pt idx="173">
                  <c:v>81</c:v>
                </c:pt>
                <c:pt idx="174">
                  <c:v>77</c:v>
                </c:pt>
                <c:pt idx="175">
                  <c:v>81</c:v>
                </c:pt>
                <c:pt idx="176">
                  <c:v>81</c:v>
                </c:pt>
                <c:pt idx="177">
                  <c:v>78</c:v>
                </c:pt>
                <c:pt idx="178">
                  <c:v>86</c:v>
                </c:pt>
                <c:pt idx="179">
                  <c:v>81</c:v>
                </c:pt>
                <c:pt idx="180">
                  <c:v>80</c:v>
                </c:pt>
                <c:pt idx="181">
                  <c:v>74</c:v>
                </c:pt>
                <c:pt idx="182">
                  <c:v>82</c:v>
                </c:pt>
                <c:pt idx="183">
                  <c:v>83</c:v>
                </c:pt>
                <c:pt idx="184">
                  <c:v>81</c:v>
                </c:pt>
                <c:pt idx="185">
                  <c:v>78</c:v>
                </c:pt>
                <c:pt idx="186">
                  <c:v>86</c:v>
                </c:pt>
                <c:pt idx="187">
                  <c:v>87</c:v>
                </c:pt>
                <c:pt idx="188">
                  <c:v>78</c:v>
                </c:pt>
                <c:pt idx="189">
                  <c:v>82</c:v>
                </c:pt>
                <c:pt idx="190">
                  <c:v>73</c:v>
                </c:pt>
                <c:pt idx="191">
                  <c:v>76</c:v>
                </c:pt>
                <c:pt idx="192">
                  <c:v>75</c:v>
                </c:pt>
                <c:pt idx="193">
                  <c:v>80</c:v>
                </c:pt>
                <c:pt idx="194">
                  <c:v>81</c:v>
                </c:pt>
                <c:pt idx="195">
                  <c:v>84</c:v>
                </c:pt>
                <c:pt idx="196">
                  <c:v>81</c:v>
                </c:pt>
                <c:pt idx="197">
                  <c:v>82</c:v>
                </c:pt>
                <c:pt idx="198">
                  <c:v>83</c:v>
                </c:pt>
                <c:pt idx="199">
                  <c:v>84</c:v>
                </c:pt>
                <c:pt idx="200">
                  <c:v>79</c:v>
                </c:pt>
                <c:pt idx="201">
                  <c:v>89</c:v>
                </c:pt>
                <c:pt idx="202">
                  <c:v>73</c:v>
                </c:pt>
                <c:pt idx="203">
                  <c:v>84</c:v>
                </c:pt>
                <c:pt idx="204">
                  <c:v>80</c:v>
                </c:pt>
                <c:pt idx="205">
                  <c:v>83</c:v>
                </c:pt>
                <c:pt idx="206">
                  <c:v>74</c:v>
                </c:pt>
                <c:pt idx="207">
                  <c:v>77</c:v>
                </c:pt>
                <c:pt idx="208">
                  <c:v>74</c:v>
                </c:pt>
                <c:pt idx="209">
                  <c:v>78</c:v>
                </c:pt>
                <c:pt idx="210">
                  <c:v>80</c:v>
                </c:pt>
                <c:pt idx="211">
                  <c:v>86</c:v>
                </c:pt>
                <c:pt idx="212">
                  <c:v>79</c:v>
                </c:pt>
                <c:pt idx="213">
                  <c:v>79</c:v>
                </c:pt>
                <c:pt idx="214">
                  <c:v>79</c:v>
                </c:pt>
                <c:pt idx="215">
                  <c:v>76</c:v>
                </c:pt>
                <c:pt idx="216">
                  <c:v>86</c:v>
                </c:pt>
                <c:pt idx="217">
                  <c:v>82</c:v>
                </c:pt>
                <c:pt idx="218">
                  <c:v>86</c:v>
                </c:pt>
                <c:pt idx="219">
                  <c:v>80</c:v>
                </c:pt>
                <c:pt idx="220">
                  <c:v>77</c:v>
                </c:pt>
                <c:pt idx="221">
                  <c:v>77</c:v>
                </c:pt>
                <c:pt idx="222">
                  <c:v>79</c:v>
                </c:pt>
                <c:pt idx="223">
                  <c:v>80</c:v>
                </c:pt>
                <c:pt idx="224">
                  <c:v>84</c:v>
                </c:pt>
                <c:pt idx="225">
                  <c:v>84</c:v>
                </c:pt>
                <c:pt idx="226">
                  <c:v>77</c:v>
                </c:pt>
                <c:pt idx="227">
                  <c:v>86</c:v>
                </c:pt>
                <c:pt idx="228">
                  <c:v>78</c:v>
                </c:pt>
                <c:pt idx="229">
                  <c:v>78</c:v>
                </c:pt>
                <c:pt idx="230">
                  <c:v>75</c:v>
                </c:pt>
                <c:pt idx="231">
                  <c:v>82</c:v>
                </c:pt>
                <c:pt idx="232">
                  <c:v>85</c:v>
                </c:pt>
                <c:pt idx="233">
                  <c:v>78</c:v>
                </c:pt>
                <c:pt idx="234">
                  <c:v>78</c:v>
                </c:pt>
                <c:pt idx="235">
                  <c:v>75</c:v>
                </c:pt>
                <c:pt idx="236">
                  <c:v>75</c:v>
                </c:pt>
                <c:pt idx="237">
                  <c:v>79</c:v>
                </c:pt>
                <c:pt idx="238">
                  <c:v>72</c:v>
                </c:pt>
                <c:pt idx="239">
                  <c:v>79</c:v>
                </c:pt>
                <c:pt idx="240">
                  <c:v>84</c:v>
                </c:pt>
                <c:pt idx="241">
                  <c:v>79</c:v>
                </c:pt>
                <c:pt idx="242">
                  <c:v>83</c:v>
                </c:pt>
                <c:pt idx="243">
                  <c:v>75</c:v>
                </c:pt>
                <c:pt idx="244">
                  <c:v>76</c:v>
                </c:pt>
                <c:pt idx="245">
                  <c:v>80</c:v>
                </c:pt>
                <c:pt idx="246">
                  <c:v>84</c:v>
                </c:pt>
                <c:pt idx="247">
                  <c:v>75</c:v>
                </c:pt>
                <c:pt idx="248">
                  <c:v>81</c:v>
                </c:pt>
                <c:pt idx="249">
                  <c:v>77</c:v>
                </c:pt>
                <c:pt idx="250">
                  <c:v>83</c:v>
                </c:pt>
                <c:pt idx="251">
                  <c:v>83</c:v>
                </c:pt>
                <c:pt idx="252">
                  <c:v>81</c:v>
                </c:pt>
                <c:pt idx="253">
                  <c:v>73</c:v>
                </c:pt>
                <c:pt idx="254">
                  <c:v>75</c:v>
                </c:pt>
                <c:pt idx="255">
                  <c:v>74</c:v>
                </c:pt>
                <c:pt idx="256">
                  <c:v>81</c:v>
                </c:pt>
                <c:pt idx="257">
                  <c:v>86</c:v>
                </c:pt>
                <c:pt idx="258">
                  <c:v>83</c:v>
                </c:pt>
                <c:pt idx="259">
                  <c:v>81</c:v>
                </c:pt>
                <c:pt idx="260">
                  <c:v>79</c:v>
                </c:pt>
                <c:pt idx="261">
                  <c:v>77</c:v>
                </c:pt>
                <c:pt idx="262">
                  <c:v>75</c:v>
                </c:pt>
                <c:pt idx="263">
                  <c:v>76</c:v>
                </c:pt>
                <c:pt idx="264">
                  <c:v>79</c:v>
                </c:pt>
                <c:pt idx="265">
                  <c:v>76</c:v>
                </c:pt>
                <c:pt idx="266">
                  <c:v>72</c:v>
                </c:pt>
                <c:pt idx="267">
                  <c:v>81</c:v>
                </c:pt>
                <c:pt idx="268">
                  <c:v>78</c:v>
                </c:pt>
                <c:pt idx="269">
                  <c:v>83</c:v>
                </c:pt>
                <c:pt idx="270">
                  <c:v>73</c:v>
                </c:pt>
                <c:pt idx="271">
                  <c:v>76</c:v>
                </c:pt>
                <c:pt idx="272">
                  <c:v>79</c:v>
                </c:pt>
                <c:pt idx="273">
                  <c:v>80</c:v>
                </c:pt>
                <c:pt idx="274">
                  <c:v>79</c:v>
                </c:pt>
                <c:pt idx="275">
                  <c:v>75</c:v>
                </c:pt>
                <c:pt idx="276">
                  <c:v>75</c:v>
                </c:pt>
                <c:pt idx="277">
                  <c:v>82</c:v>
                </c:pt>
                <c:pt idx="278">
                  <c:v>80</c:v>
                </c:pt>
                <c:pt idx="279">
                  <c:v>82</c:v>
                </c:pt>
                <c:pt idx="280">
                  <c:v>75</c:v>
                </c:pt>
                <c:pt idx="281">
                  <c:v>78</c:v>
                </c:pt>
                <c:pt idx="282">
                  <c:v>79</c:v>
                </c:pt>
                <c:pt idx="283">
                  <c:v>81</c:v>
                </c:pt>
                <c:pt idx="284">
                  <c:v>80</c:v>
                </c:pt>
                <c:pt idx="285">
                  <c:v>81</c:v>
                </c:pt>
                <c:pt idx="286">
                  <c:v>81</c:v>
                </c:pt>
                <c:pt idx="287">
                  <c:v>78</c:v>
                </c:pt>
                <c:pt idx="288">
                  <c:v>76</c:v>
                </c:pt>
                <c:pt idx="289">
                  <c:v>77</c:v>
                </c:pt>
                <c:pt idx="290">
                  <c:v>76</c:v>
                </c:pt>
                <c:pt idx="291">
                  <c:v>77</c:v>
                </c:pt>
                <c:pt idx="292">
                  <c:v>81</c:v>
                </c:pt>
                <c:pt idx="293">
                  <c:v>78</c:v>
                </c:pt>
                <c:pt idx="294">
                  <c:v>73</c:v>
                </c:pt>
                <c:pt idx="295">
                  <c:v>73</c:v>
                </c:pt>
                <c:pt idx="296">
                  <c:v>81</c:v>
                </c:pt>
                <c:pt idx="297">
                  <c:v>76</c:v>
                </c:pt>
                <c:pt idx="298">
                  <c:v>74</c:v>
                </c:pt>
                <c:pt idx="299">
                  <c:v>71</c:v>
                </c:pt>
                <c:pt idx="300">
                  <c:v>74</c:v>
                </c:pt>
                <c:pt idx="301">
                  <c:v>77</c:v>
                </c:pt>
                <c:pt idx="302">
                  <c:v>77</c:v>
                </c:pt>
                <c:pt idx="303">
                  <c:v>71</c:v>
                </c:pt>
                <c:pt idx="304">
                  <c:v>73</c:v>
                </c:pt>
                <c:pt idx="305">
                  <c:v>79</c:v>
                </c:pt>
                <c:pt idx="306">
                  <c:v>79</c:v>
                </c:pt>
                <c:pt idx="307">
                  <c:v>78</c:v>
                </c:pt>
                <c:pt idx="308">
                  <c:v>78</c:v>
                </c:pt>
                <c:pt idx="309">
                  <c:v>82</c:v>
                </c:pt>
                <c:pt idx="310">
                  <c:v>75</c:v>
                </c:pt>
                <c:pt idx="311">
                  <c:v>85</c:v>
                </c:pt>
                <c:pt idx="312">
                  <c:v>78</c:v>
                </c:pt>
                <c:pt idx="313">
                  <c:v>80</c:v>
                </c:pt>
                <c:pt idx="314">
                  <c:v>77</c:v>
                </c:pt>
                <c:pt idx="315">
                  <c:v>77</c:v>
                </c:pt>
                <c:pt idx="316">
                  <c:v>75</c:v>
                </c:pt>
                <c:pt idx="317">
                  <c:v>74</c:v>
                </c:pt>
                <c:pt idx="318">
                  <c:v>71</c:v>
                </c:pt>
                <c:pt idx="319">
                  <c:v>75</c:v>
                </c:pt>
                <c:pt idx="320">
                  <c:v>80</c:v>
                </c:pt>
                <c:pt idx="321">
                  <c:v>77</c:v>
                </c:pt>
                <c:pt idx="322">
                  <c:v>76</c:v>
                </c:pt>
                <c:pt idx="323">
                  <c:v>74</c:v>
                </c:pt>
                <c:pt idx="324">
                  <c:v>78</c:v>
                </c:pt>
                <c:pt idx="325">
                  <c:v>78</c:v>
                </c:pt>
                <c:pt idx="326">
                  <c:v>77</c:v>
                </c:pt>
                <c:pt idx="327">
                  <c:v>82</c:v>
                </c:pt>
                <c:pt idx="328">
                  <c:v>78</c:v>
                </c:pt>
                <c:pt idx="329">
                  <c:v>75</c:v>
                </c:pt>
                <c:pt idx="330">
                  <c:v>68</c:v>
                </c:pt>
                <c:pt idx="331">
                  <c:v>78</c:v>
                </c:pt>
                <c:pt idx="332">
                  <c:v>66</c:v>
                </c:pt>
                <c:pt idx="333">
                  <c:v>73</c:v>
                </c:pt>
                <c:pt idx="334">
                  <c:v>71</c:v>
                </c:pt>
                <c:pt idx="335">
                  <c:v>79</c:v>
                </c:pt>
                <c:pt idx="336">
                  <c:v>76</c:v>
                </c:pt>
                <c:pt idx="337">
                  <c:v>78</c:v>
                </c:pt>
                <c:pt idx="338">
                  <c:v>74</c:v>
                </c:pt>
                <c:pt idx="339">
                  <c:v>74</c:v>
                </c:pt>
                <c:pt idx="340">
                  <c:v>72</c:v>
                </c:pt>
                <c:pt idx="341">
                  <c:v>80</c:v>
                </c:pt>
                <c:pt idx="342">
                  <c:v>79</c:v>
                </c:pt>
                <c:pt idx="343">
                  <c:v>76</c:v>
                </c:pt>
                <c:pt idx="344">
                  <c:v>74</c:v>
                </c:pt>
                <c:pt idx="345">
                  <c:v>68</c:v>
                </c:pt>
                <c:pt idx="346">
                  <c:v>71</c:v>
                </c:pt>
                <c:pt idx="347">
                  <c:v>72</c:v>
                </c:pt>
                <c:pt idx="348">
                  <c:v>78</c:v>
                </c:pt>
                <c:pt idx="349">
                  <c:v>74</c:v>
                </c:pt>
                <c:pt idx="350">
                  <c:v>81</c:v>
                </c:pt>
                <c:pt idx="351">
                  <c:v>74</c:v>
                </c:pt>
                <c:pt idx="352">
                  <c:v>72</c:v>
                </c:pt>
                <c:pt idx="353">
                  <c:v>76</c:v>
                </c:pt>
                <c:pt idx="354">
                  <c:v>73</c:v>
                </c:pt>
                <c:pt idx="355">
                  <c:v>71</c:v>
                </c:pt>
                <c:pt idx="356">
                  <c:v>77</c:v>
                </c:pt>
                <c:pt idx="357">
                  <c:v>78</c:v>
                </c:pt>
                <c:pt idx="358">
                  <c:v>72</c:v>
                </c:pt>
                <c:pt idx="359">
                  <c:v>72</c:v>
                </c:pt>
                <c:pt idx="360">
                  <c:v>74</c:v>
                </c:pt>
                <c:pt idx="361">
                  <c:v>74</c:v>
                </c:pt>
                <c:pt idx="362">
                  <c:v>72</c:v>
                </c:pt>
                <c:pt idx="363">
                  <c:v>76</c:v>
                </c:pt>
                <c:pt idx="364">
                  <c:v>70</c:v>
                </c:pt>
                <c:pt idx="365">
                  <c:v>74</c:v>
                </c:pt>
                <c:pt idx="366">
                  <c:v>72</c:v>
                </c:pt>
                <c:pt idx="367">
                  <c:v>72</c:v>
                </c:pt>
                <c:pt idx="368">
                  <c:v>76</c:v>
                </c:pt>
                <c:pt idx="369">
                  <c:v>74</c:v>
                </c:pt>
                <c:pt idx="370">
                  <c:v>73</c:v>
                </c:pt>
                <c:pt idx="371">
                  <c:v>76</c:v>
                </c:pt>
                <c:pt idx="372">
                  <c:v>70</c:v>
                </c:pt>
                <c:pt idx="373">
                  <c:v>76</c:v>
                </c:pt>
                <c:pt idx="374">
                  <c:v>75</c:v>
                </c:pt>
                <c:pt idx="375">
                  <c:v>71</c:v>
                </c:pt>
                <c:pt idx="376">
                  <c:v>74</c:v>
                </c:pt>
                <c:pt idx="377">
                  <c:v>77</c:v>
                </c:pt>
                <c:pt idx="378">
                  <c:v>74</c:v>
                </c:pt>
                <c:pt idx="379">
                  <c:v>77</c:v>
                </c:pt>
                <c:pt idx="380">
                  <c:v>75</c:v>
                </c:pt>
                <c:pt idx="381">
                  <c:v>77</c:v>
                </c:pt>
                <c:pt idx="382">
                  <c:v>77</c:v>
                </c:pt>
                <c:pt idx="383">
                  <c:v>76</c:v>
                </c:pt>
                <c:pt idx="384">
                  <c:v>73</c:v>
                </c:pt>
                <c:pt idx="385">
                  <c:v>77</c:v>
                </c:pt>
                <c:pt idx="386">
                  <c:v>72</c:v>
                </c:pt>
                <c:pt idx="387">
                  <c:v>70</c:v>
                </c:pt>
                <c:pt idx="388">
                  <c:v>74</c:v>
                </c:pt>
                <c:pt idx="389">
                  <c:v>71</c:v>
                </c:pt>
                <c:pt idx="390">
                  <c:v>74</c:v>
                </c:pt>
                <c:pt idx="391">
                  <c:v>75</c:v>
                </c:pt>
                <c:pt idx="392">
                  <c:v>70</c:v>
                </c:pt>
                <c:pt idx="393">
                  <c:v>73</c:v>
                </c:pt>
                <c:pt idx="394">
                  <c:v>66</c:v>
                </c:pt>
                <c:pt idx="395">
                  <c:v>71</c:v>
                </c:pt>
                <c:pt idx="396">
                  <c:v>73</c:v>
                </c:pt>
                <c:pt idx="397">
                  <c:v>78</c:v>
                </c:pt>
                <c:pt idx="398">
                  <c:v>71</c:v>
                </c:pt>
                <c:pt idx="399">
                  <c:v>76</c:v>
                </c:pt>
                <c:pt idx="400">
                  <c:v>75</c:v>
                </c:pt>
                <c:pt idx="401">
                  <c:v>77</c:v>
                </c:pt>
                <c:pt idx="402">
                  <c:v>68</c:v>
                </c:pt>
                <c:pt idx="403">
                  <c:v>71</c:v>
                </c:pt>
                <c:pt idx="404">
                  <c:v>67</c:v>
                </c:pt>
                <c:pt idx="405">
                  <c:v>77</c:v>
                </c:pt>
                <c:pt idx="406">
                  <c:v>73</c:v>
                </c:pt>
                <c:pt idx="407">
                  <c:v>74</c:v>
                </c:pt>
                <c:pt idx="408">
                  <c:v>74</c:v>
                </c:pt>
                <c:pt idx="409">
                  <c:v>78</c:v>
                </c:pt>
                <c:pt idx="410">
                  <c:v>74</c:v>
                </c:pt>
                <c:pt idx="411">
                  <c:v>72</c:v>
                </c:pt>
                <c:pt idx="412">
                  <c:v>74</c:v>
                </c:pt>
                <c:pt idx="413">
                  <c:v>70</c:v>
                </c:pt>
                <c:pt idx="414">
                  <c:v>67</c:v>
                </c:pt>
                <c:pt idx="415">
                  <c:v>76</c:v>
                </c:pt>
                <c:pt idx="416">
                  <c:v>75</c:v>
                </c:pt>
                <c:pt idx="417">
                  <c:v>69</c:v>
                </c:pt>
                <c:pt idx="418">
                  <c:v>69</c:v>
                </c:pt>
                <c:pt idx="419">
                  <c:v>72</c:v>
                </c:pt>
                <c:pt idx="420">
                  <c:v>74</c:v>
                </c:pt>
                <c:pt idx="421">
                  <c:v>72</c:v>
                </c:pt>
                <c:pt idx="422">
                  <c:v>70</c:v>
                </c:pt>
                <c:pt idx="423">
                  <c:v>74</c:v>
                </c:pt>
                <c:pt idx="424">
                  <c:v>66</c:v>
                </c:pt>
                <c:pt idx="425">
                  <c:v>76</c:v>
                </c:pt>
                <c:pt idx="426">
                  <c:v>75</c:v>
                </c:pt>
                <c:pt idx="427">
                  <c:v>67</c:v>
                </c:pt>
                <c:pt idx="428">
                  <c:v>69</c:v>
                </c:pt>
                <c:pt idx="429">
                  <c:v>71</c:v>
                </c:pt>
                <c:pt idx="430">
                  <c:v>76</c:v>
                </c:pt>
                <c:pt idx="431">
                  <c:v>68</c:v>
                </c:pt>
                <c:pt idx="432">
                  <c:v>75</c:v>
                </c:pt>
                <c:pt idx="433">
                  <c:v>70</c:v>
                </c:pt>
                <c:pt idx="434">
                  <c:v>69</c:v>
                </c:pt>
                <c:pt idx="435">
                  <c:v>67</c:v>
                </c:pt>
                <c:pt idx="436">
                  <c:v>64</c:v>
                </c:pt>
                <c:pt idx="437">
                  <c:v>66</c:v>
                </c:pt>
                <c:pt idx="438">
                  <c:v>75</c:v>
                </c:pt>
                <c:pt idx="439">
                  <c:v>72</c:v>
                </c:pt>
                <c:pt idx="440">
                  <c:v>74</c:v>
                </c:pt>
                <c:pt idx="441">
                  <c:v>70</c:v>
                </c:pt>
                <c:pt idx="442">
                  <c:v>74</c:v>
                </c:pt>
                <c:pt idx="443">
                  <c:v>67</c:v>
                </c:pt>
                <c:pt idx="444">
                  <c:v>74</c:v>
                </c:pt>
                <c:pt idx="445">
                  <c:v>69</c:v>
                </c:pt>
                <c:pt idx="446">
                  <c:v>72</c:v>
                </c:pt>
                <c:pt idx="447">
                  <c:v>73</c:v>
                </c:pt>
                <c:pt idx="448">
                  <c:v>68</c:v>
                </c:pt>
                <c:pt idx="449">
                  <c:v>73</c:v>
                </c:pt>
                <c:pt idx="450">
                  <c:v>65</c:v>
                </c:pt>
                <c:pt idx="451">
                  <c:v>72</c:v>
                </c:pt>
                <c:pt idx="452">
                  <c:v>70</c:v>
                </c:pt>
                <c:pt idx="453">
                  <c:v>74</c:v>
                </c:pt>
                <c:pt idx="454">
                  <c:v>74</c:v>
                </c:pt>
                <c:pt idx="455">
                  <c:v>68</c:v>
                </c:pt>
                <c:pt idx="456">
                  <c:v>68</c:v>
                </c:pt>
                <c:pt idx="457">
                  <c:v>68</c:v>
                </c:pt>
                <c:pt idx="458">
                  <c:v>73</c:v>
                </c:pt>
                <c:pt idx="459">
                  <c:v>79</c:v>
                </c:pt>
                <c:pt idx="460">
                  <c:v>73</c:v>
                </c:pt>
                <c:pt idx="461">
                  <c:v>70</c:v>
                </c:pt>
                <c:pt idx="462">
                  <c:v>76</c:v>
                </c:pt>
                <c:pt idx="463">
                  <c:v>68</c:v>
                </c:pt>
                <c:pt idx="464">
                  <c:v>72</c:v>
                </c:pt>
                <c:pt idx="465">
                  <c:v>62</c:v>
                </c:pt>
                <c:pt idx="466">
                  <c:v>64</c:v>
                </c:pt>
                <c:pt idx="467">
                  <c:v>72</c:v>
                </c:pt>
                <c:pt idx="468">
                  <c:v>69</c:v>
                </c:pt>
                <c:pt idx="469">
                  <c:v>74</c:v>
                </c:pt>
                <c:pt idx="470">
                  <c:v>72</c:v>
                </c:pt>
                <c:pt idx="471">
                  <c:v>73</c:v>
                </c:pt>
                <c:pt idx="472">
                  <c:v>63</c:v>
                </c:pt>
                <c:pt idx="473">
                  <c:v>70</c:v>
                </c:pt>
                <c:pt idx="474">
                  <c:v>70</c:v>
                </c:pt>
                <c:pt idx="475">
                  <c:v>72</c:v>
                </c:pt>
                <c:pt idx="476">
                  <c:v>68</c:v>
                </c:pt>
                <c:pt idx="477">
                  <c:v>73</c:v>
                </c:pt>
                <c:pt idx="478">
                  <c:v>73</c:v>
                </c:pt>
                <c:pt idx="479">
                  <c:v>67</c:v>
                </c:pt>
                <c:pt idx="480">
                  <c:v>71</c:v>
                </c:pt>
                <c:pt idx="481">
                  <c:v>66</c:v>
                </c:pt>
                <c:pt idx="482">
                  <c:v>65</c:v>
                </c:pt>
                <c:pt idx="483">
                  <c:v>72</c:v>
                </c:pt>
                <c:pt idx="484">
                  <c:v>67</c:v>
                </c:pt>
                <c:pt idx="485">
                  <c:v>71</c:v>
                </c:pt>
                <c:pt idx="486">
                  <c:v>75</c:v>
                </c:pt>
                <c:pt idx="487">
                  <c:v>69</c:v>
                </c:pt>
                <c:pt idx="488">
                  <c:v>72</c:v>
                </c:pt>
                <c:pt idx="489">
                  <c:v>67</c:v>
                </c:pt>
                <c:pt idx="490">
                  <c:v>73</c:v>
                </c:pt>
                <c:pt idx="491">
                  <c:v>67</c:v>
                </c:pt>
                <c:pt idx="492">
                  <c:v>62</c:v>
                </c:pt>
                <c:pt idx="493">
                  <c:v>70</c:v>
                </c:pt>
                <c:pt idx="494">
                  <c:v>60</c:v>
                </c:pt>
                <c:pt idx="495">
                  <c:v>70</c:v>
                </c:pt>
                <c:pt idx="496">
                  <c:v>72</c:v>
                </c:pt>
                <c:pt idx="497">
                  <c:v>73</c:v>
                </c:pt>
                <c:pt idx="498">
                  <c:v>70</c:v>
                </c:pt>
                <c:pt idx="499">
                  <c:v>66</c:v>
                </c:pt>
                <c:pt idx="500">
                  <c:v>70</c:v>
                </c:pt>
                <c:pt idx="501">
                  <c:v>71</c:v>
                </c:pt>
                <c:pt idx="502">
                  <c:v>72</c:v>
                </c:pt>
                <c:pt idx="503">
                  <c:v>69</c:v>
                </c:pt>
                <c:pt idx="504">
                  <c:v>67</c:v>
                </c:pt>
                <c:pt idx="505">
                  <c:v>62</c:v>
                </c:pt>
                <c:pt idx="506">
                  <c:v>68</c:v>
                </c:pt>
                <c:pt idx="507">
                  <c:v>66</c:v>
                </c:pt>
                <c:pt idx="508">
                  <c:v>70</c:v>
                </c:pt>
                <c:pt idx="509">
                  <c:v>78</c:v>
                </c:pt>
                <c:pt idx="510">
                  <c:v>70</c:v>
                </c:pt>
                <c:pt idx="511">
                  <c:v>66</c:v>
                </c:pt>
                <c:pt idx="512">
                  <c:v>61</c:v>
                </c:pt>
                <c:pt idx="513">
                  <c:v>62</c:v>
                </c:pt>
                <c:pt idx="514">
                  <c:v>73</c:v>
                </c:pt>
                <c:pt idx="515">
                  <c:v>66</c:v>
                </c:pt>
                <c:pt idx="516">
                  <c:v>64</c:v>
                </c:pt>
                <c:pt idx="517">
                  <c:v>69</c:v>
                </c:pt>
                <c:pt idx="518">
                  <c:v>72</c:v>
                </c:pt>
                <c:pt idx="519">
                  <c:v>64</c:v>
                </c:pt>
                <c:pt idx="520">
                  <c:v>67</c:v>
                </c:pt>
                <c:pt idx="521">
                  <c:v>65</c:v>
                </c:pt>
                <c:pt idx="522">
                  <c:v>70</c:v>
                </c:pt>
                <c:pt idx="523">
                  <c:v>71</c:v>
                </c:pt>
                <c:pt idx="524">
                  <c:v>68</c:v>
                </c:pt>
                <c:pt idx="525">
                  <c:v>68</c:v>
                </c:pt>
                <c:pt idx="526">
                  <c:v>69</c:v>
                </c:pt>
                <c:pt idx="527">
                  <c:v>73</c:v>
                </c:pt>
                <c:pt idx="528">
                  <c:v>64</c:v>
                </c:pt>
                <c:pt idx="529">
                  <c:v>67</c:v>
                </c:pt>
                <c:pt idx="530">
                  <c:v>72</c:v>
                </c:pt>
                <c:pt idx="531">
                  <c:v>72</c:v>
                </c:pt>
                <c:pt idx="532">
                  <c:v>69</c:v>
                </c:pt>
                <c:pt idx="533">
                  <c:v>68</c:v>
                </c:pt>
                <c:pt idx="534">
                  <c:v>76</c:v>
                </c:pt>
                <c:pt idx="535">
                  <c:v>67</c:v>
                </c:pt>
                <c:pt idx="536">
                  <c:v>68</c:v>
                </c:pt>
                <c:pt idx="537">
                  <c:v>60</c:v>
                </c:pt>
                <c:pt idx="538">
                  <c:v>64</c:v>
                </c:pt>
                <c:pt idx="539">
                  <c:v>64</c:v>
                </c:pt>
                <c:pt idx="540">
                  <c:v>62</c:v>
                </c:pt>
                <c:pt idx="541">
                  <c:v>68</c:v>
                </c:pt>
                <c:pt idx="542">
                  <c:v>64</c:v>
                </c:pt>
                <c:pt idx="543">
                  <c:v>64</c:v>
                </c:pt>
                <c:pt idx="544">
                  <c:v>67</c:v>
                </c:pt>
                <c:pt idx="545">
                  <c:v>63</c:v>
                </c:pt>
                <c:pt idx="546">
                  <c:v>73</c:v>
                </c:pt>
                <c:pt idx="547">
                  <c:v>66</c:v>
                </c:pt>
                <c:pt idx="548">
                  <c:v>67</c:v>
                </c:pt>
                <c:pt idx="549">
                  <c:v>68</c:v>
                </c:pt>
                <c:pt idx="550">
                  <c:v>61</c:v>
                </c:pt>
                <c:pt idx="551">
                  <c:v>66</c:v>
                </c:pt>
                <c:pt idx="552">
                  <c:v>66</c:v>
                </c:pt>
                <c:pt idx="553">
                  <c:v>70</c:v>
                </c:pt>
                <c:pt idx="554">
                  <c:v>61</c:v>
                </c:pt>
                <c:pt idx="555">
                  <c:v>67</c:v>
                </c:pt>
                <c:pt idx="556">
                  <c:v>66</c:v>
                </c:pt>
                <c:pt idx="557">
                  <c:v>66</c:v>
                </c:pt>
                <c:pt idx="558">
                  <c:v>67</c:v>
                </c:pt>
                <c:pt idx="559">
                  <c:v>66</c:v>
                </c:pt>
                <c:pt idx="560">
                  <c:v>64</c:v>
                </c:pt>
                <c:pt idx="561">
                  <c:v>70</c:v>
                </c:pt>
                <c:pt idx="562">
                  <c:v>70</c:v>
                </c:pt>
                <c:pt idx="563">
                  <c:v>68</c:v>
                </c:pt>
                <c:pt idx="564">
                  <c:v>66</c:v>
                </c:pt>
                <c:pt idx="565">
                  <c:v>58</c:v>
                </c:pt>
                <c:pt idx="566">
                  <c:v>65</c:v>
                </c:pt>
                <c:pt idx="567">
                  <c:v>71</c:v>
                </c:pt>
                <c:pt idx="568">
                  <c:v>71</c:v>
                </c:pt>
                <c:pt idx="569">
                  <c:v>63</c:v>
                </c:pt>
                <c:pt idx="570">
                  <c:v>67</c:v>
                </c:pt>
                <c:pt idx="571">
                  <c:v>69</c:v>
                </c:pt>
                <c:pt idx="572">
                  <c:v>63</c:v>
                </c:pt>
                <c:pt idx="573">
                  <c:v>67</c:v>
                </c:pt>
                <c:pt idx="574">
                  <c:v>70</c:v>
                </c:pt>
                <c:pt idx="575">
                  <c:v>64</c:v>
                </c:pt>
                <c:pt idx="576">
                  <c:v>65</c:v>
                </c:pt>
                <c:pt idx="577">
                  <c:v>68</c:v>
                </c:pt>
                <c:pt idx="578">
                  <c:v>64</c:v>
                </c:pt>
                <c:pt idx="579">
                  <c:v>72</c:v>
                </c:pt>
                <c:pt idx="580">
                  <c:v>66</c:v>
                </c:pt>
                <c:pt idx="581">
                  <c:v>63</c:v>
                </c:pt>
                <c:pt idx="582">
                  <c:v>69</c:v>
                </c:pt>
                <c:pt idx="583">
                  <c:v>63</c:v>
                </c:pt>
                <c:pt idx="584">
                  <c:v>65</c:v>
                </c:pt>
                <c:pt idx="585">
                  <c:v>63</c:v>
                </c:pt>
                <c:pt idx="586">
                  <c:v>67</c:v>
                </c:pt>
                <c:pt idx="587">
                  <c:v>70</c:v>
                </c:pt>
                <c:pt idx="588">
                  <c:v>64</c:v>
                </c:pt>
                <c:pt idx="589">
                  <c:v>64</c:v>
                </c:pt>
                <c:pt idx="590">
                  <c:v>62</c:v>
                </c:pt>
                <c:pt idx="591">
                  <c:v>64</c:v>
                </c:pt>
                <c:pt idx="592">
                  <c:v>60</c:v>
                </c:pt>
                <c:pt idx="593">
                  <c:v>64</c:v>
                </c:pt>
                <c:pt idx="594">
                  <c:v>60</c:v>
                </c:pt>
                <c:pt idx="595">
                  <c:v>66</c:v>
                </c:pt>
                <c:pt idx="596">
                  <c:v>68</c:v>
                </c:pt>
                <c:pt idx="597">
                  <c:v>66</c:v>
                </c:pt>
                <c:pt idx="598">
                  <c:v>64</c:v>
                </c:pt>
                <c:pt idx="599">
                  <c:v>71</c:v>
                </c:pt>
                <c:pt idx="600">
                  <c:v>67</c:v>
                </c:pt>
                <c:pt idx="601">
                  <c:v>67</c:v>
                </c:pt>
                <c:pt idx="602">
                  <c:v>65</c:v>
                </c:pt>
                <c:pt idx="603">
                  <c:v>63</c:v>
                </c:pt>
                <c:pt idx="604">
                  <c:v>57</c:v>
                </c:pt>
                <c:pt idx="605">
                  <c:v>65</c:v>
                </c:pt>
                <c:pt idx="606">
                  <c:v>67</c:v>
                </c:pt>
                <c:pt idx="607">
                  <c:v>64</c:v>
                </c:pt>
                <c:pt idx="608">
                  <c:v>67</c:v>
                </c:pt>
                <c:pt idx="609">
                  <c:v>62</c:v>
                </c:pt>
                <c:pt idx="610">
                  <c:v>65</c:v>
                </c:pt>
                <c:pt idx="611">
                  <c:v>69</c:v>
                </c:pt>
                <c:pt idx="612">
                  <c:v>59</c:v>
                </c:pt>
                <c:pt idx="613">
                  <c:v>66</c:v>
                </c:pt>
                <c:pt idx="614">
                  <c:v>64</c:v>
                </c:pt>
                <c:pt idx="615">
                  <c:v>92</c:v>
                </c:pt>
                <c:pt idx="616">
                  <c:v>72</c:v>
                </c:pt>
                <c:pt idx="617">
                  <c:v>73</c:v>
                </c:pt>
                <c:pt idx="618">
                  <c:v>68</c:v>
                </c:pt>
                <c:pt idx="619">
                  <c:v>63</c:v>
                </c:pt>
                <c:pt idx="620">
                  <c:v>67</c:v>
                </c:pt>
                <c:pt idx="621">
                  <c:v>99</c:v>
                </c:pt>
                <c:pt idx="622">
                  <c:v>67</c:v>
                </c:pt>
                <c:pt idx="623">
                  <c:v>60</c:v>
                </c:pt>
                <c:pt idx="624">
                  <c:v>64</c:v>
                </c:pt>
                <c:pt idx="625">
                  <c:v>62</c:v>
                </c:pt>
                <c:pt idx="626">
                  <c:v>67</c:v>
                </c:pt>
                <c:pt idx="627">
                  <c:v>68</c:v>
                </c:pt>
                <c:pt idx="628">
                  <c:v>57</c:v>
                </c:pt>
                <c:pt idx="629">
                  <c:v>56</c:v>
                </c:pt>
                <c:pt idx="630">
                  <c:v>65</c:v>
                </c:pt>
                <c:pt idx="631">
                  <c:v>64</c:v>
                </c:pt>
                <c:pt idx="632">
                  <c:v>63</c:v>
                </c:pt>
                <c:pt idx="633">
                  <c:v>63</c:v>
                </c:pt>
                <c:pt idx="634">
                  <c:v>63</c:v>
                </c:pt>
                <c:pt idx="635">
                  <c:v>62</c:v>
                </c:pt>
                <c:pt idx="636">
                  <c:v>61</c:v>
                </c:pt>
                <c:pt idx="637">
                  <c:v>61</c:v>
                </c:pt>
                <c:pt idx="638">
                  <c:v>63</c:v>
                </c:pt>
                <c:pt idx="639">
                  <c:v>64</c:v>
                </c:pt>
                <c:pt idx="640">
                  <c:v>72</c:v>
                </c:pt>
                <c:pt idx="641">
                  <c:v>65</c:v>
                </c:pt>
                <c:pt idx="642">
                  <c:v>70</c:v>
                </c:pt>
                <c:pt idx="643">
                  <c:v>65</c:v>
                </c:pt>
                <c:pt idx="644">
                  <c:v>61</c:v>
                </c:pt>
                <c:pt idx="645">
                  <c:v>58</c:v>
                </c:pt>
                <c:pt idx="646">
                  <c:v>61</c:v>
                </c:pt>
                <c:pt idx="647">
                  <c:v>54</c:v>
                </c:pt>
                <c:pt idx="648">
                  <c:v>65</c:v>
                </c:pt>
                <c:pt idx="649">
                  <c:v>62</c:v>
                </c:pt>
                <c:pt idx="650">
                  <c:v>63</c:v>
                </c:pt>
                <c:pt idx="651">
                  <c:v>60</c:v>
                </c:pt>
                <c:pt idx="652">
                  <c:v>64</c:v>
                </c:pt>
                <c:pt idx="653">
                  <c:v>62</c:v>
                </c:pt>
                <c:pt idx="654">
                  <c:v>59</c:v>
                </c:pt>
                <c:pt idx="655">
                  <c:v>57</c:v>
                </c:pt>
                <c:pt idx="656">
                  <c:v>60</c:v>
                </c:pt>
                <c:pt idx="657">
                  <c:v>65</c:v>
                </c:pt>
                <c:pt idx="658">
                  <c:v>65</c:v>
                </c:pt>
                <c:pt idx="659">
                  <c:v>62</c:v>
                </c:pt>
                <c:pt idx="660">
                  <c:v>61</c:v>
                </c:pt>
                <c:pt idx="661">
                  <c:v>63</c:v>
                </c:pt>
                <c:pt idx="662">
                  <c:v>90</c:v>
                </c:pt>
                <c:pt idx="663">
                  <c:v>62</c:v>
                </c:pt>
                <c:pt idx="664">
                  <c:v>55</c:v>
                </c:pt>
                <c:pt idx="665">
                  <c:v>55</c:v>
                </c:pt>
                <c:pt idx="666">
                  <c:v>60</c:v>
                </c:pt>
                <c:pt idx="667">
                  <c:v>63</c:v>
                </c:pt>
                <c:pt idx="668">
                  <c:v>58</c:v>
                </c:pt>
                <c:pt idx="669">
                  <c:v>64</c:v>
                </c:pt>
                <c:pt idx="670">
                  <c:v>57</c:v>
                </c:pt>
                <c:pt idx="671">
                  <c:v>60</c:v>
                </c:pt>
                <c:pt idx="672">
                  <c:v>60</c:v>
                </c:pt>
                <c:pt idx="673">
                  <c:v>61</c:v>
                </c:pt>
                <c:pt idx="674">
                  <c:v>58</c:v>
                </c:pt>
                <c:pt idx="675">
                  <c:v>95</c:v>
                </c:pt>
                <c:pt idx="676">
                  <c:v>67</c:v>
                </c:pt>
                <c:pt idx="677">
                  <c:v>54</c:v>
                </c:pt>
                <c:pt idx="678">
                  <c:v>66</c:v>
                </c:pt>
                <c:pt idx="679">
                  <c:v>64</c:v>
                </c:pt>
                <c:pt idx="680">
                  <c:v>62</c:v>
                </c:pt>
                <c:pt idx="681">
                  <c:v>58</c:v>
                </c:pt>
                <c:pt idx="682">
                  <c:v>66</c:v>
                </c:pt>
                <c:pt idx="683">
                  <c:v>66</c:v>
                </c:pt>
                <c:pt idx="684">
                  <c:v>61</c:v>
                </c:pt>
                <c:pt idx="685">
                  <c:v>54</c:v>
                </c:pt>
                <c:pt idx="686">
                  <c:v>61</c:v>
                </c:pt>
                <c:pt idx="687">
                  <c:v>61</c:v>
                </c:pt>
                <c:pt idx="688">
                  <c:v>65</c:v>
                </c:pt>
                <c:pt idx="689">
                  <c:v>60</c:v>
                </c:pt>
                <c:pt idx="690">
                  <c:v>58</c:v>
                </c:pt>
                <c:pt idx="691">
                  <c:v>60</c:v>
                </c:pt>
                <c:pt idx="692">
                  <c:v>59</c:v>
                </c:pt>
                <c:pt idx="693">
                  <c:v>56</c:v>
                </c:pt>
                <c:pt idx="694">
                  <c:v>61</c:v>
                </c:pt>
                <c:pt idx="695">
                  <c:v>61</c:v>
                </c:pt>
                <c:pt idx="696">
                  <c:v>60</c:v>
                </c:pt>
                <c:pt idx="697">
                  <c:v>59</c:v>
                </c:pt>
                <c:pt idx="698">
                  <c:v>57</c:v>
                </c:pt>
                <c:pt idx="699">
                  <c:v>58</c:v>
                </c:pt>
                <c:pt idx="700">
                  <c:v>54</c:v>
                </c:pt>
                <c:pt idx="701">
                  <c:v>58</c:v>
                </c:pt>
                <c:pt idx="702">
                  <c:v>57</c:v>
                </c:pt>
                <c:pt idx="703">
                  <c:v>64</c:v>
                </c:pt>
                <c:pt idx="704">
                  <c:v>61</c:v>
                </c:pt>
                <c:pt idx="705">
                  <c:v>51</c:v>
                </c:pt>
                <c:pt idx="706">
                  <c:v>60</c:v>
                </c:pt>
                <c:pt idx="707">
                  <c:v>59</c:v>
                </c:pt>
                <c:pt idx="708">
                  <c:v>59</c:v>
                </c:pt>
                <c:pt idx="709">
                  <c:v>63</c:v>
                </c:pt>
                <c:pt idx="710">
                  <c:v>57</c:v>
                </c:pt>
                <c:pt idx="711">
                  <c:v>59</c:v>
                </c:pt>
                <c:pt idx="712">
                  <c:v>60</c:v>
                </c:pt>
                <c:pt idx="713">
                  <c:v>54</c:v>
                </c:pt>
                <c:pt idx="714">
                  <c:v>62</c:v>
                </c:pt>
                <c:pt idx="715">
                  <c:v>65</c:v>
                </c:pt>
                <c:pt idx="716">
                  <c:v>57</c:v>
                </c:pt>
                <c:pt idx="717">
                  <c:v>53</c:v>
                </c:pt>
                <c:pt idx="718">
                  <c:v>58</c:v>
                </c:pt>
                <c:pt idx="719">
                  <c:v>64</c:v>
                </c:pt>
                <c:pt idx="720">
                  <c:v>56</c:v>
                </c:pt>
                <c:pt idx="721">
                  <c:v>85</c:v>
                </c:pt>
                <c:pt idx="722">
                  <c:v>59</c:v>
                </c:pt>
                <c:pt idx="723">
                  <c:v>#N/A</c:v>
                </c:pt>
                <c:pt idx="724">
                  <c:v>59</c:v>
                </c:pt>
                <c:pt idx="725">
                  <c:v>59</c:v>
                </c:pt>
                <c:pt idx="726">
                  <c:v>58</c:v>
                </c:pt>
                <c:pt idx="727">
                  <c:v>61</c:v>
                </c:pt>
                <c:pt idx="728">
                  <c:v>#N/A</c:v>
                </c:pt>
                <c:pt idx="729">
                  <c:v>58</c:v>
                </c:pt>
                <c:pt idx="730">
                  <c:v>56</c:v>
                </c:pt>
                <c:pt idx="731">
                  <c:v>58</c:v>
                </c:pt>
                <c:pt idx="732">
                  <c:v>49</c:v>
                </c:pt>
                <c:pt idx="733">
                  <c:v>61</c:v>
                </c:pt>
                <c:pt idx="734">
                  <c:v>56</c:v>
                </c:pt>
                <c:pt idx="735">
                  <c:v>58</c:v>
                </c:pt>
                <c:pt idx="736">
                  <c:v>55</c:v>
                </c:pt>
                <c:pt idx="737">
                  <c:v>56</c:v>
                </c:pt>
                <c:pt idx="738">
                  <c:v>61</c:v>
                </c:pt>
                <c:pt idx="739">
                  <c:v>#N/A</c:v>
                </c:pt>
                <c:pt idx="740">
                  <c:v>62</c:v>
                </c:pt>
                <c:pt idx="741">
                  <c:v>55</c:v>
                </c:pt>
                <c:pt idx="742">
                  <c:v>84</c:v>
                </c:pt>
                <c:pt idx="743">
                  <c:v>56</c:v>
                </c:pt>
                <c:pt idx="744">
                  <c:v>61</c:v>
                </c:pt>
                <c:pt idx="745">
                  <c:v>60</c:v>
                </c:pt>
                <c:pt idx="746">
                  <c:v>62</c:v>
                </c:pt>
                <c:pt idx="747">
                  <c:v>65</c:v>
                </c:pt>
                <c:pt idx="748">
                  <c:v>60</c:v>
                </c:pt>
                <c:pt idx="749">
                  <c:v>63</c:v>
                </c:pt>
                <c:pt idx="750">
                  <c:v>57</c:v>
                </c:pt>
                <c:pt idx="751">
                  <c:v>60</c:v>
                </c:pt>
                <c:pt idx="752">
                  <c:v>65</c:v>
                </c:pt>
                <c:pt idx="753">
                  <c:v>55</c:v>
                </c:pt>
                <c:pt idx="754">
                  <c:v>58</c:v>
                </c:pt>
                <c:pt idx="755">
                  <c:v>59</c:v>
                </c:pt>
                <c:pt idx="756">
                  <c:v>57</c:v>
                </c:pt>
                <c:pt idx="757">
                  <c:v>63</c:v>
                </c:pt>
                <c:pt idx="758">
                  <c:v>58</c:v>
                </c:pt>
                <c:pt idx="759">
                  <c:v>59</c:v>
                </c:pt>
                <c:pt idx="760">
                  <c:v>57</c:v>
                </c:pt>
                <c:pt idx="761">
                  <c:v>54</c:v>
                </c:pt>
                <c:pt idx="762">
                  <c:v>62</c:v>
                </c:pt>
                <c:pt idx="763">
                  <c:v>51</c:v>
                </c:pt>
                <c:pt idx="764">
                  <c:v>58</c:v>
                </c:pt>
                <c:pt idx="765">
                  <c:v>54</c:v>
                </c:pt>
                <c:pt idx="766">
                  <c:v>56</c:v>
                </c:pt>
                <c:pt idx="767">
                  <c:v>59</c:v>
                </c:pt>
                <c:pt idx="768">
                  <c:v>58</c:v>
                </c:pt>
                <c:pt idx="769">
                  <c:v>63</c:v>
                </c:pt>
                <c:pt idx="770">
                  <c:v>55</c:v>
                </c:pt>
                <c:pt idx="771">
                  <c:v>58</c:v>
                </c:pt>
                <c:pt idx="772">
                  <c:v>55</c:v>
                </c:pt>
                <c:pt idx="773">
                  <c:v>62</c:v>
                </c:pt>
                <c:pt idx="774">
                  <c:v>57</c:v>
                </c:pt>
                <c:pt idx="775">
                  <c:v>85</c:v>
                </c:pt>
                <c:pt idx="776">
                  <c:v>58</c:v>
                </c:pt>
                <c:pt idx="777">
                  <c:v>54</c:v>
                </c:pt>
                <c:pt idx="778">
                  <c:v>62</c:v>
                </c:pt>
                <c:pt idx="779">
                  <c:v>47</c:v>
                </c:pt>
                <c:pt idx="780">
                  <c:v>51</c:v>
                </c:pt>
                <c:pt idx="781">
                  <c:v>55</c:v>
                </c:pt>
                <c:pt idx="782">
                  <c:v>54</c:v>
                </c:pt>
                <c:pt idx="783">
                  <c:v>53</c:v>
                </c:pt>
                <c:pt idx="784">
                  <c:v>52</c:v>
                </c:pt>
                <c:pt idx="785">
                  <c:v>58</c:v>
                </c:pt>
                <c:pt idx="786">
                  <c:v>52</c:v>
                </c:pt>
                <c:pt idx="787">
                  <c:v>59</c:v>
                </c:pt>
                <c:pt idx="788">
                  <c:v>50</c:v>
                </c:pt>
                <c:pt idx="789">
                  <c:v>56</c:v>
                </c:pt>
                <c:pt idx="790">
                  <c:v>54</c:v>
                </c:pt>
                <c:pt idx="791">
                  <c:v>#N/A</c:v>
                </c:pt>
                <c:pt idx="792">
                  <c:v>56</c:v>
                </c:pt>
                <c:pt idx="793">
                  <c:v>58</c:v>
                </c:pt>
                <c:pt idx="794">
                  <c:v>61</c:v>
                </c:pt>
                <c:pt idx="795">
                  <c:v>51</c:v>
                </c:pt>
                <c:pt idx="796">
                  <c:v>53</c:v>
                </c:pt>
                <c:pt idx="797">
                  <c:v>55</c:v>
                </c:pt>
                <c:pt idx="798">
                  <c:v>50</c:v>
                </c:pt>
                <c:pt idx="799">
                  <c:v>58</c:v>
                </c:pt>
                <c:pt idx="800">
                  <c:v>85</c:v>
                </c:pt>
                <c:pt idx="801">
                  <c:v>51</c:v>
                </c:pt>
                <c:pt idx="802">
                  <c:v>60</c:v>
                </c:pt>
                <c:pt idx="803">
                  <c:v>61</c:v>
                </c:pt>
                <c:pt idx="804">
                  <c:v>77</c:v>
                </c:pt>
                <c:pt idx="805">
                  <c:v>56</c:v>
                </c:pt>
                <c:pt idx="806">
                  <c:v>64</c:v>
                </c:pt>
                <c:pt idx="807">
                  <c:v>56</c:v>
                </c:pt>
                <c:pt idx="808">
                  <c:v>58</c:v>
                </c:pt>
                <c:pt idx="809">
                  <c:v>57</c:v>
                </c:pt>
                <c:pt idx="810">
                  <c:v>#N/A</c:v>
                </c:pt>
                <c:pt idx="811">
                  <c:v>56</c:v>
                </c:pt>
                <c:pt idx="812">
                  <c:v>54</c:v>
                </c:pt>
                <c:pt idx="813">
                  <c:v>52</c:v>
                </c:pt>
                <c:pt idx="814">
                  <c:v>53</c:v>
                </c:pt>
                <c:pt idx="815">
                  <c:v>57</c:v>
                </c:pt>
                <c:pt idx="816">
                  <c:v>48</c:v>
                </c:pt>
                <c:pt idx="817">
                  <c:v>58</c:v>
                </c:pt>
                <c:pt idx="818">
                  <c:v>#N/A</c:v>
                </c:pt>
                <c:pt idx="819">
                  <c:v>52</c:v>
                </c:pt>
                <c:pt idx="820">
                  <c:v>52</c:v>
                </c:pt>
                <c:pt idx="821">
                  <c:v>50</c:v>
                </c:pt>
                <c:pt idx="822">
                  <c:v>55</c:v>
                </c:pt>
                <c:pt idx="823">
                  <c:v>61</c:v>
                </c:pt>
                <c:pt idx="824">
                  <c:v>55</c:v>
                </c:pt>
                <c:pt idx="825">
                  <c:v>55</c:v>
                </c:pt>
                <c:pt idx="826">
                  <c:v>59</c:v>
                </c:pt>
                <c:pt idx="827">
                  <c:v>48</c:v>
                </c:pt>
                <c:pt idx="828">
                  <c:v>51</c:v>
                </c:pt>
                <c:pt idx="829">
                  <c:v>56</c:v>
                </c:pt>
                <c:pt idx="830">
                  <c:v>54</c:v>
                </c:pt>
                <c:pt idx="831">
                  <c:v>52</c:v>
                </c:pt>
                <c:pt idx="832">
                  <c:v>76</c:v>
                </c:pt>
                <c:pt idx="833">
                  <c:v>54</c:v>
                </c:pt>
                <c:pt idx="834">
                  <c:v>48</c:v>
                </c:pt>
                <c:pt idx="835">
                  <c:v>58</c:v>
                </c:pt>
                <c:pt idx="836">
                  <c:v>53</c:v>
                </c:pt>
                <c:pt idx="837">
                  <c:v>56</c:v>
                </c:pt>
                <c:pt idx="838">
                  <c:v>54</c:v>
                </c:pt>
                <c:pt idx="839">
                  <c:v>53</c:v>
                </c:pt>
                <c:pt idx="840">
                  <c:v>53</c:v>
                </c:pt>
                <c:pt idx="841">
                  <c:v>53</c:v>
                </c:pt>
                <c:pt idx="842">
                  <c:v>77</c:v>
                </c:pt>
                <c:pt idx="843">
                  <c:v>86</c:v>
                </c:pt>
                <c:pt idx="844">
                  <c:v>48</c:v>
                </c:pt>
                <c:pt idx="845">
                  <c:v>52</c:v>
                </c:pt>
                <c:pt idx="846">
                  <c:v>54</c:v>
                </c:pt>
                <c:pt idx="847">
                  <c:v>53</c:v>
                </c:pt>
                <c:pt idx="848">
                  <c:v>51</c:v>
                </c:pt>
                <c:pt idx="849">
                  <c:v>54</c:v>
                </c:pt>
                <c:pt idx="850">
                  <c:v>59</c:v>
                </c:pt>
                <c:pt idx="851">
                  <c:v>50</c:v>
                </c:pt>
                <c:pt idx="852">
                  <c:v>58</c:v>
                </c:pt>
                <c:pt idx="853">
                  <c:v>57</c:v>
                </c:pt>
                <c:pt idx="854">
                  <c:v>52</c:v>
                </c:pt>
                <c:pt idx="855">
                  <c:v>54</c:v>
                </c:pt>
                <c:pt idx="856">
                  <c:v>47</c:v>
                </c:pt>
                <c:pt idx="857">
                  <c:v>44</c:v>
                </c:pt>
                <c:pt idx="858">
                  <c:v>49</c:v>
                </c:pt>
                <c:pt idx="859">
                  <c:v>55</c:v>
                </c:pt>
                <c:pt idx="860">
                  <c:v>#N/A</c:v>
                </c:pt>
                <c:pt idx="861">
                  <c:v>51</c:v>
                </c:pt>
                <c:pt idx="862">
                  <c:v>50</c:v>
                </c:pt>
                <c:pt idx="863">
                  <c:v>49</c:v>
                </c:pt>
                <c:pt idx="864">
                  <c:v>55</c:v>
                </c:pt>
                <c:pt idx="865">
                  <c:v>61</c:v>
                </c:pt>
                <c:pt idx="866">
                  <c:v>51</c:v>
                </c:pt>
                <c:pt idx="867">
                  <c:v>57</c:v>
                </c:pt>
                <c:pt idx="868">
                  <c:v>59</c:v>
                </c:pt>
                <c:pt idx="869">
                  <c:v>49</c:v>
                </c:pt>
                <c:pt idx="870">
                  <c:v>53</c:v>
                </c:pt>
                <c:pt idx="871">
                  <c:v>48</c:v>
                </c:pt>
                <c:pt idx="872">
                  <c:v>80</c:v>
                </c:pt>
                <c:pt idx="873">
                  <c:v>57</c:v>
                </c:pt>
                <c:pt idx="874">
                  <c:v>60</c:v>
                </c:pt>
                <c:pt idx="875">
                  <c:v>51</c:v>
                </c:pt>
                <c:pt idx="876">
                  <c:v>55</c:v>
                </c:pt>
                <c:pt idx="877">
                  <c:v>43</c:v>
                </c:pt>
                <c:pt idx="878">
                  <c:v>50</c:v>
                </c:pt>
                <c:pt idx="879">
                  <c:v>52</c:v>
                </c:pt>
                <c:pt idx="880">
                  <c:v>52</c:v>
                </c:pt>
                <c:pt idx="881">
                  <c:v>55</c:v>
                </c:pt>
                <c:pt idx="882">
                  <c:v>49</c:v>
                </c:pt>
                <c:pt idx="883">
                  <c:v>49</c:v>
                </c:pt>
                <c:pt idx="884">
                  <c:v>54</c:v>
                </c:pt>
                <c:pt idx="885">
                  <c:v>#N/A</c:v>
                </c:pt>
                <c:pt idx="886">
                  <c:v>52</c:v>
                </c:pt>
                <c:pt idx="887">
                  <c:v>73</c:v>
                </c:pt>
                <c:pt idx="888">
                  <c:v>47</c:v>
                </c:pt>
                <c:pt idx="889">
                  <c:v>#N/A</c:v>
                </c:pt>
                <c:pt idx="890">
                  <c:v>52</c:v>
                </c:pt>
                <c:pt idx="891">
                  <c:v>50</c:v>
                </c:pt>
                <c:pt idx="892">
                  <c:v>52</c:v>
                </c:pt>
                <c:pt idx="893">
                  <c:v>75</c:v>
                </c:pt>
                <c:pt idx="894">
                  <c:v>46</c:v>
                </c:pt>
                <c:pt idx="895">
                  <c:v>#N/A</c:v>
                </c:pt>
                <c:pt idx="896">
                  <c:v>#N/A</c:v>
                </c:pt>
                <c:pt idx="897">
                  <c:v>52</c:v>
                </c:pt>
                <c:pt idx="898">
                  <c:v>67</c:v>
                </c:pt>
                <c:pt idx="899">
                  <c:v>46</c:v>
                </c:pt>
                <c:pt idx="900">
                  <c:v>42</c:v>
                </c:pt>
                <c:pt idx="901">
                  <c:v>41</c:v>
                </c:pt>
                <c:pt idx="902">
                  <c:v>51</c:v>
                </c:pt>
                <c:pt idx="903">
                  <c:v>51</c:v>
                </c:pt>
                <c:pt idx="904">
                  <c:v>77</c:v>
                </c:pt>
                <c:pt idx="905">
                  <c:v>#N/A</c:v>
                </c:pt>
                <c:pt idx="906">
                  <c:v>41</c:v>
                </c:pt>
                <c:pt idx="907">
                  <c:v>47</c:v>
                </c:pt>
                <c:pt idx="908">
                  <c:v>51</c:v>
                </c:pt>
                <c:pt idx="909">
                  <c:v>56</c:v>
                </c:pt>
                <c:pt idx="910">
                  <c:v>48</c:v>
                </c:pt>
                <c:pt idx="911">
                  <c:v>72</c:v>
                </c:pt>
                <c:pt idx="912">
                  <c:v>#N/A</c:v>
                </c:pt>
                <c:pt idx="913">
                  <c:v>42</c:v>
                </c:pt>
                <c:pt idx="914">
                  <c:v>44</c:v>
                </c:pt>
                <c:pt idx="915">
                  <c:v>49</c:v>
                </c:pt>
                <c:pt idx="916">
                  <c:v>45</c:v>
                </c:pt>
                <c:pt idx="917">
                  <c:v>43</c:v>
                </c:pt>
                <c:pt idx="918">
                  <c:v>#N/A</c:v>
                </c:pt>
                <c:pt idx="919">
                  <c:v>71</c:v>
                </c:pt>
                <c:pt idx="920">
                  <c:v>45</c:v>
                </c:pt>
                <c:pt idx="921">
                  <c:v>48</c:v>
                </c:pt>
                <c:pt idx="922">
                  <c:v>45</c:v>
                </c:pt>
                <c:pt idx="923">
                  <c:v>52</c:v>
                </c:pt>
                <c:pt idx="924">
                  <c:v>64</c:v>
                </c:pt>
                <c:pt idx="925">
                  <c:v>46</c:v>
                </c:pt>
                <c:pt idx="926">
                  <c:v>43</c:v>
                </c:pt>
                <c:pt idx="927">
                  <c:v>52</c:v>
                </c:pt>
                <c:pt idx="928">
                  <c:v>70</c:v>
                </c:pt>
                <c:pt idx="929">
                  <c:v>46</c:v>
                </c:pt>
                <c:pt idx="930">
                  <c:v>42</c:v>
                </c:pt>
                <c:pt idx="931">
                  <c:v>45</c:v>
                </c:pt>
                <c:pt idx="932">
                  <c:v>53</c:v>
                </c:pt>
                <c:pt idx="933">
                  <c:v>45</c:v>
                </c:pt>
                <c:pt idx="934">
                  <c:v>72</c:v>
                </c:pt>
                <c:pt idx="935">
                  <c:v>43</c:v>
                </c:pt>
                <c:pt idx="936">
                  <c:v>49</c:v>
                </c:pt>
                <c:pt idx="937">
                  <c:v>64</c:v>
                </c:pt>
                <c:pt idx="938">
                  <c:v>53</c:v>
                </c:pt>
                <c:pt idx="939">
                  <c:v>43</c:v>
                </c:pt>
                <c:pt idx="940">
                  <c:v>43</c:v>
                </c:pt>
                <c:pt idx="941">
                  <c:v>37</c:v>
                </c:pt>
                <c:pt idx="942">
                  <c:v>41</c:v>
                </c:pt>
                <c:pt idx="943">
                  <c:v>46</c:v>
                </c:pt>
                <c:pt idx="944">
                  <c:v>43</c:v>
                </c:pt>
                <c:pt idx="945">
                  <c:v>62</c:v>
                </c:pt>
                <c:pt idx="946">
                  <c:v>#N/A</c:v>
                </c:pt>
                <c:pt idx="947">
                  <c:v>46</c:v>
                </c:pt>
                <c:pt idx="948">
                  <c:v>39</c:v>
                </c:pt>
                <c:pt idx="949">
                  <c:v>#N/A</c:v>
                </c:pt>
                <c:pt idx="950">
                  <c:v>66</c:v>
                </c:pt>
                <c:pt idx="951">
                  <c:v>51</c:v>
                </c:pt>
                <c:pt idx="952">
                  <c:v>45</c:v>
                </c:pt>
                <c:pt idx="953">
                  <c:v>65</c:v>
                </c:pt>
                <c:pt idx="954">
                  <c:v>67</c:v>
                </c:pt>
                <c:pt idx="955">
                  <c:v>66</c:v>
                </c:pt>
                <c:pt idx="956">
                  <c:v>66</c:v>
                </c:pt>
                <c:pt idx="957">
                  <c:v>43</c:v>
                </c:pt>
                <c:pt idx="958">
                  <c:v>41</c:v>
                </c:pt>
                <c:pt idx="959">
                  <c:v>72</c:v>
                </c:pt>
                <c:pt idx="960">
                  <c:v>61</c:v>
                </c:pt>
                <c:pt idx="961">
                  <c:v>48</c:v>
                </c:pt>
                <c:pt idx="962">
                  <c:v>43</c:v>
                </c:pt>
                <c:pt idx="963">
                  <c:v>44</c:v>
                </c:pt>
                <c:pt idx="964">
                  <c:v>42</c:v>
                </c:pt>
                <c:pt idx="965">
                  <c:v>45</c:v>
                </c:pt>
                <c:pt idx="966">
                  <c:v>37</c:v>
                </c:pt>
                <c:pt idx="967">
                  <c:v>37</c:v>
                </c:pt>
                <c:pt idx="968">
                  <c:v>42</c:v>
                </c:pt>
                <c:pt idx="969">
                  <c:v>31</c:v>
                </c:pt>
                <c:pt idx="970">
                  <c:v>60</c:v>
                </c:pt>
                <c:pt idx="971">
                  <c:v>41</c:v>
                </c:pt>
                <c:pt idx="972">
                  <c:v>41</c:v>
                </c:pt>
                <c:pt idx="973">
                  <c:v>58</c:v>
                </c:pt>
                <c:pt idx="974">
                  <c:v>34</c:v>
                </c:pt>
                <c:pt idx="975">
                  <c:v>39</c:v>
                </c:pt>
                <c:pt idx="976">
                  <c:v>42</c:v>
                </c:pt>
                <c:pt idx="977">
                  <c:v>58</c:v>
                </c:pt>
                <c:pt idx="978">
                  <c:v>39</c:v>
                </c:pt>
                <c:pt idx="979">
                  <c:v>40</c:v>
                </c:pt>
                <c:pt idx="980">
                  <c:v>39</c:v>
                </c:pt>
                <c:pt idx="981">
                  <c:v>#N/A</c:v>
                </c:pt>
                <c:pt idx="982">
                  <c:v>56</c:v>
                </c:pt>
                <c:pt idx="983">
                  <c:v>53</c:v>
                </c:pt>
                <c:pt idx="984">
                  <c:v>51</c:v>
                </c:pt>
                <c:pt idx="985">
                  <c:v>39</c:v>
                </c:pt>
                <c:pt idx="986">
                  <c:v>34</c:v>
                </c:pt>
                <c:pt idx="987">
                  <c:v>44</c:v>
                </c:pt>
                <c:pt idx="988">
                  <c:v>#N/A</c:v>
                </c:pt>
                <c:pt idx="989">
                  <c:v>48</c:v>
                </c:pt>
                <c:pt idx="990">
                  <c:v>49</c:v>
                </c:pt>
                <c:pt idx="991">
                  <c:v>46</c:v>
                </c:pt>
                <c:pt idx="992">
                  <c:v>34</c:v>
                </c:pt>
                <c:pt idx="993">
                  <c:v>51</c:v>
                </c:pt>
                <c:pt idx="994">
                  <c:v>#N/A</c:v>
                </c:pt>
                <c:pt idx="995">
                  <c:v>39</c:v>
                </c:pt>
                <c:pt idx="996">
                  <c:v>34</c:v>
                </c:pt>
                <c:pt idx="997">
                  <c:v>29</c:v>
                </c:pt>
                <c:pt idx="998">
                  <c:v>#N/A</c:v>
                </c:pt>
                <c:pt idx="999">
                  <c:v>28</c:v>
                </c:pt>
                <c:pt idx="1000">
                  <c:v>38</c:v>
                </c:pt>
                <c:pt idx="1001">
                  <c:v>38</c:v>
                </c:pt>
                <c:pt idx="1002">
                  <c:v>29</c:v>
                </c:pt>
                <c:pt idx="1003">
                  <c:v>42</c:v>
                </c:pt>
                <c:pt idx="1004">
                  <c:v>32</c:v>
                </c:pt>
                <c:pt idx="1005">
                  <c:v>26</c:v>
                </c:pt>
                <c:pt idx="1006">
                  <c:v>#N/A</c:v>
                </c:pt>
                <c:pt idx="1007">
                  <c:v>23</c:v>
                </c:pt>
                <c:pt idx="1008">
                  <c:v>#N/A</c:v>
                </c:pt>
                <c:pt idx="1009">
                  <c:v>31</c:v>
                </c:pt>
                <c:pt idx="1010">
                  <c:v>24</c:v>
                </c:pt>
                <c:pt idx="1011">
                  <c:v>24</c:v>
                </c:pt>
                <c:pt idx="1012">
                  <c:v>17</c:v>
                </c:pt>
              </c:numCache>
            </c:numRef>
          </c:xVal>
          <c:yVal>
            <c:numRef>
              <c:f>ScatterData!$C$2:$C$1014</c:f>
              <c:numCache>
                <c:formatCode>0</c:formatCode>
                <c:ptCount val="101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99</c:v>
                </c:pt>
                <c:pt idx="6">
                  <c:v>100</c:v>
                </c:pt>
                <c:pt idx="7">
                  <c:v>99</c:v>
                </c:pt>
                <c:pt idx="8">
                  <c:v>93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99</c:v>
                </c:pt>
                <c:pt idx="14">
                  <c:v>99</c:v>
                </c:pt>
                <c:pt idx="15">
                  <c:v>96</c:v>
                </c:pt>
                <c:pt idx="16">
                  <c:v>97</c:v>
                </c:pt>
                <c:pt idx="17">
                  <c:v>97</c:v>
                </c:pt>
                <c:pt idx="18">
                  <c:v>100</c:v>
                </c:pt>
                <c:pt idx="19">
                  <c:v>95</c:v>
                </c:pt>
                <c:pt idx="20">
                  <c:v>100</c:v>
                </c:pt>
                <c:pt idx="21">
                  <c:v>90</c:v>
                </c:pt>
                <c:pt idx="22">
                  <c:v>95</c:v>
                </c:pt>
                <c:pt idx="23">
                  <c:v>86</c:v>
                </c:pt>
                <c:pt idx="24">
                  <c:v>95</c:v>
                </c:pt>
                <c:pt idx="25">
                  <c:v>91</c:v>
                </c:pt>
                <c:pt idx="26">
                  <c:v>94</c:v>
                </c:pt>
                <c:pt idx="27">
                  <c:v>92</c:v>
                </c:pt>
                <c:pt idx="28">
                  <c:v>93</c:v>
                </c:pt>
                <c:pt idx="29">
                  <c:v>92</c:v>
                </c:pt>
                <c:pt idx="30">
                  <c:v>91</c:v>
                </c:pt>
                <c:pt idx="31">
                  <c:v>94</c:v>
                </c:pt>
                <c:pt idx="32">
                  <c:v>92</c:v>
                </c:pt>
                <c:pt idx="33">
                  <c:v>95</c:v>
                </c:pt>
                <c:pt idx="34">
                  <c:v>92</c:v>
                </c:pt>
                <c:pt idx="35">
                  <c:v>95</c:v>
                </c:pt>
                <c:pt idx="36">
                  <c:v>96</c:v>
                </c:pt>
                <c:pt idx="37">
                  <c:v>91</c:v>
                </c:pt>
                <c:pt idx="38">
                  <c:v>90</c:v>
                </c:pt>
                <c:pt idx="39">
                  <c:v>90</c:v>
                </c:pt>
                <c:pt idx="40">
                  <c:v>93</c:v>
                </c:pt>
                <c:pt idx="41">
                  <c:v>96</c:v>
                </c:pt>
                <c:pt idx="42">
                  <c:v>92</c:v>
                </c:pt>
                <c:pt idx="43">
                  <c:v>92</c:v>
                </c:pt>
                <c:pt idx="44">
                  <c:v>95</c:v>
                </c:pt>
                <c:pt idx="45">
                  <c:v>91</c:v>
                </c:pt>
                <c:pt idx="46">
                  <c:v>92</c:v>
                </c:pt>
                <c:pt idx="47">
                  <c:v>93</c:v>
                </c:pt>
                <c:pt idx="48">
                  <c:v>94</c:v>
                </c:pt>
                <c:pt idx="49">
                  <c:v>95</c:v>
                </c:pt>
                <c:pt idx="50">
                  <c:v>98</c:v>
                </c:pt>
                <c:pt idx="51">
                  <c:v>86</c:v>
                </c:pt>
                <c:pt idx="52">
                  <c:v>93</c:v>
                </c:pt>
                <c:pt idx="53">
                  <c:v>94</c:v>
                </c:pt>
                <c:pt idx="54">
                  <c:v>93</c:v>
                </c:pt>
                <c:pt idx="55">
                  <c:v>88</c:v>
                </c:pt>
                <c:pt idx="56">
                  <c:v>81</c:v>
                </c:pt>
                <c:pt idx="57">
                  <c:v>90</c:v>
                </c:pt>
                <c:pt idx="58">
                  <c:v>87</c:v>
                </c:pt>
                <c:pt idx="59">
                  <c:v>92</c:v>
                </c:pt>
                <c:pt idx="60">
                  <c:v>82</c:v>
                </c:pt>
                <c:pt idx="61">
                  <c:v>94</c:v>
                </c:pt>
                <c:pt idx="62">
                  <c:v>95</c:v>
                </c:pt>
                <c:pt idx="63">
                  <c:v>89</c:v>
                </c:pt>
                <c:pt idx="64">
                  <c:v>83</c:v>
                </c:pt>
                <c:pt idx="65">
                  <c:v>89</c:v>
                </c:pt>
                <c:pt idx="66">
                  <c:v>87</c:v>
                </c:pt>
                <c:pt idx="67">
                  <c:v>88</c:v>
                </c:pt>
                <c:pt idx="68">
                  <c:v>93</c:v>
                </c:pt>
                <c:pt idx="69">
                  <c:v>96</c:v>
                </c:pt>
                <c:pt idx="70">
                  <c:v>98</c:v>
                </c:pt>
                <c:pt idx="71">
                  <c:v>91</c:v>
                </c:pt>
                <c:pt idx="72">
                  <c:v>86</c:v>
                </c:pt>
                <c:pt idx="73">
                  <c:v>90</c:v>
                </c:pt>
                <c:pt idx="74">
                  <c:v>91</c:v>
                </c:pt>
                <c:pt idx="75">
                  <c:v>85</c:v>
                </c:pt>
                <c:pt idx="76">
                  <c:v>82</c:v>
                </c:pt>
                <c:pt idx="77">
                  <c:v>91</c:v>
                </c:pt>
                <c:pt idx="78">
                  <c:v>85</c:v>
                </c:pt>
                <c:pt idx="79">
                  <c:v>84</c:v>
                </c:pt>
                <c:pt idx="80">
                  <c:v>94</c:v>
                </c:pt>
                <c:pt idx="81">
                  <c:v>89</c:v>
                </c:pt>
                <c:pt idx="82">
                  <c:v>82</c:v>
                </c:pt>
                <c:pt idx="83">
                  <c:v>93</c:v>
                </c:pt>
                <c:pt idx="84">
                  <c:v>85</c:v>
                </c:pt>
                <c:pt idx="85">
                  <c:v>89</c:v>
                </c:pt>
                <c:pt idx="86">
                  <c:v>84</c:v>
                </c:pt>
                <c:pt idx="87">
                  <c:v>88</c:v>
                </c:pt>
                <c:pt idx="88">
                  <c:v>87</c:v>
                </c:pt>
                <c:pt idx="89">
                  <c:v>81</c:v>
                </c:pt>
                <c:pt idx="90">
                  <c:v>89</c:v>
                </c:pt>
                <c:pt idx="91">
                  <c:v>82</c:v>
                </c:pt>
                <c:pt idx="92">
                  <c:v>84</c:v>
                </c:pt>
                <c:pt idx="93">
                  <c:v>90</c:v>
                </c:pt>
                <c:pt idx="94">
                  <c:v>91</c:v>
                </c:pt>
                <c:pt idx="95">
                  <c:v>87</c:v>
                </c:pt>
                <c:pt idx="96">
                  <c:v>89</c:v>
                </c:pt>
                <c:pt idx="97">
                  <c:v>92</c:v>
                </c:pt>
                <c:pt idx="98">
                  <c:v>88</c:v>
                </c:pt>
                <c:pt idx="99">
                  <c:v>78</c:v>
                </c:pt>
                <c:pt idx="100">
                  <c:v>89</c:v>
                </c:pt>
                <c:pt idx="101">
                  <c:v>87</c:v>
                </c:pt>
                <c:pt idx="102">
                  <c:v>85</c:v>
                </c:pt>
                <c:pt idx="103">
                  <c:v>90</c:v>
                </c:pt>
                <c:pt idx="104">
                  <c:v>88</c:v>
                </c:pt>
                <c:pt idx="105">
                  <c:v>91</c:v>
                </c:pt>
                <c:pt idx="106">
                  <c:v>82</c:v>
                </c:pt>
                <c:pt idx="107">
                  <c:v>86</c:v>
                </c:pt>
                <c:pt idx="108">
                  <c:v>79</c:v>
                </c:pt>
                <c:pt idx="109">
                  <c:v>84</c:v>
                </c:pt>
                <c:pt idx="110">
                  <c:v>86</c:v>
                </c:pt>
                <c:pt idx="111">
                  <c:v>87</c:v>
                </c:pt>
                <c:pt idx="112">
                  <c:v>87</c:v>
                </c:pt>
                <c:pt idx="113">
                  <c:v>91</c:v>
                </c:pt>
                <c:pt idx="114">
                  <c:v>88</c:v>
                </c:pt>
                <c:pt idx="115">
                  <c:v>86</c:v>
                </c:pt>
                <c:pt idx="116">
                  <c:v>87</c:v>
                </c:pt>
                <c:pt idx="117">
                  <c:v>75</c:v>
                </c:pt>
                <c:pt idx="118">
                  <c:v>82</c:v>
                </c:pt>
                <c:pt idx="119">
                  <c:v>90</c:v>
                </c:pt>
                <c:pt idx="120">
                  <c:v>88</c:v>
                </c:pt>
                <c:pt idx="121">
                  <c:v>85</c:v>
                </c:pt>
                <c:pt idx="122">
                  <c:v>88</c:v>
                </c:pt>
                <c:pt idx="123">
                  <c:v>81</c:v>
                </c:pt>
                <c:pt idx="124">
                  <c:v>82</c:v>
                </c:pt>
                <c:pt idx="125">
                  <c:v>84</c:v>
                </c:pt>
                <c:pt idx="126">
                  <c:v>79</c:v>
                </c:pt>
                <c:pt idx="127">
                  <c:v>85</c:v>
                </c:pt>
                <c:pt idx="128">
                  <c:v>91</c:v>
                </c:pt>
                <c:pt idx="129">
                  <c:v>85</c:v>
                </c:pt>
                <c:pt idx="130">
                  <c:v>77</c:v>
                </c:pt>
                <c:pt idx="131">
                  <c:v>86</c:v>
                </c:pt>
                <c:pt idx="132">
                  <c:v>84</c:v>
                </c:pt>
                <c:pt idx="133">
                  <c:v>81</c:v>
                </c:pt>
                <c:pt idx="134">
                  <c:v>83</c:v>
                </c:pt>
                <c:pt idx="135">
                  <c:v>83</c:v>
                </c:pt>
                <c:pt idx="136">
                  <c:v>87</c:v>
                </c:pt>
                <c:pt idx="137">
                  <c:v>84</c:v>
                </c:pt>
                <c:pt idx="138">
                  <c:v>89</c:v>
                </c:pt>
                <c:pt idx="139">
                  <c:v>86</c:v>
                </c:pt>
                <c:pt idx="140">
                  <c:v>82</c:v>
                </c:pt>
                <c:pt idx="141">
                  <c:v>85</c:v>
                </c:pt>
                <c:pt idx="142">
                  <c:v>85</c:v>
                </c:pt>
                <c:pt idx="143">
                  <c:v>85</c:v>
                </c:pt>
                <c:pt idx="144">
                  <c:v>80</c:v>
                </c:pt>
                <c:pt idx="145">
                  <c:v>89</c:v>
                </c:pt>
                <c:pt idx="146">
                  <c:v>88</c:v>
                </c:pt>
                <c:pt idx="147">
                  <c:v>75</c:v>
                </c:pt>
                <c:pt idx="148">
                  <c:v>88</c:v>
                </c:pt>
                <c:pt idx="149">
                  <c:v>78</c:v>
                </c:pt>
                <c:pt idx="150">
                  <c:v>80</c:v>
                </c:pt>
                <c:pt idx="151">
                  <c:v>84</c:v>
                </c:pt>
                <c:pt idx="152">
                  <c:v>90</c:v>
                </c:pt>
                <c:pt idx="153">
                  <c:v>82</c:v>
                </c:pt>
                <c:pt idx="154">
                  <c:v>76</c:v>
                </c:pt>
                <c:pt idx="155">
                  <c:v>84</c:v>
                </c:pt>
                <c:pt idx="156">
                  <c:v>81</c:v>
                </c:pt>
                <c:pt idx="157">
                  <c:v>83</c:v>
                </c:pt>
                <c:pt idx="158">
                  <c:v>84</c:v>
                </c:pt>
                <c:pt idx="159">
                  <c:v>73</c:v>
                </c:pt>
                <c:pt idx="160">
                  <c:v>82</c:v>
                </c:pt>
                <c:pt idx="161">
                  <c:v>78</c:v>
                </c:pt>
                <c:pt idx="162">
                  <c:v>86</c:v>
                </c:pt>
                <c:pt idx="163">
                  <c:v>80</c:v>
                </c:pt>
                <c:pt idx="164">
                  <c:v>80</c:v>
                </c:pt>
                <c:pt idx="165">
                  <c:v>78</c:v>
                </c:pt>
                <c:pt idx="166">
                  <c:v>80</c:v>
                </c:pt>
                <c:pt idx="167">
                  <c:v>82</c:v>
                </c:pt>
                <c:pt idx="168">
                  <c:v>82</c:v>
                </c:pt>
                <c:pt idx="169">
                  <c:v>87</c:v>
                </c:pt>
                <c:pt idx="170">
                  <c:v>82</c:v>
                </c:pt>
                <c:pt idx="171">
                  <c:v>75</c:v>
                </c:pt>
                <c:pt idx="172">
                  <c:v>85</c:v>
                </c:pt>
                <c:pt idx="173">
                  <c:v>82</c:v>
                </c:pt>
                <c:pt idx="174">
                  <c:v>77</c:v>
                </c:pt>
                <c:pt idx="175">
                  <c:v>75</c:v>
                </c:pt>
                <c:pt idx="176">
                  <c:v>79</c:v>
                </c:pt>
                <c:pt idx="177">
                  <c:v>75</c:v>
                </c:pt>
                <c:pt idx="178">
                  <c:v>82</c:v>
                </c:pt>
                <c:pt idx="179">
                  <c:v>82</c:v>
                </c:pt>
                <c:pt idx="180">
                  <c:v>75</c:v>
                </c:pt>
                <c:pt idx="181">
                  <c:v>76</c:v>
                </c:pt>
                <c:pt idx="182">
                  <c:v>80</c:v>
                </c:pt>
                <c:pt idx="183">
                  <c:v>80</c:v>
                </c:pt>
                <c:pt idx="184">
                  <c:v>84</c:v>
                </c:pt>
                <c:pt idx="185">
                  <c:v>81</c:v>
                </c:pt>
                <c:pt idx="186">
                  <c:v>79</c:v>
                </c:pt>
                <c:pt idx="187">
                  <c:v>82</c:v>
                </c:pt>
                <c:pt idx="188">
                  <c:v>81</c:v>
                </c:pt>
                <c:pt idx="189">
                  <c:v>79</c:v>
                </c:pt>
                <c:pt idx="190">
                  <c:v>78</c:v>
                </c:pt>
                <c:pt idx="191">
                  <c:v>74</c:v>
                </c:pt>
                <c:pt idx="192">
                  <c:v>76</c:v>
                </c:pt>
                <c:pt idx="193">
                  <c:v>77</c:v>
                </c:pt>
                <c:pt idx="194">
                  <c:v>80</c:v>
                </c:pt>
                <c:pt idx="195">
                  <c:v>80</c:v>
                </c:pt>
                <c:pt idx="196">
                  <c:v>83</c:v>
                </c:pt>
                <c:pt idx="197">
                  <c:v>74</c:v>
                </c:pt>
                <c:pt idx="198">
                  <c:v>79</c:v>
                </c:pt>
                <c:pt idx="199">
                  <c:v>85</c:v>
                </c:pt>
                <c:pt idx="200">
                  <c:v>79</c:v>
                </c:pt>
                <c:pt idx="201">
                  <c:v>82</c:v>
                </c:pt>
                <c:pt idx="202">
                  <c:v>71</c:v>
                </c:pt>
                <c:pt idx="203">
                  <c:v>86</c:v>
                </c:pt>
                <c:pt idx="204">
                  <c:v>76</c:v>
                </c:pt>
                <c:pt idx="205">
                  <c:v>83</c:v>
                </c:pt>
                <c:pt idx="206">
                  <c:v>76</c:v>
                </c:pt>
                <c:pt idx="207">
                  <c:v>79</c:v>
                </c:pt>
                <c:pt idx="208">
                  <c:v>75</c:v>
                </c:pt>
                <c:pt idx="209">
                  <c:v>78</c:v>
                </c:pt>
                <c:pt idx="210">
                  <c:v>73</c:v>
                </c:pt>
                <c:pt idx="211">
                  <c:v>83</c:v>
                </c:pt>
                <c:pt idx="212">
                  <c:v>78</c:v>
                </c:pt>
                <c:pt idx="213">
                  <c:v>84</c:v>
                </c:pt>
                <c:pt idx="214">
                  <c:v>80</c:v>
                </c:pt>
                <c:pt idx="215">
                  <c:v>74</c:v>
                </c:pt>
                <c:pt idx="216">
                  <c:v>81</c:v>
                </c:pt>
                <c:pt idx="217">
                  <c:v>79</c:v>
                </c:pt>
                <c:pt idx="218">
                  <c:v>83</c:v>
                </c:pt>
                <c:pt idx="219">
                  <c:v>82</c:v>
                </c:pt>
                <c:pt idx="220">
                  <c:v>74</c:v>
                </c:pt>
                <c:pt idx="221">
                  <c:v>80</c:v>
                </c:pt>
                <c:pt idx="222">
                  <c:v>82</c:v>
                </c:pt>
                <c:pt idx="223">
                  <c:v>83</c:v>
                </c:pt>
                <c:pt idx="224">
                  <c:v>84</c:v>
                </c:pt>
                <c:pt idx="225">
                  <c:v>82</c:v>
                </c:pt>
                <c:pt idx="226">
                  <c:v>83</c:v>
                </c:pt>
                <c:pt idx="227">
                  <c:v>87</c:v>
                </c:pt>
                <c:pt idx="228">
                  <c:v>74</c:v>
                </c:pt>
                <c:pt idx="229">
                  <c:v>73</c:v>
                </c:pt>
                <c:pt idx="230">
                  <c:v>77</c:v>
                </c:pt>
                <c:pt idx="231">
                  <c:v>73</c:v>
                </c:pt>
                <c:pt idx="232">
                  <c:v>85</c:v>
                </c:pt>
                <c:pt idx="233">
                  <c:v>77</c:v>
                </c:pt>
                <c:pt idx="234">
                  <c:v>80</c:v>
                </c:pt>
                <c:pt idx="235">
                  <c:v>69</c:v>
                </c:pt>
                <c:pt idx="236">
                  <c:v>78</c:v>
                </c:pt>
                <c:pt idx="237">
                  <c:v>76</c:v>
                </c:pt>
                <c:pt idx="238">
                  <c:v>78</c:v>
                </c:pt>
                <c:pt idx="239">
                  <c:v>80</c:v>
                </c:pt>
                <c:pt idx="240">
                  <c:v>84</c:v>
                </c:pt>
                <c:pt idx="241">
                  <c:v>82</c:v>
                </c:pt>
                <c:pt idx="242">
                  <c:v>78</c:v>
                </c:pt>
                <c:pt idx="243">
                  <c:v>77</c:v>
                </c:pt>
                <c:pt idx="244">
                  <c:v>71</c:v>
                </c:pt>
                <c:pt idx="245">
                  <c:v>72</c:v>
                </c:pt>
                <c:pt idx="246">
                  <c:v>81</c:v>
                </c:pt>
                <c:pt idx="247">
                  <c:v>83</c:v>
                </c:pt>
                <c:pt idx="248">
                  <c:v>80</c:v>
                </c:pt>
                <c:pt idx="249">
                  <c:v>71</c:v>
                </c:pt>
                <c:pt idx="250">
                  <c:v>76</c:v>
                </c:pt>
                <c:pt idx="251">
                  <c:v>83</c:v>
                </c:pt>
                <c:pt idx="252">
                  <c:v>79</c:v>
                </c:pt>
                <c:pt idx="253">
                  <c:v>72</c:v>
                </c:pt>
                <c:pt idx="254">
                  <c:v>76</c:v>
                </c:pt>
                <c:pt idx="255">
                  <c:v>70</c:v>
                </c:pt>
                <c:pt idx="256">
                  <c:v>76</c:v>
                </c:pt>
                <c:pt idx="257">
                  <c:v>80</c:v>
                </c:pt>
                <c:pt idx="258">
                  <c:v>77</c:v>
                </c:pt>
                <c:pt idx="259">
                  <c:v>71</c:v>
                </c:pt>
                <c:pt idx="260">
                  <c:v>79</c:v>
                </c:pt>
                <c:pt idx="261">
                  <c:v>75</c:v>
                </c:pt>
                <c:pt idx="262">
                  <c:v>82</c:v>
                </c:pt>
                <c:pt idx="263">
                  <c:v>77</c:v>
                </c:pt>
                <c:pt idx="264">
                  <c:v>84</c:v>
                </c:pt>
                <c:pt idx="265">
                  <c:v>83</c:v>
                </c:pt>
                <c:pt idx="266">
                  <c:v>77</c:v>
                </c:pt>
                <c:pt idx="267">
                  <c:v>74</c:v>
                </c:pt>
                <c:pt idx="268">
                  <c:v>75</c:v>
                </c:pt>
                <c:pt idx="269">
                  <c:v>78</c:v>
                </c:pt>
                <c:pt idx="270">
                  <c:v>70</c:v>
                </c:pt>
                <c:pt idx="271">
                  <c:v>80</c:v>
                </c:pt>
                <c:pt idx="272">
                  <c:v>81</c:v>
                </c:pt>
                <c:pt idx="273">
                  <c:v>73</c:v>
                </c:pt>
                <c:pt idx="274">
                  <c:v>75</c:v>
                </c:pt>
                <c:pt idx="275">
                  <c:v>79</c:v>
                </c:pt>
                <c:pt idx="276">
                  <c:v>80</c:v>
                </c:pt>
                <c:pt idx="277">
                  <c:v>81</c:v>
                </c:pt>
                <c:pt idx="278">
                  <c:v>81</c:v>
                </c:pt>
                <c:pt idx="279">
                  <c:v>76</c:v>
                </c:pt>
                <c:pt idx="280">
                  <c:v>68</c:v>
                </c:pt>
                <c:pt idx="281">
                  <c:v>73</c:v>
                </c:pt>
                <c:pt idx="282">
                  <c:v>77</c:v>
                </c:pt>
                <c:pt idx="283">
                  <c:v>81</c:v>
                </c:pt>
                <c:pt idx="284">
                  <c:v>75</c:v>
                </c:pt>
                <c:pt idx="285">
                  <c:v>79</c:v>
                </c:pt>
                <c:pt idx="286">
                  <c:v>81</c:v>
                </c:pt>
                <c:pt idx="287">
                  <c:v>76</c:v>
                </c:pt>
                <c:pt idx="288">
                  <c:v>78</c:v>
                </c:pt>
                <c:pt idx="289">
                  <c:v>73</c:v>
                </c:pt>
                <c:pt idx="290">
                  <c:v>78</c:v>
                </c:pt>
                <c:pt idx="291">
                  <c:v>76</c:v>
                </c:pt>
                <c:pt idx="292">
                  <c:v>71</c:v>
                </c:pt>
                <c:pt idx="293">
                  <c:v>78</c:v>
                </c:pt>
                <c:pt idx="294">
                  <c:v>69</c:v>
                </c:pt>
                <c:pt idx="295">
                  <c:v>72</c:v>
                </c:pt>
                <c:pt idx="296">
                  <c:v>71</c:v>
                </c:pt>
                <c:pt idx="297">
                  <c:v>74</c:v>
                </c:pt>
                <c:pt idx="298">
                  <c:v>71</c:v>
                </c:pt>
                <c:pt idx="299">
                  <c:v>80</c:v>
                </c:pt>
                <c:pt idx="300">
                  <c:v>72</c:v>
                </c:pt>
                <c:pt idx="301">
                  <c:v>77</c:v>
                </c:pt>
                <c:pt idx="302">
                  <c:v>80</c:v>
                </c:pt>
                <c:pt idx="303">
                  <c:v>73</c:v>
                </c:pt>
                <c:pt idx="304">
                  <c:v>72</c:v>
                </c:pt>
                <c:pt idx="305">
                  <c:v>74</c:v>
                </c:pt>
                <c:pt idx="306">
                  <c:v>81</c:v>
                </c:pt>
                <c:pt idx="307">
                  <c:v>82</c:v>
                </c:pt>
                <c:pt idx="308">
                  <c:v>74</c:v>
                </c:pt>
                <c:pt idx="309">
                  <c:v>78</c:v>
                </c:pt>
                <c:pt idx="310">
                  <c:v>81</c:v>
                </c:pt>
                <c:pt idx="311">
                  <c:v>80</c:v>
                </c:pt>
                <c:pt idx="312">
                  <c:v>79</c:v>
                </c:pt>
                <c:pt idx="313">
                  <c:v>76</c:v>
                </c:pt>
                <c:pt idx="314">
                  <c:v>73</c:v>
                </c:pt>
                <c:pt idx="315">
                  <c:v>78</c:v>
                </c:pt>
                <c:pt idx="316">
                  <c:v>69</c:v>
                </c:pt>
                <c:pt idx="317">
                  <c:v>72</c:v>
                </c:pt>
                <c:pt idx="318">
                  <c:v>78</c:v>
                </c:pt>
                <c:pt idx="319">
                  <c:v>78</c:v>
                </c:pt>
                <c:pt idx="320">
                  <c:v>80</c:v>
                </c:pt>
                <c:pt idx="321">
                  <c:v>77</c:v>
                </c:pt>
                <c:pt idx="322">
                  <c:v>73</c:v>
                </c:pt>
                <c:pt idx="323">
                  <c:v>73</c:v>
                </c:pt>
                <c:pt idx="324">
                  <c:v>76</c:v>
                </c:pt>
                <c:pt idx="325">
                  <c:v>72</c:v>
                </c:pt>
                <c:pt idx="326">
                  <c:v>77</c:v>
                </c:pt>
                <c:pt idx="327">
                  <c:v>77</c:v>
                </c:pt>
                <c:pt idx="328">
                  <c:v>77</c:v>
                </c:pt>
                <c:pt idx="329">
                  <c:v>78</c:v>
                </c:pt>
                <c:pt idx="330">
                  <c:v>77</c:v>
                </c:pt>
                <c:pt idx="331">
                  <c:v>78</c:v>
                </c:pt>
                <c:pt idx="332">
                  <c:v>71</c:v>
                </c:pt>
                <c:pt idx="333">
                  <c:v>74</c:v>
                </c:pt>
                <c:pt idx="334">
                  <c:v>80</c:v>
                </c:pt>
                <c:pt idx="335">
                  <c:v>71</c:v>
                </c:pt>
                <c:pt idx="336">
                  <c:v>65</c:v>
                </c:pt>
                <c:pt idx="337">
                  <c:v>80</c:v>
                </c:pt>
                <c:pt idx="338">
                  <c:v>81</c:v>
                </c:pt>
                <c:pt idx="339">
                  <c:v>81</c:v>
                </c:pt>
                <c:pt idx="340">
                  <c:v>70</c:v>
                </c:pt>
                <c:pt idx="341">
                  <c:v>71</c:v>
                </c:pt>
                <c:pt idx="342">
                  <c:v>77</c:v>
                </c:pt>
                <c:pt idx="343">
                  <c:v>64</c:v>
                </c:pt>
                <c:pt idx="344">
                  <c:v>72</c:v>
                </c:pt>
                <c:pt idx="345">
                  <c:v>72</c:v>
                </c:pt>
                <c:pt idx="346">
                  <c:v>73</c:v>
                </c:pt>
                <c:pt idx="347">
                  <c:v>69</c:v>
                </c:pt>
                <c:pt idx="348">
                  <c:v>79</c:v>
                </c:pt>
                <c:pt idx="349">
                  <c:v>72</c:v>
                </c:pt>
                <c:pt idx="350">
                  <c:v>73</c:v>
                </c:pt>
                <c:pt idx="351">
                  <c:v>72</c:v>
                </c:pt>
                <c:pt idx="352">
                  <c:v>71</c:v>
                </c:pt>
                <c:pt idx="353">
                  <c:v>74</c:v>
                </c:pt>
                <c:pt idx="354">
                  <c:v>67</c:v>
                </c:pt>
                <c:pt idx="355">
                  <c:v>72</c:v>
                </c:pt>
                <c:pt idx="356">
                  <c:v>73</c:v>
                </c:pt>
                <c:pt idx="357">
                  <c:v>79</c:v>
                </c:pt>
                <c:pt idx="358">
                  <c:v>69</c:v>
                </c:pt>
                <c:pt idx="359">
                  <c:v>74</c:v>
                </c:pt>
                <c:pt idx="360">
                  <c:v>78</c:v>
                </c:pt>
                <c:pt idx="361">
                  <c:v>69</c:v>
                </c:pt>
                <c:pt idx="362">
                  <c:v>77</c:v>
                </c:pt>
                <c:pt idx="363">
                  <c:v>75</c:v>
                </c:pt>
                <c:pt idx="364">
                  <c:v>75</c:v>
                </c:pt>
                <c:pt idx="365">
                  <c:v>77</c:v>
                </c:pt>
                <c:pt idx="366">
                  <c:v>72</c:v>
                </c:pt>
                <c:pt idx="367">
                  <c:v>76</c:v>
                </c:pt>
                <c:pt idx="368">
                  <c:v>80</c:v>
                </c:pt>
                <c:pt idx="369">
                  <c:v>74</c:v>
                </c:pt>
                <c:pt idx="370">
                  <c:v>68</c:v>
                </c:pt>
                <c:pt idx="371">
                  <c:v>70</c:v>
                </c:pt>
                <c:pt idx="372">
                  <c:v>76</c:v>
                </c:pt>
                <c:pt idx="373">
                  <c:v>76</c:v>
                </c:pt>
                <c:pt idx="374">
                  <c:v>77</c:v>
                </c:pt>
                <c:pt idx="375">
                  <c:v>74</c:v>
                </c:pt>
                <c:pt idx="376">
                  <c:v>74</c:v>
                </c:pt>
                <c:pt idx="377">
                  <c:v>74</c:v>
                </c:pt>
                <c:pt idx="378">
                  <c:v>77</c:v>
                </c:pt>
                <c:pt idx="379">
                  <c:v>74</c:v>
                </c:pt>
                <c:pt idx="380">
                  <c:v>70</c:v>
                </c:pt>
                <c:pt idx="381">
                  <c:v>74</c:v>
                </c:pt>
                <c:pt idx="382">
                  <c:v>73</c:v>
                </c:pt>
                <c:pt idx="383">
                  <c:v>75</c:v>
                </c:pt>
                <c:pt idx="384">
                  <c:v>73</c:v>
                </c:pt>
                <c:pt idx="385">
                  <c:v>69</c:v>
                </c:pt>
                <c:pt idx="386">
                  <c:v>71</c:v>
                </c:pt>
                <c:pt idx="387">
                  <c:v>69</c:v>
                </c:pt>
                <c:pt idx="388">
                  <c:v>66</c:v>
                </c:pt>
                <c:pt idx="389">
                  <c:v>74</c:v>
                </c:pt>
                <c:pt idx="390">
                  <c:v>71</c:v>
                </c:pt>
                <c:pt idx="391">
                  <c:v>71</c:v>
                </c:pt>
                <c:pt idx="392">
                  <c:v>68</c:v>
                </c:pt>
                <c:pt idx="393">
                  <c:v>67</c:v>
                </c:pt>
                <c:pt idx="394">
                  <c:v>73</c:v>
                </c:pt>
                <c:pt idx="395">
                  <c:v>67</c:v>
                </c:pt>
                <c:pt idx="396">
                  <c:v>78</c:v>
                </c:pt>
                <c:pt idx="397">
                  <c:v>79</c:v>
                </c:pt>
                <c:pt idx="398">
                  <c:v>75</c:v>
                </c:pt>
                <c:pt idx="399">
                  <c:v>74</c:v>
                </c:pt>
                <c:pt idx="400">
                  <c:v>72</c:v>
                </c:pt>
                <c:pt idx="401">
                  <c:v>80</c:v>
                </c:pt>
                <c:pt idx="402">
                  <c:v>69</c:v>
                </c:pt>
                <c:pt idx="403">
                  <c:v>76</c:v>
                </c:pt>
                <c:pt idx="404">
                  <c:v>67</c:v>
                </c:pt>
                <c:pt idx="405">
                  <c:v>70</c:v>
                </c:pt>
                <c:pt idx="406">
                  <c:v>75</c:v>
                </c:pt>
                <c:pt idx="407">
                  <c:v>68</c:v>
                </c:pt>
                <c:pt idx="408">
                  <c:v>68</c:v>
                </c:pt>
                <c:pt idx="409">
                  <c:v>76</c:v>
                </c:pt>
                <c:pt idx="410">
                  <c:v>73</c:v>
                </c:pt>
                <c:pt idx="411">
                  <c:v>74</c:v>
                </c:pt>
                <c:pt idx="412">
                  <c:v>75</c:v>
                </c:pt>
                <c:pt idx="413">
                  <c:v>69</c:v>
                </c:pt>
                <c:pt idx="414">
                  <c:v>68</c:v>
                </c:pt>
                <c:pt idx="415">
                  <c:v>78</c:v>
                </c:pt>
                <c:pt idx="416">
                  <c:v>70</c:v>
                </c:pt>
                <c:pt idx="417">
                  <c:v>68</c:v>
                </c:pt>
                <c:pt idx="418">
                  <c:v>75</c:v>
                </c:pt>
                <c:pt idx="419">
                  <c:v>74</c:v>
                </c:pt>
                <c:pt idx="420">
                  <c:v>74</c:v>
                </c:pt>
                <c:pt idx="421">
                  <c:v>80</c:v>
                </c:pt>
                <c:pt idx="422">
                  <c:v>70</c:v>
                </c:pt>
                <c:pt idx="423">
                  <c:v>70</c:v>
                </c:pt>
                <c:pt idx="424">
                  <c:v>64</c:v>
                </c:pt>
                <c:pt idx="425">
                  <c:v>67</c:v>
                </c:pt>
                <c:pt idx="426">
                  <c:v>70</c:v>
                </c:pt>
                <c:pt idx="427">
                  <c:v>67</c:v>
                </c:pt>
                <c:pt idx="428">
                  <c:v>68</c:v>
                </c:pt>
                <c:pt idx="429">
                  <c:v>78</c:v>
                </c:pt>
                <c:pt idx="430">
                  <c:v>68</c:v>
                </c:pt>
                <c:pt idx="431">
                  <c:v>72</c:v>
                </c:pt>
                <c:pt idx="432">
                  <c:v>77</c:v>
                </c:pt>
                <c:pt idx="433">
                  <c:v>70</c:v>
                </c:pt>
                <c:pt idx="434">
                  <c:v>76</c:v>
                </c:pt>
                <c:pt idx="435">
                  <c:v>61</c:v>
                </c:pt>
                <c:pt idx="436">
                  <c:v>66</c:v>
                </c:pt>
                <c:pt idx="437">
                  <c:v>72</c:v>
                </c:pt>
                <c:pt idx="438">
                  <c:v>74</c:v>
                </c:pt>
                <c:pt idx="439">
                  <c:v>62</c:v>
                </c:pt>
                <c:pt idx="440">
                  <c:v>64</c:v>
                </c:pt>
                <c:pt idx="441">
                  <c:v>74</c:v>
                </c:pt>
                <c:pt idx="442">
                  <c:v>69</c:v>
                </c:pt>
                <c:pt idx="443">
                  <c:v>73</c:v>
                </c:pt>
                <c:pt idx="444">
                  <c:v>61</c:v>
                </c:pt>
                <c:pt idx="445">
                  <c:v>68</c:v>
                </c:pt>
                <c:pt idx="446">
                  <c:v>70</c:v>
                </c:pt>
                <c:pt idx="447">
                  <c:v>68</c:v>
                </c:pt>
                <c:pt idx="448">
                  <c:v>65</c:v>
                </c:pt>
                <c:pt idx="449">
                  <c:v>71</c:v>
                </c:pt>
                <c:pt idx="450">
                  <c:v>74</c:v>
                </c:pt>
                <c:pt idx="451">
                  <c:v>74</c:v>
                </c:pt>
                <c:pt idx="452">
                  <c:v>75</c:v>
                </c:pt>
                <c:pt idx="453">
                  <c:v>76</c:v>
                </c:pt>
                <c:pt idx="454">
                  <c:v>72</c:v>
                </c:pt>
                <c:pt idx="455">
                  <c:v>67</c:v>
                </c:pt>
                <c:pt idx="456">
                  <c:v>66</c:v>
                </c:pt>
                <c:pt idx="457">
                  <c:v>66</c:v>
                </c:pt>
                <c:pt idx="458">
                  <c:v>70</c:v>
                </c:pt>
                <c:pt idx="459">
                  <c:v>72</c:v>
                </c:pt>
                <c:pt idx="460">
                  <c:v>71</c:v>
                </c:pt>
                <c:pt idx="461">
                  <c:v>76</c:v>
                </c:pt>
                <c:pt idx="462">
                  <c:v>76</c:v>
                </c:pt>
                <c:pt idx="463">
                  <c:v>64</c:v>
                </c:pt>
                <c:pt idx="464">
                  <c:v>74</c:v>
                </c:pt>
                <c:pt idx="465">
                  <c:v>62</c:v>
                </c:pt>
                <c:pt idx="466">
                  <c:v>66</c:v>
                </c:pt>
                <c:pt idx="467">
                  <c:v>67</c:v>
                </c:pt>
                <c:pt idx="468">
                  <c:v>74</c:v>
                </c:pt>
                <c:pt idx="469">
                  <c:v>70</c:v>
                </c:pt>
                <c:pt idx="470">
                  <c:v>79</c:v>
                </c:pt>
                <c:pt idx="471">
                  <c:v>68</c:v>
                </c:pt>
                <c:pt idx="472">
                  <c:v>63</c:v>
                </c:pt>
                <c:pt idx="473">
                  <c:v>67</c:v>
                </c:pt>
                <c:pt idx="474">
                  <c:v>65</c:v>
                </c:pt>
                <c:pt idx="475">
                  <c:v>70</c:v>
                </c:pt>
                <c:pt idx="476">
                  <c:v>75</c:v>
                </c:pt>
                <c:pt idx="477">
                  <c:v>70</c:v>
                </c:pt>
                <c:pt idx="478">
                  <c:v>68</c:v>
                </c:pt>
                <c:pt idx="479">
                  <c:v>69</c:v>
                </c:pt>
                <c:pt idx="480">
                  <c:v>65</c:v>
                </c:pt>
                <c:pt idx="481">
                  <c:v>66</c:v>
                </c:pt>
                <c:pt idx="482">
                  <c:v>68</c:v>
                </c:pt>
                <c:pt idx="483">
                  <c:v>65</c:v>
                </c:pt>
                <c:pt idx="484">
                  <c:v>67</c:v>
                </c:pt>
                <c:pt idx="485">
                  <c:v>73</c:v>
                </c:pt>
                <c:pt idx="486">
                  <c:v>73</c:v>
                </c:pt>
                <c:pt idx="487">
                  <c:v>70</c:v>
                </c:pt>
                <c:pt idx="488">
                  <c:v>64</c:v>
                </c:pt>
                <c:pt idx="489">
                  <c:v>69</c:v>
                </c:pt>
                <c:pt idx="490">
                  <c:v>68</c:v>
                </c:pt>
                <c:pt idx="491">
                  <c:v>65</c:v>
                </c:pt>
                <c:pt idx="492">
                  <c:v>66</c:v>
                </c:pt>
                <c:pt idx="493">
                  <c:v>66</c:v>
                </c:pt>
                <c:pt idx="494">
                  <c:v>65</c:v>
                </c:pt>
                <c:pt idx="495">
                  <c:v>74</c:v>
                </c:pt>
                <c:pt idx="496">
                  <c:v>70</c:v>
                </c:pt>
                <c:pt idx="497">
                  <c:v>72</c:v>
                </c:pt>
                <c:pt idx="498">
                  <c:v>66</c:v>
                </c:pt>
                <c:pt idx="499">
                  <c:v>66</c:v>
                </c:pt>
                <c:pt idx="500">
                  <c:v>72</c:v>
                </c:pt>
                <c:pt idx="501">
                  <c:v>69</c:v>
                </c:pt>
                <c:pt idx="502">
                  <c:v>70</c:v>
                </c:pt>
                <c:pt idx="503">
                  <c:v>68</c:v>
                </c:pt>
                <c:pt idx="504">
                  <c:v>64</c:v>
                </c:pt>
                <c:pt idx="505">
                  <c:v>64</c:v>
                </c:pt>
                <c:pt idx="506">
                  <c:v>67</c:v>
                </c:pt>
                <c:pt idx="507">
                  <c:v>65</c:v>
                </c:pt>
                <c:pt idx="508">
                  <c:v>73</c:v>
                </c:pt>
                <c:pt idx="509">
                  <c:v>67</c:v>
                </c:pt>
                <c:pt idx="510">
                  <c:v>63</c:v>
                </c:pt>
                <c:pt idx="511">
                  <c:v>63</c:v>
                </c:pt>
                <c:pt idx="512">
                  <c:v>69</c:v>
                </c:pt>
                <c:pt idx="513">
                  <c:v>62</c:v>
                </c:pt>
                <c:pt idx="514">
                  <c:v>69</c:v>
                </c:pt>
                <c:pt idx="515">
                  <c:v>62</c:v>
                </c:pt>
                <c:pt idx="516">
                  <c:v>70</c:v>
                </c:pt>
                <c:pt idx="517">
                  <c:v>67</c:v>
                </c:pt>
                <c:pt idx="518">
                  <c:v>70</c:v>
                </c:pt>
                <c:pt idx="519">
                  <c:v>68</c:v>
                </c:pt>
                <c:pt idx="520">
                  <c:v>70</c:v>
                </c:pt>
                <c:pt idx="521">
                  <c:v>69</c:v>
                </c:pt>
                <c:pt idx="522">
                  <c:v>70</c:v>
                </c:pt>
                <c:pt idx="523">
                  <c:v>70</c:v>
                </c:pt>
                <c:pt idx="524">
                  <c:v>64</c:v>
                </c:pt>
                <c:pt idx="525">
                  <c:v>72</c:v>
                </c:pt>
                <c:pt idx="526">
                  <c:v>69</c:v>
                </c:pt>
                <c:pt idx="527">
                  <c:v>68</c:v>
                </c:pt>
                <c:pt idx="528">
                  <c:v>63</c:v>
                </c:pt>
                <c:pt idx="529">
                  <c:v>59</c:v>
                </c:pt>
                <c:pt idx="530">
                  <c:v>65</c:v>
                </c:pt>
                <c:pt idx="531">
                  <c:v>68</c:v>
                </c:pt>
                <c:pt idx="532">
                  <c:v>63</c:v>
                </c:pt>
                <c:pt idx="533">
                  <c:v>68</c:v>
                </c:pt>
                <c:pt idx="534">
                  <c:v>70</c:v>
                </c:pt>
                <c:pt idx="535">
                  <c:v>69</c:v>
                </c:pt>
                <c:pt idx="536">
                  <c:v>74</c:v>
                </c:pt>
                <c:pt idx="537">
                  <c:v>74</c:v>
                </c:pt>
                <c:pt idx="538">
                  <c:v>75</c:v>
                </c:pt>
                <c:pt idx="539">
                  <c:v>70</c:v>
                </c:pt>
                <c:pt idx="540">
                  <c:v>60</c:v>
                </c:pt>
                <c:pt idx="541">
                  <c:v>73</c:v>
                </c:pt>
                <c:pt idx="542">
                  <c:v>74</c:v>
                </c:pt>
                <c:pt idx="543">
                  <c:v>60</c:v>
                </c:pt>
                <c:pt idx="544">
                  <c:v>65</c:v>
                </c:pt>
                <c:pt idx="545">
                  <c:v>75</c:v>
                </c:pt>
                <c:pt idx="546">
                  <c:v>63</c:v>
                </c:pt>
                <c:pt idx="547">
                  <c:v>60</c:v>
                </c:pt>
                <c:pt idx="548">
                  <c:v>67</c:v>
                </c:pt>
                <c:pt idx="549">
                  <c:v>61</c:v>
                </c:pt>
                <c:pt idx="550">
                  <c:v>71</c:v>
                </c:pt>
                <c:pt idx="551">
                  <c:v>68</c:v>
                </c:pt>
                <c:pt idx="552">
                  <c:v>67</c:v>
                </c:pt>
                <c:pt idx="553">
                  <c:v>68</c:v>
                </c:pt>
                <c:pt idx="554">
                  <c:v>68</c:v>
                </c:pt>
                <c:pt idx="555">
                  <c:v>67</c:v>
                </c:pt>
                <c:pt idx="556">
                  <c:v>61</c:v>
                </c:pt>
                <c:pt idx="557">
                  <c:v>68</c:v>
                </c:pt>
                <c:pt idx="558">
                  <c:v>72</c:v>
                </c:pt>
                <c:pt idx="559">
                  <c:v>70</c:v>
                </c:pt>
                <c:pt idx="560">
                  <c:v>67</c:v>
                </c:pt>
                <c:pt idx="561">
                  <c:v>67</c:v>
                </c:pt>
                <c:pt idx="562">
                  <c:v>66</c:v>
                </c:pt>
                <c:pt idx="563">
                  <c:v>66</c:v>
                </c:pt>
                <c:pt idx="564">
                  <c:v>60</c:v>
                </c:pt>
                <c:pt idx="565">
                  <c:v>62</c:v>
                </c:pt>
                <c:pt idx="566">
                  <c:v>60</c:v>
                </c:pt>
                <c:pt idx="567">
                  <c:v>69</c:v>
                </c:pt>
                <c:pt idx="568">
                  <c:v>65</c:v>
                </c:pt>
                <c:pt idx="569">
                  <c:v>73</c:v>
                </c:pt>
                <c:pt idx="570">
                  <c:v>62</c:v>
                </c:pt>
                <c:pt idx="571">
                  <c:v>68</c:v>
                </c:pt>
                <c:pt idx="572">
                  <c:v>57</c:v>
                </c:pt>
                <c:pt idx="573">
                  <c:v>66</c:v>
                </c:pt>
                <c:pt idx="574">
                  <c:v>65</c:v>
                </c:pt>
                <c:pt idx="575">
                  <c:v>67</c:v>
                </c:pt>
                <c:pt idx="576">
                  <c:v>61</c:v>
                </c:pt>
                <c:pt idx="577">
                  <c:v>70</c:v>
                </c:pt>
                <c:pt idx="578">
                  <c:v>57</c:v>
                </c:pt>
                <c:pt idx="579">
                  <c:v>65</c:v>
                </c:pt>
                <c:pt idx="580">
                  <c:v>62</c:v>
                </c:pt>
                <c:pt idx="581">
                  <c:v>64</c:v>
                </c:pt>
                <c:pt idx="582">
                  <c:v>65</c:v>
                </c:pt>
                <c:pt idx="583">
                  <c:v>61</c:v>
                </c:pt>
                <c:pt idx="584">
                  <c:v>63</c:v>
                </c:pt>
                <c:pt idx="585">
                  <c:v>66</c:v>
                </c:pt>
                <c:pt idx="586">
                  <c:v>64</c:v>
                </c:pt>
                <c:pt idx="587">
                  <c:v>70</c:v>
                </c:pt>
                <c:pt idx="588">
                  <c:v>66</c:v>
                </c:pt>
                <c:pt idx="589">
                  <c:v>61</c:v>
                </c:pt>
                <c:pt idx="590">
                  <c:v>64</c:v>
                </c:pt>
                <c:pt idx="591">
                  <c:v>66</c:v>
                </c:pt>
                <c:pt idx="592">
                  <c:v>61</c:v>
                </c:pt>
                <c:pt idx="593">
                  <c:v>62</c:v>
                </c:pt>
                <c:pt idx="594">
                  <c:v>63</c:v>
                </c:pt>
                <c:pt idx="595">
                  <c:v>73</c:v>
                </c:pt>
                <c:pt idx="596">
                  <c:v>63</c:v>
                </c:pt>
                <c:pt idx="597">
                  <c:v>73</c:v>
                </c:pt>
                <c:pt idx="598">
                  <c:v>62</c:v>
                </c:pt>
                <c:pt idx="599">
                  <c:v>67</c:v>
                </c:pt>
                <c:pt idx="600">
                  <c:v>62</c:v>
                </c:pt>
                <c:pt idx="601">
                  <c:v>72</c:v>
                </c:pt>
                <c:pt idx="602">
                  <c:v>60</c:v>
                </c:pt>
                <c:pt idx="603">
                  <c:v>58</c:v>
                </c:pt>
                <c:pt idx="604">
                  <c:v>62</c:v>
                </c:pt>
                <c:pt idx="605">
                  <c:v>66</c:v>
                </c:pt>
                <c:pt idx="606">
                  <c:v>61</c:v>
                </c:pt>
                <c:pt idx="607">
                  <c:v>64</c:v>
                </c:pt>
                <c:pt idx="608">
                  <c:v>73</c:v>
                </c:pt>
                <c:pt idx="609">
                  <c:v>69</c:v>
                </c:pt>
                <c:pt idx="610">
                  <c:v>61</c:v>
                </c:pt>
                <c:pt idx="611">
                  <c:v>65</c:v>
                </c:pt>
                <c:pt idx="612">
                  <c:v>62</c:v>
                </c:pt>
                <c:pt idx="613">
                  <c:v>59</c:v>
                </c:pt>
                <c:pt idx="614">
                  <c:v>70</c:v>
                </c:pt>
                <c:pt idx="615">
                  <c:v>#N/A</c:v>
                </c:pt>
                <c:pt idx="616">
                  <c:v>64</c:v>
                </c:pt>
                <c:pt idx="617">
                  <c:v>70</c:v>
                </c:pt>
                <c:pt idx="618">
                  <c:v>60</c:v>
                </c:pt>
                <c:pt idx="619">
                  <c:v>62</c:v>
                </c:pt>
                <c:pt idx="620">
                  <c:v>62</c:v>
                </c:pt>
                <c:pt idx="621">
                  <c:v>#N/A</c:v>
                </c:pt>
                <c:pt idx="622">
                  <c:v>61</c:v>
                </c:pt>
                <c:pt idx="623">
                  <c:v>59</c:v>
                </c:pt>
                <c:pt idx="624">
                  <c:v>62</c:v>
                </c:pt>
                <c:pt idx="625">
                  <c:v>63</c:v>
                </c:pt>
                <c:pt idx="626">
                  <c:v>58</c:v>
                </c:pt>
                <c:pt idx="627">
                  <c:v>61</c:v>
                </c:pt>
                <c:pt idx="628">
                  <c:v>58</c:v>
                </c:pt>
                <c:pt idx="629">
                  <c:v>57</c:v>
                </c:pt>
                <c:pt idx="630">
                  <c:v>69</c:v>
                </c:pt>
                <c:pt idx="631">
                  <c:v>68</c:v>
                </c:pt>
                <c:pt idx="632">
                  <c:v>65</c:v>
                </c:pt>
                <c:pt idx="633">
                  <c:v>64</c:v>
                </c:pt>
                <c:pt idx="634">
                  <c:v>60</c:v>
                </c:pt>
                <c:pt idx="635">
                  <c:v>64</c:v>
                </c:pt>
                <c:pt idx="636">
                  <c:v>66</c:v>
                </c:pt>
                <c:pt idx="637">
                  <c:v>61</c:v>
                </c:pt>
                <c:pt idx="638">
                  <c:v>54</c:v>
                </c:pt>
                <c:pt idx="639">
                  <c:v>67</c:v>
                </c:pt>
                <c:pt idx="640">
                  <c:v>59</c:v>
                </c:pt>
                <c:pt idx="641">
                  <c:v>58</c:v>
                </c:pt>
                <c:pt idx="642">
                  <c:v>62</c:v>
                </c:pt>
                <c:pt idx="643">
                  <c:v>63</c:v>
                </c:pt>
                <c:pt idx="644">
                  <c:v>62</c:v>
                </c:pt>
                <c:pt idx="645">
                  <c:v>57</c:v>
                </c:pt>
                <c:pt idx="646">
                  <c:v>60</c:v>
                </c:pt>
                <c:pt idx="647">
                  <c:v>63</c:v>
                </c:pt>
                <c:pt idx="648">
                  <c:v>65</c:v>
                </c:pt>
                <c:pt idx="649">
                  <c:v>61</c:v>
                </c:pt>
                <c:pt idx="650">
                  <c:v>67</c:v>
                </c:pt>
                <c:pt idx="651">
                  <c:v>57</c:v>
                </c:pt>
                <c:pt idx="652">
                  <c:v>65</c:v>
                </c:pt>
                <c:pt idx="653">
                  <c:v>50</c:v>
                </c:pt>
                <c:pt idx="654">
                  <c:v>66</c:v>
                </c:pt>
                <c:pt idx="655">
                  <c:v>59</c:v>
                </c:pt>
                <c:pt idx="656">
                  <c:v>54</c:v>
                </c:pt>
                <c:pt idx="657">
                  <c:v>62</c:v>
                </c:pt>
                <c:pt idx="658">
                  <c:v>62</c:v>
                </c:pt>
                <c:pt idx="659">
                  <c:v>61</c:v>
                </c:pt>
                <c:pt idx="660">
                  <c:v>68</c:v>
                </c:pt>
                <c:pt idx="661">
                  <c:v>59</c:v>
                </c:pt>
                <c:pt idx="662">
                  <c:v>92</c:v>
                </c:pt>
                <c:pt idx="663">
                  <c:v>60</c:v>
                </c:pt>
                <c:pt idx="664">
                  <c:v>63</c:v>
                </c:pt>
                <c:pt idx="665">
                  <c:v>56</c:v>
                </c:pt>
                <c:pt idx="666">
                  <c:v>53</c:v>
                </c:pt>
                <c:pt idx="667">
                  <c:v>56</c:v>
                </c:pt>
                <c:pt idx="668">
                  <c:v>62</c:v>
                </c:pt>
                <c:pt idx="669">
                  <c:v>55</c:v>
                </c:pt>
                <c:pt idx="670">
                  <c:v>62</c:v>
                </c:pt>
                <c:pt idx="671">
                  <c:v>60</c:v>
                </c:pt>
                <c:pt idx="672">
                  <c:v>57</c:v>
                </c:pt>
                <c:pt idx="673">
                  <c:v>57</c:v>
                </c:pt>
                <c:pt idx="674">
                  <c:v>53</c:v>
                </c:pt>
                <c:pt idx="675">
                  <c:v>#N/A</c:v>
                </c:pt>
                <c:pt idx="676">
                  <c:v>63</c:v>
                </c:pt>
                <c:pt idx="677">
                  <c:v>67</c:v>
                </c:pt>
                <c:pt idx="678">
                  <c:v>64</c:v>
                </c:pt>
                <c:pt idx="679">
                  <c:v>66</c:v>
                </c:pt>
                <c:pt idx="680">
                  <c:v>59</c:v>
                </c:pt>
                <c:pt idx="681">
                  <c:v>64</c:v>
                </c:pt>
                <c:pt idx="682">
                  <c:v>62</c:v>
                </c:pt>
                <c:pt idx="683">
                  <c:v>65</c:v>
                </c:pt>
                <c:pt idx="684">
                  <c:v>66</c:v>
                </c:pt>
                <c:pt idx="685">
                  <c:v>55</c:v>
                </c:pt>
                <c:pt idx="686">
                  <c:v>55</c:v>
                </c:pt>
                <c:pt idx="687">
                  <c:v>54</c:v>
                </c:pt>
                <c:pt idx="688">
                  <c:v>61</c:v>
                </c:pt>
                <c:pt idx="689">
                  <c:v>57</c:v>
                </c:pt>
                <c:pt idx="690">
                  <c:v>64</c:v>
                </c:pt>
                <c:pt idx="691">
                  <c:v>58</c:v>
                </c:pt>
                <c:pt idx="692">
                  <c:v>53</c:v>
                </c:pt>
                <c:pt idx="693">
                  <c:v>51</c:v>
                </c:pt>
                <c:pt idx="694">
                  <c:v>62</c:v>
                </c:pt>
                <c:pt idx="695">
                  <c:v>60</c:v>
                </c:pt>
                <c:pt idx="696">
                  <c:v>63</c:v>
                </c:pt>
                <c:pt idx="697">
                  <c:v>52</c:v>
                </c:pt>
                <c:pt idx="698">
                  <c:v>53</c:v>
                </c:pt>
                <c:pt idx="699">
                  <c:v>65</c:v>
                </c:pt>
                <c:pt idx="700">
                  <c:v>57</c:v>
                </c:pt>
                <c:pt idx="701">
                  <c:v>59</c:v>
                </c:pt>
                <c:pt idx="702">
                  <c:v>56</c:v>
                </c:pt>
                <c:pt idx="703">
                  <c:v>66</c:v>
                </c:pt>
                <c:pt idx="704">
                  <c:v>62</c:v>
                </c:pt>
                <c:pt idx="705">
                  <c:v>57</c:v>
                </c:pt>
                <c:pt idx="706">
                  <c:v>55</c:v>
                </c:pt>
                <c:pt idx="707">
                  <c:v>65</c:v>
                </c:pt>
                <c:pt idx="708">
                  <c:v>58</c:v>
                </c:pt>
                <c:pt idx="709">
                  <c:v>61</c:v>
                </c:pt>
                <c:pt idx="710">
                  <c:v>52</c:v>
                </c:pt>
                <c:pt idx="711">
                  <c:v>62</c:v>
                </c:pt>
                <c:pt idx="712">
                  <c:v>57</c:v>
                </c:pt>
                <c:pt idx="713">
                  <c:v>53</c:v>
                </c:pt>
                <c:pt idx="714">
                  <c:v>66</c:v>
                </c:pt>
                <c:pt idx="715">
                  <c:v>61</c:v>
                </c:pt>
                <c:pt idx="716">
                  <c:v>56</c:v>
                </c:pt>
                <c:pt idx="717">
                  <c:v>57</c:v>
                </c:pt>
                <c:pt idx="718">
                  <c:v>61</c:v>
                </c:pt>
                <c:pt idx="719">
                  <c:v>59</c:v>
                </c:pt>
                <c:pt idx="720">
                  <c:v>56</c:v>
                </c:pt>
                <c:pt idx="721">
                  <c:v>#N/A</c:v>
                </c:pt>
                <c:pt idx="722">
                  <c:v>54</c:v>
                </c:pt>
                <c:pt idx="723">
                  <c:v>90</c:v>
                </c:pt>
                <c:pt idx="724">
                  <c:v>59</c:v>
                </c:pt>
                <c:pt idx="725">
                  <c:v>62</c:v>
                </c:pt>
                <c:pt idx="726">
                  <c:v>51</c:v>
                </c:pt>
                <c:pt idx="727">
                  <c:v>58</c:v>
                </c:pt>
                <c:pt idx="728">
                  <c:v>78</c:v>
                </c:pt>
                <c:pt idx="729">
                  <c:v>67</c:v>
                </c:pt>
                <c:pt idx="730">
                  <c:v>55</c:v>
                </c:pt>
                <c:pt idx="731">
                  <c:v>49</c:v>
                </c:pt>
                <c:pt idx="732">
                  <c:v>52</c:v>
                </c:pt>
                <c:pt idx="733">
                  <c:v>54</c:v>
                </c:pt>
                <c:pt idx="734">
                  <c:v>52</c:v>
                </c:pt>
                <c:pt idx="735">
                  <c:v>57</c:v>
                </c:pt>
                <c:pt idx="736">
                  <c:v>55</c:v>
                </c:pt>
                <c:pt idx="737">
                  <c:v>53</c:v>
                </c:pt>
                <c:pt idx="738">
                  <c:v>52</c:v>
                </c:pt>
                <c:pt idx="739">
                  <c:v>90</c:v>
                </c:pt>
                <c:pt idx="740">
                  <c:v>56</c:v>
                </c:pt>
                <c:pt idx="741">
                  <c:v>54</c:v>
                </c:pt>
                <c:pt idx="742">
                  <c:v>#N/A</c:v>
                </c:pt>
                <c:pt idx="743">
                  <c:v>57</c:v>
                </c:pt>
                <c:pt idx="744">
                  <c:v>54</c:v>
                </c:pt>
                <c:pt idx="745">
                  <c:v>60</c:v>
                </c:pt>
                <c:pt idx="746">
                  <c:v>60</c:v>
                </c:pt>
                <c:pt idx="747">
                  <c:v>55</c:v>
                </c:pt>
                <c:pt idx="748">
                  <c:v>58</c:v>
                </c:pt>
                <c:pt idx="749">
                  <c:v>62</c:v>
                </c:pt>
                <c:pt idx="750">
                  <c:v>54</c:v>
                </c:pt>
                <c:pt idx="751">
                  <c:v>59</c:v>
                </c:pt>
                <c:pt idx="752">
                  <c:v>64</c:v>
                </c:pt>
                <c:pt idx="753">
                  <c:v>52</c:v>
                </c:pt>
                <c:pt idx="754">
                  <c:v>58</c:v>
                </c:pt>
                <c:pt idx="755">
                  <c:v>54</c:v>
                </c:pt>
                <c:pt idx="756">
                  <c:v>51</c:v>
                </c:pt>
                <c:pt idx="757">
                  <c:v>56</c:v>
                </c:pt>
                <c:pt idx="758">
                  <c:v>57</c:v>
                </c:pt>
                <c:pt idx="759">
                  <c:v>64</c:v>
                </c:pt>
                <c:pt idx="760">
                  <c:v>53</c:v>
                </c:pt>
                <c:pt idx="761">
                  <c:v>50</c:v>
                </c:pt>
                <c:pt idx="762">
                  <c:v>53</c:v>
                </c:pt>
                <c:pt idx="763">
                  <c:v>56</c:v>
                </c:pt>
                <c:pt idx="764">
                  <c:v>60</c:v>
                </c:pt>
                <c:pt idx="765">
                  <c:v>56</c:v>
                </c:pt>
                <c:pt idx="766">
                  <c:v>54</c:v>
                </c:pt>
                <c:pt idx="767">
                  <c:v>56</c:v>
                </c:pt>
                <c:pt idx="768">
                  <c:v>60</c:v>
                </c:pt>
                <c:pt idx="769">
                  <c:v>59</c:v>
                </c:pt>
                <c:pt idx="770">
                  <c:v>49</c:v>
                </c:pt>
                <c:pt idx="771">
                  <c:v>55</c:v>
                </c:pt>
                <c:pt idx="772">
                  <c:v>53</c:v>
                </c:pt>
                <c:pt idx="773">
                  <c:v>61</c:v>
                </c:pt>
                <c:pt idx="774">
                  <c:v>56</c:v>
                </c:pt>
                <c:pt idx="775">
                  <c:v>#N/A</c:v>
                </c:pt>
                <c:pt idx="776">
                  <c:v>52</c:v>
                </c:pt>
                <c:pt idx="777">
                  <c:v>52</c:v>
                </c:pt>
                <c:pt idx="778">
                  <c:v>60</c:v>
                </c:pt>
                <c:pt idx="779">
                  <c:v>56</c:v>
                </c:pt>
                <c:pt idx="780">
                  <c:v>52</c:v>
                </c:pt>
                <c:pt idx="781">
                  <c:v>57</c:v>
                </c:pt>
                <c:pt idx="782">
                  <c:v>51</c:v>
                </c:pt>
                <c:pt idx="783">
                  <c:v>52</c:v>
                </c:pt>
                <c:pt idx="784">
                  <c:v>54</c:v>
                </c:pt>
                <c:pt idx="785">
                  <c:v>54</c:v>
                </c:pt>
                <c:pt idx="786">
                  <c:v>55</c:v>
                </c:pt>
                <c:pt idx="787">
                  <c:v>50</c:v>
                </c:pt>
                <c:pt idx="788">
                  <c:v>60</c:v>
                </c:pt>
                <c:pt idx="789">
                  <c:v>51</c:v>
                </c:pt>
                <c:pt idx="790">
                  <c:v>52</c:v>
                </c:pt>
                <c:pt idx="791">
                  <c:v>80</c:v>
                </c:pt>
                <c:pt idx="792">
                  <c:v>58</c:v>
                </c:pt>
                <c:pt idx="793">
                  <c:v>55</c:v>
                </c:pt>
                <c:pt idx="794">
                  <c:v>55</c:v>
                </c:pt>
                <c:pt idx="795">
                  <c:v>54</c:v>
                </c:pt>
                <c:pt idx="796">
                  <c:v>58</c:v>
                </c:pt>
                <c:pt idx="797">
                  <c:v>48</c:v>
                </c:pt>
                <c:pt idx="798">
                  <c:v>54</c:v>
                </c:pt>
                <c:pt idx="799">
                  <c:v>57</c:v>
                </c:pt>
                <c:pt idx="800">
                  <c:v>76</c:v>
                </c:pt>
                <c:pt idx="801">
                  <c:v>52</c:v>
                </c:pt>
                <c:pt idx="802">
                  <c:v>58</c:v>
                </c:pt>
                <c:pt idx="803">
                  <c:v>58</c:v>
                </c:pt>
                <c:pt idx="804">
                  <c:v>#N/A</c:v>
                </c:pt>
                <c:pt idx="805">
                  <c:v>54</c:v>
                </c:pt>
                <c:pt idx="806">
                  <c:v>57</c:v>
                </c:pt>
                <c:pt idx="807">
                  <c:v>53</c:v>
                </c:pt>
                <c:pt idx="808">
                  <c:v>54</c:v>
                </c:pt>
                <c:pt idx="809">
                  <c:v>50</c:v>
                </c:pt>
                <c:pt idx="810">
                  <c:v>78</c:v>
                </c:pt>
                <c:pt idx="811">
                  <c:v>57</c:v>
                </c:pt>
                <c:pt idx="812">
                  <c:v>58</c:v>
                </c:pt>
                <c:pt idx="813">
                  <c:v>52</c:v>
                </c:pt>
                <c:pt idx="814">
                  <c:v>58</c:v>
                </c:pt>
                <c:pt idx="815">
                  <c:v>52</c:v>
                </c:pt>
                <c:pt idx="816">
                  <c:v>47</c:v>
                </c:pt>
                <c:pt idx="817">
                  <c:v>52</c:v>
                </c:pt>
                <c:pt idx="818">
                  <c:v>88</c:v>
                </c:pt>
                <c:pt idx="819">
                  <c:v>51</c:v>
                </c:pt>
                <c:pt idx="820">
                  <c:v>46</c:v>
                </c:pt>
                <c:pt idx="821">
                  <c:v>43</c:v>
                </c:pt>
                <c:pt idx="822">
                  <c:v>47</c:v>
                </c:pt>
                <c:pt idx="823">
                  <c:v>52</c:v>
                </c:pt>
                <c:pt idx="824">
                  <c:v>48</c:v>
                </c:pt>
                <c:pt idx="825">
                  <c:v>49</c:v>
                </c:pt>
                <c:pt idx="826">
                  <c:v>50</c:v>
                </c:pt>
                <c:pt idx="827">
                  <c:v>51</c:v>
                </c:pt>
                <c:pt idx="828">
                  <c:v>51</c:v>
                </c:pt>
                <c:pt idx="829">
                  <c:v>54</c:v>
                </c:pt>
                <c:pt idx="830">
                  <c:v>48</c:v>
                </c:pt>
                <c:pt idx="831">
                  <c:v>54</c:v>
                </c:pt>
                <c:pt idx="832">
                  <c:v>#N/A</c:v>
                </c:pt>
                <c:pt idx="833">
                  <c:v>48</c:v>
                </c:pt>
                <c:pt idx="834">
                  <c:v>46</c:v>
                </c:pt>
                <c:pt idx="835">
                  <c:v>44</c:v>
                </c:pt>
                <c:pt idx="836">
                  <c:v>53</c:v>
                </c:pt>
                <c:pt idx="837">
                  <c:v>51</c:v>
                </c:pt>
                <c:pt idx="838">
                  <c:v>53</c:v>
                </c:pt>
                <c:pt idx="839">
                  <c:v>47</c:v>
                </c:pt>
                <c:pt idx="840">
                  <c:v>52</c:v>
                </c:pt>
                <c:pt idx="841">
                  <c:v>49</c:v>
                </c:pt>
                <c:pt idx="842">
                  <c:v>77</c:v>
                </c:pt>
                <c:pt idx="843">
                  <c:v>#N/A</c:v>
                </c:pt>
                <c:pt idx="844">
                  <c:v>52</c:v>
                </c:pt>
                <c:pt idx="845">
                  <c:v>49</c:v>
                </c:pt>
                <c:pt idx="846">
                  <c:v>53</c:v>
                </c:pt>
                <c:pt idx="847">
                  <c:v>55</c:v>
                </c:pt>
                <c:pt idx="848">
                  <c:v>43</c:v>
                </c:pt>
                <c:pt idx="849">
                  <c:v>45</c:v>
                </c:pt>
                <c:pt idx="850">
                  <c:v>54</c:v>
                </c:pt>
                <c:pt idx="851">
                  <c:v>45</c:v>
                </c:pt>
                <c:pt idx="852">
                  <c:v>54</c:v>
                </c:pt>
                <c:pt idx="853">
                  <c:v>46</c:v>
                </c:pt>
                <c:pt idx="854">
                  <c:v>51</c:v>
                </c:pt>
                <c:pt idx="855">
                  <c:v>53</c:v>
                </c:pt>
                <c:pt idx="856">
                  <c:v>54</c:v>
                </c:pt>
                <c:pt idx="857">
                  <c:v>47</c:v>
                </c:pt>
                <c:pt idx="858">
                  <c:v>51</c:v>
                </c:pt>
                <c:pt idx="859">
                  <c:v>54</c:v>
                </c:pt>
                <c:pt idx="860">
                  <c:v>81</c:v>
                </c:pt>
                <c:pt idx="861">
                  <c:v>51</c:v>
                </c:pt>
                <c:pt idx="862">
                  <c:v>52</c:v>
                </c:pt>
                <c:pt idx="863">
                  <c:v>47</c:v>
                </c:pt>
                <c:pt idx="864">
                  <c:v>60</c:v>
                </c:pt>
                <c:pt idx="865">
                  <c:v>54</c:v>
                </c:pt>
                <c:pt idx="866">
                  <c:v>55</c:v>
                </c:pt>
                <c:pt idx="867">
                  <c:v>56</c:v>
                </c:pt>
                <c:pt idx="868">
                  <c:v>51</c:v>
                </c:pt>
                <c:pt idx="869">
                  <c:v>42</c:v>
                </c:pt>
                <c:pt idx="870">
                  <c:v>53</c:v>
                </c:pt>
                <c:pt idx="871">
                  <c:v>49</c:v>
                </c:pt>
                <c:pt idx="872">
                  <c:v>#N/A</c:v>
                </c:pt>
                <c:pt idx="873">
                  <c:v>44</c:v>
                </c:pt>
                <c:pt idx="874">
                  <c:v>50</c:v>
                </c:pt>
                <c:pt idx="875">
                  <c:v>54</c:v>
                </c:pt>
                <c:pt idx="876">
                  <c:v>53</c:v>
                </c:pt>
                <c:pt idx="877">
                  <c:v>47</c:v>
                </c:pt>
                <c:pt idx="878">
                  <c:v>47</c:v>
                </c:pt>
                <c:pt idx="879">
                  <c:v>42</c:v>
                </c:pt>
                <c:pt idx="880">
                  <c:v>44</c:v>
                </c:pt>
                <c:pt idx="881">
                  <c:v>51</c:v>
                </c:pt>
                <c:pt idx="882">
                  <c:v>46</c:v>
                </c:pt>
                <c:pt idx="883">
                  <c:v>50</c:v>
                </c:pt>
                <c:pt idx="884">
                  <c:v>41</c:v>
                </c:pt>
                <c:pt idx="885">
                  <c:v>74</c:v>
                </c:pt>
                <c:pt idx="886">
                  <c:v>49</c:v>
                </c:pt>
                <c:pt idx="887">
                  <c:v>73</c:v>
                </c:pt>
                <c:pt idx="888">
                  <c:v>44</c:v>
                </c:pt>
                <c:pt idx="889">
                  <c:v>68</c:v>
                </c:pt>
                <c:pt idx="890">
                  <c:v>45</c:v>
                </c:pt>
                <c:pt idx="891">
                  <c:v>51</c:v>
                </c:pt>
                <c:pt idx="892">
                  <c:v>51</c:v>
                </c:pt>
                <c:pt idx="893">
                  <c:v>#N/A</c:v>
                </c:pt>
                <c:pt idx="894">
                  <c:v>44</c:v>
                </c:pt>
                <c:pt idx="895">
                  <c:v>72</c:v>
                </c:pt>
                <c:pt idx="896">
                  <c:v>81</c:v>
                </c:pt>
                <c:pt idx="897">
                  <c:v>51</c:v>
                </c:pt>
                <c:pt idx="898">
                  <c:v>#N/A</c:v>
                </c:pt>
                <c:pt idx="899">
                  <c:v>43</c:v>
                </c:pt>
                <c:pt idx="900">
                  <c:v>41</c:v>
                </c:pt>
                <c:pt idx="901">
                  <c:v>48</c:v>
                </c:pt>
                <c:pt idx="902">
                  <c:v>43</c:v>
                </c:pt>
                <c:pt idx="903">
                  <c:v>48</c:v>
                </c:pt>
                <c:pt idx="904">
                  <c:v>#N/A</c:v>
                </c:pt>
                <c:pt idx="905">
                  <c:v>77</c:v>
                </c:pt>
                <c:pt idx="906">
                  <c:v>42</c:v>
                </c:pt>
                <c:pt idx="907">
                  <c:v>49</c:v>
                </c:pt>
                <c:pt idx="908">
                  <c:v>48</c:v>
                </c:pt>
                <c:pt idx="909">
                  <c:v>47</c:v>
                </c:pt>
                <c:pt idx="910">
                  <c:v>42</c:v>
                </c:pt>
                <c:pt idx="911">
                  <c:v>68</c:v>
                </c:pt>
                <c:pt idx="912">
                  <c:v>70</c:v>
                </c:pt>
                <c:pt idx="913">
                  <c:v>48</c:v>
                </c:pt>
                <c:pt idx="914">
                  <c:v>42</c:v>
                </c:pt>
                <c:pt idx="915">
                  <c:v>41</c:v>
                </c:pt>
                <c:pt idx="916">
                  <c:v>45</c:v>
                </c:pt>
                <c:pt idx="917">
                  <c:v>43</c:v>
                </c:pt>
                <c:pt idx="918">
                  <c:v>64</c:v>
                </c:pt>
                <c:pt idx="919">
                  <c:v>68</c:v>
                </c:pt>
                <c:pt idx="920">
                  <c:v>50</c:v>
                </c:pt>
                <c:pt idx="921">
                  <c:v>50</c:v>
                </c:pt>
                <c:pt idx="922">
                  <c:v>40</c:v>
                </c:pt>
                <c:pt idx="923">
                  <c:v>46</c:v>
                </c:pt>
                <c:pt idx="924">
                  <c:v>72</c:v>
                </c:pt>
                <c:pt idx="925">
                  <c:v>50</c:v>
                </c:pt>
                <c:pt idx="926">
                  <c:v>45</c:v>
                </c:pt>
                <c:pt idx="927">
                  <c:v>43</c:v>
                </c:pt>
                <c:pt idx="928">
                  <c:v>#N/A</c:v>
                </c:pt>
                <c:pt idx="929">
                  <c:v>42</c:v>
                </c:pt>
                <c:pt idx="930">
                  <c:v>46</c:v>
                </c:pt>
                <c:pt idx="931">
                  <c:v>41</c:v>
                </c:pt>
                <c:pt idx="932">
                  <c:v>46</c:v>
                </c:pt>
                <c:pt idx="933">
                  <c:v>45</c:v>
                </c:pt>
                <c:pt idx="934">
                  <c:v>#N/A</c:v>
                </c:pt>
                <c:pt idx="935">
                  <c:v>44</c:v>
                </c:pt>
                <c:pt idx="936">
                  <c:v>45</c:v>
                </c:pt>
                <c:pt idx="937">
                  <c:v>#N/A</c:v>
                </c:pt>
                <c:pt idx="938">
                  <c:v>43</c:v>
                </c:pt>
                <c:pt idx="939">
                  <c:v>42</c:v>
                </c:pt>
                <c:pt idx="940">
                  <c:v>41</c:v>
                </c:pt>
                <c:pt idx="941">
                  <c:v>40</c:v>
                </c:pt>
                <c:pt idx="942">
                  <c:v>43</c:v>
                </c:pt>
                <c:pt idx="943">
                  <c:v>43</c:v>
                </c:pt>
                <c:pt idx="944">
                  <c:v>41</c:v>
                </c:pt>
                <c:pt idx="945">
                  <c:v>68</c:v>
                </c:pt>
                <c:pt idx="946">
                  <c:v>64</c:v>
                </c:pt>
                <c:pt idx="947">
                  <c:v>46</c:v>
                </c:pt>
                <c:pt idx="948">
                  <c:v>37</c:v>
                </c:pt>
                <c:pt idx="949">
                  <c:v>60</c:v>
                </c:pt>
                <c:pt idx="950">
                  <c:v>61</c:v>
                </c:pt>
                <c:pt idx="951">
                  <c:v>44</c:v>
                </c:pt>
                <c:pt idx="952">
                  <c:v>40</c:v>
                </c:pt>
                <c:pt idx="953">
                  <c:v>61</c:v>
                </c:pt>
                <c:pt idx="954">
                  <c:v>#N/A</c:v>
                </c:pt>
                <c:pt idx="955">
                  <c:v>#N/A</c:v>
                </c:pt>
                <c:pt idx="956">
                  <c:v>59</c:v>
                </c:pt>
                <c:pt idx="957">
                  <c:v>43</c:v>
                </c:pt>
                <c:pt idx="958">
                  <c:v>38</c:v>
                </c:pt>
                <c:pt idx="959">
                  <c:v>#N/A</c:v>
                </c:pt>
                <c:pt idx="960">
                  <c:v>#N/A</c:v>
                </c:pt>
                <c:pt idx="961">
                  <c:v>41</c:v>
                </c:pt>
                <c:pt idx="962">
                  <c:v>39</c:v>
                </c:pt>
                <c:pt idx="963">
                  <c:v>43</c:v>
                </c:pt>
                <c:pt idx="964">
                  <c:v>38</c:v>
                </c:pt>
                <c:pt idx="965">
                  <c:v>38</c:v>
                </c:pt>
                <c:pt idx="966">
                  <c:v>37</c:v>
                </c:pt>
                <c:pt idx="967">
                  <c:v>35</c:v>
                </c:pt>
                <c:pt idx="968">
                  <c:v>38</c:v>
                </c:pt>
                <c:pt idx="969">
                  <c:v>36</c:v>
                </c:pt>
                <c:pt idx="970">
                  <c:v>58</c:v>
                </c:pt>
                <c:pt idx="971">
                  <c:v>43</c:v>
                </c:pt>
                <c:pt idx="972">
                  <c:v>47</c:v>
                </c:pt>
                <c:pt idx="973">
                  <c:v>#N/A</c:v>
                </c:pt>
                <c:pt idx="974">
                  <c:v>36</c:v>
                </c:pt>
                <c:pt idx="975">
                  <c:v>34</c:v>
                </c:pt>
                <c:pt idx="976">
                  <c:v>39</c:v>
                </c:pt>
                <c:pt idx="977">
                  <c:v>56</c:v>
                </c:pt>
                <c:pt idx="978">
                  <c:v>34</c:v>
                </c:pt>
                <c:pt idx="979">
                  <c:v>44</c:v>
                </c:pt>
                <c:pt idx="980">
                  <c:v>34</c:v>
                </c:pt>
                <c:pt idx="981">
                  <c:v>69</c:v>
                </c:pt>
                <c:pt idx="982">
                  <c:v>55</c:v>
                </c:pt>
                <c:pt idx="983">
                  <c:v>55</c:v>
                </c:pt>
                <c:pt idx="984">
                  <c:v>54</c:v>
                </c:pt>
                <c:pt idx="985">
                  <c:v>33</c:v>
                </c:pt>
                <c:pt idx="986">
                  <c:v>38</c:v>
                </c:pt>
                <c:pt idx="987">
                  <c:v>36</c:v>
                </c:pt>
                <c:pt idx="988">
                  <c:v>58</c:v>
                </c:pt>
                <c:pt idx="989">
                  <c:v>53</c:v>
                </c:pt>
                <c:pt idx="990">
                  <c:v>52</c:v>
                </c:pt>
                <c:pt idx="991">
                  <c:v>#N/A</c:v>
                </c:pt>
                <c:pt idx="992">
                  <c:v>36</c:v>
                </c:pt>
                <c:pt idx="993">
                  <c:v>46</c:v>
                </c:pt>
                <c:pt idx="994">
                  <c:v>49</c:v>
                </c:pt>
                <c:pt idx="995">
                  <c:v>33</c:v>
                </c:pt>
                <c:pt idx="996">
                  <c:v>32</c:v>
                </c:pt>
                <c:pt idx="997">
                  <c:v>27</c:v>
                </c:pt>
                <c:pt idx="998">
                  <c:v>46</c:v>
                </c:pt>
                <c:pt idx="999">
                  <c:v>27</c:v>
                </c:pt>
                <c:pt idx="1000">
                  <c:v>27</c:v>
                </c:pt>
                <c:pt idx="1001">
                  <c:v>32</c:v>
                </c:pt>
                <c:pt idx="1002">
                  <c:v>30</c:v>
                </c:pt>
                <c:pt idx="1003">
                  <c:v>41</c:v>
                </c:pt>
                <c:pt idx="1004">
                  <c:v>28</c:v>
                </c:pt>
                <c:pt idx="1005">
                  <c:v>22</c:v>
                </c:pt>
                <c:pt idx="1006">
                  <c:v>41</c:v>
                </c:pt>
                <c:pt idx="1007">
                  <c:v>19</c:v>
                </c:pt>
                <c:pt idx="1008">
                  <c:v>70</c:v>
                </c:pt>
                <c:pt idx="1009">
                  <c:v>38</c:v>
                </c:pt>
                <c:pt idx="1010">
                  <c:v>15</c:v>
                </c:pt>
                <c:pt idx="1011">
                  <c:v>23</c:v>
                </c:pt>
                <c:pt idx="1012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D5-486F-A7AF-2637484A7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221664"/>
        <c:axId val="1357222912"/>
      </c:scatterChart>
      <c:valAx>
        <c:axId val="135722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000" b="0" i="0" u="none" strike="noStrike" baseline="0">
                    <a:solidFill>
                      <a:schemeClr val="accent2"/>
                    </a:solidFill>
                  </a:rPr>
                  <a:t>Reading Score</a:t>
                </a:r>
                <a:endParaRPr lang="en-AU" baseline="0">
                  <a:solidFill>
                    <a:schemeClr val="accent2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222912"/>
        <c:crosses val="autoZero"/>
        <c:crossBetween val="midCat"/>
      </c:valAx>
      <c:valAx>
        <c:axId val="13572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000" b="0" i="0" u="none" strike="noStrike" baseline="0">
                    <a:solidFill>
                      <a:schemeClr val="accent6"/>
                    </a:solidFill>
                  </a:rPr>
                  <a:t>Writing Score</a:t>
                </a:r>
                <a:endParaRPr lang="en-AU" baseline="0">
                  <a:solidFill>
                    <a:schemeClr val="accent6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221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Math vs Reading (Y = Reading)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Math vs Reading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5020559930008755E-2"/>
                  <c:y val="-6.77416885389326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ScatterData!$A$2:$A$1014</c:f>
              <c:numCache>
                <c:formatCode>0</c:formatCode>
                <c:ptCount val="101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</c:v>
                </c:pt>
                <c:pt idx="4">
                  <c:v>97</c:v>
                </c:pt>
                <c:pt idx="5">
                  <c:v>98</c:v>
                </c:pt>
                <c:pt idx="6">
                  <c:v>96</c:v>
                </c:pt>
                <c:pt idx="7">
                  <c:v>100</c:v>
                </c:pt>
                <c:pt idx="8">
                  <c:v>100</c:v>
                </c:pt>
                <c:pt idx="9">
                  <c:v>94</c:v>
                </c:pt>
                <c:pt idx="10">
                  <c:v>93</c:v>
                </c:pt>
                <c:pt idx="11">
                  <c:v>92</c:v>
                </c:pt>
                <c:pt idx="12">
                  <c:v>92</c:v>
                </c:pt>
                <c:pt idx="13">
                  <c:v>92</c:v>
                </c:pt>
                <c:pt idx="14">
                  <c:v>96</c:v>
                </c:pt>
                <c:pt idx="15">
                  <c:v>97</c:v>
                </c:pt>
                <c:pt idx="16">
                  <c:v>100</c:v>
                </c:pt>
                <c:pt idx="17">
                  <c:v>92</c:v>
                </c:pt>
                <c:pt idx="18">
                  <c:v>89</c:v>
                </c:pt>
                <c:pt idx="19">
                  <c:v>93</c:v>
                </c:pt>
                <c:pt idx="20">
                  <c:v>87</c:v>
                </c:pt>
                <c:pt idx="21">
                  <c:v>99</c:v>
                </c:pt>
                <c:pt idx="22">
                  <c:v>87</c:v>
                </c:pt>
                <c:pt idx="23">
                  <c:v>100</c:v>
                </c:pt>
                <c:pt idx="24">
                  <c:v>88</c:v>
                </c:pt>
                <c:pt idx="25">
                  <c:v>97</c:v>
                </c:pt>
                <c:pt idx="26">
                  <c:v>91</c:v>
                </c:pt>
                <c:pt idx="27">
                  <c:v>91</c:v>
                </c:pt>
                <c:pt idx="28">
                  <c:v>90</c:v>
                </c:pt>
                <c:pt idx="29">
                  <c:v>96</c:v>
                </c:pt>
                <c:pt idx="30">
                  <c:v>91</c:v>
                </c:pt>
                <c:pt idx="31">
                  <c:v>88</c:v>
                </c:pt>
                <c:pt idx="32">
                  <c:v>95</c:v>
                </c:pt>
                <c:pt idx="33">
                  <c:v>87</c:v>
                </c:pt>
                <c:pt idx="34">
                  <c:v>88</c:v>
                </c:pt>
                <c:pt idx="35">
                  <c:v>88</c:v>
                </c:pt>
                <c:pt idx="36">
                  <c:v>82</c:v>
                </c:pt>
                <c:pt idx="37">
                  <c:v>94</c:v>
                </c:pt>
                <c:pt idx="38">
                  <c:v>98</c:v>
                </c:pt>
                <c:pt idx="39">
                  <c:v>98</c:v>
                </c:pt>
                <c:pt idx="40">
                  <c:v>88</c:v>
                </c:pt>
                <c:pt idx="41">
                  <c:v>81</c:v>
                </c:pt>
                <c:pt idx="42">
                  <c:v>94</c:v>
                </c:pt>
                <c:pt idx="43">
                  <c:v>91</c:v>
                </c:pt>
                <c:pt idx="44">
                  <c:v>83</c:v>
                </c:pt>
                <c:pt idx="45">
                  <c:v>90</c:v>
                </c:pt>
                <c:pt idx="46">
                  <c:v>84</c:v>
                </c:pt>
                <c:pt idx="47">
                  <c:v>85</c:v>
                </c:pt>
                <c:pt idx="48">
                  <c:v>87</c:v>
                </c:pt>
                <c:pt idx="49">
                  <c:v>85</c:v>
                </c:pt>
                <c:pt idx="50">
                  <c:v>85</c:v>
                </c:pt>
                <c:pt idx="51">
                  <c:v>87</c:v>
                </c:pt>
                <c:pt idx="52">
                  <c:v>82</c:v>
                </c:pt>
                <c:pt idx="53">
                  <c:v>77</c:v>
                </c:pt>
                <c:pt idx="54">
                  <c:v>82</c:v>
                </c:pt>
                <c:pt idx="55">
                  <c:v>97</c:v>
                </c:pt>
                <c:pt idx="56">
                  <c:v>99</c:v>
                </c:pt>
                <c:pt idx="57">
                  <c:v>93</c:v>
                </c:pt>
                <c:pt idx="58">
                  <c:v>94</c:v>
                </c:pt>
                <c:pt idx="59">
                  <c:v>85</c:v>
                </c:pt>
                <c:pt idx="60">
                  <c:v>97</c:v>
                </c:pt>
                <c:pt idx="61">
                  <c:v>82</c:v>
                </c:pt>
                <c:pt idx="62">
                  <c:v>77</c:v>
                </c:pt>
                <c:pt idx="63">
                  <c:v>82</c:v>
                </c:pt>
                <c:pt idx="64">
                  <c:v>93</c:v>
                </c:pt>
                <c:pt idx="65">
                  <c:v>85</c:v>
                </c:pt>
                <c:pt idx="66">
                  <c:v>86</c:v>
                </c:pt>
                <c:pt idx="67">
                  <c:v>87</c:v>
                </c:pt>
                <c:pt idx="68">
                  <c:v>87</c:v>
                </c:pt>
                <c:pt idx="69">
                  <c:v>78</c:v>
                </c:pt>
                <c:pt idx="70">
                  <c:v>77</c:v>
                </c:pt>
                <c:pt idx="71">
                  <c:v>81</c:v>
                </c:pt>
                <c:pt idx="72">
                  <c:v>88</c:v>
                </c:pt>
                <c:pt idx="73">
                  <c:v>84</c:v>
                </c:pt>
                <c:pt idx="74">
                  <c:v>84</c:v>
                </c:pt>
                <c:pt idx="75">
                  <c:v>90</c:v>
                </c:pt>
                <c:pt idx="76">
                  <c:v>90</c:v>
                </c:pt>
                <c:pt idx="77">
                  <c:v>86</c:v>
                </c:pt>
                <c:pt idx="78">
                  <c:v>85</c:v>
                </c:pt>
                <c:pt idx="79">
                  <c:v>91</c:v>
                </c:pt>
                <c:pt idx="80">
                  <c:v>79</c:v>
                </c:pt>
                <c:pt idx="81">
                  <c:v>81</c:v>
                </c:pt>
                <c:pt idx="82">
                  <c:v>94</c:v>
                </c:pt>
                <c:pt idx="83">
                  <c:v>78</c:v>
                </c:pt>
                <c:pt idx="84">
                  <c:v>91</c:v>
                </c:pt>
                <c:pt idx="85">
                  <c:v>79</c:v>
                </c:pt>
                <c:pt idx="86">
                  <c:v>95</c:v>
                </c:pt>
                <c:pt idx="87">
                  <c:v>80</c:v>
                </c:pt>
                <c:pt idx="88">
                  <c:v>81</c:v>
                </c:pt>
                <c:pt idx="89">
                  <c:v>87</c:v>
                </c:pt>
                <c:pt idx="90">
                  <c:v>80</c:v>
                </c:pt>
                <c:pt idx="91">
                  <c:v>89</c:v>
                </c:pt>
                <c:pt idx="92">
                  <c:v>90</c:v>
                </c:pt>
                <c:pt idx="93">
                  <c:v>81</c:v>
                </c:pt>
                <c:pt idx="94">
                  <c:v>77</c:v>
                </c:pt>
                <c:pt idx="95">
                  <c:v>87</c:v>
                </c:pt>
                <c:pt idx="96">
                  <c:v>85</c:v>
                </c:pt>
                <c:pt idx="97">
                  <c:v>79</c:v>
                </c:pt>
                <c:pt idx="98">
                  <c:v>83</c:v>
                </c:pt>
                <c:pt idx="99">
                  <c:v>92</c:v>
                </c:pt>
                <c:pt idx="100">
                  <c:v>79</c:v>
                </c:pt>
                <c:pt idx="101">
                  <c:v>76</c:v>
                </c:pt>
                <c:pt idx="102">
                  <c:v>87</c:v>
                </c:pt>
                <c:pt idx="103">
                  <c:v>83</c:v>
                </c:pt>
                <c:pt idx="104">
                  <c:v>77</c:v>
                </c:pt>
                <c:pt idx="105">
                  <c:v>78</c:v>
                </c:pt>
                <c:pt idx="106">
                  <c:v>89</c:v>
                </c:pt>
                <c:pt idx="107">
                  <c:v>86</c:v>
                </c:pt>
                <c:pt idx="108">
                  <c:v>89</c:v>
                </c:pt>
                <c:pt idx="109">
                  <c:v>92</c:v>
                </c:pt>
                <c:pt idx="110">
                  <c:v>79</c:v>
                </c:pt>
                <c:pt idx="111">
                  <c:v>82</c:v>
                </c:pt>
                <c:pt idx="112">
                  <c:v>81</c:v>
                </c:pt>
                <c:pt idx="113">
                  <c:v>79</c:v>
                </c:pt>
                <c:pt idx="114">
                  <c:v>75</c:v>
                </c:pt>
                <c:pt idx="115">
                  <c:v>82</c:v>
                </c:pt>
                <c:pt idx="116">
                  <c:v>77</c:v>
                </c:pt>
                <c:pt idx="117">
                  <c:v>90</c:v>
                </c:pt>
                <c:pt idx="118">
                  <c:v>80</c:v>
                </c:pt>
                <c:pt idx="119">
                  <c:v>74</c:v>
                </c:pt>
                <c:pt idx="120">
                  <c:v>74</c:v>
                </c:pt>
                <c:pt idx="121">
                  <c:v>77</c:v>
                </c:pt>
                <c:pt idx="122">
                  <c:v>82</c:v>
                </c:pt>
                <c:pt idx="123">
                  <c:v>84</c:v>
                </c:pt>
                <c:pt idx="124">
                  <c:v>85</c:v>
                </c:pt>
                <c:pt idx="125">
                  <c:v>77</c:v>
                </c:pt>
                <c:pt idx="126">
                  <c:v>91</c:v>
                </c:pt>
                <c:pt idx="127">
                  <c:v>85</c:v>
                </c:pt>
                <c:pt idx="128">
                  <c:v>77</c:v>
                </c:pt>
                <c:pt idx="129">
                  <c:v>77</c:v>
                </c:pt>
                <c:pt idx="130">
                  <c:v>89</c:v>
                </c:pt>
                <c:pt idx="131">
                  <c:v>79</c:v>
                </c:pt>
                <c:pt idx="132">
                  <c:v>83</c:v>
                </c:pt>
                <c:pt idx="133">
                  <c:v>90</c:v>
                </c:pt>
                <c:pt idx="134">
                  <c:v>80</c:v>
                </c:pt>
                <c:pt idx="135">
                  <c:v>88</c:v>
                </c:pt>
                <c:pt idx="136">
                  <c:v>77</c:v>
                </c:pt>
                <c:pt idx="137">
                  <c:v>73</c:v>
                </c:pt>
                <c:pt idx="138">
                  <c:v>74</c:v>
                </c:pt>
                <c:pt idx="139">
                  <c:v>77</c:v>
                </c:pt>
                <c:pt idx="140">
                  <c:v>82</c:v>
                </c:pt>
                <c:pt idx="141">
                  <c:v>75</c:v>
                </c:pt>
                <c:pt idx="142">
                  <c:v>76</c:v>
                </c:pt>
                <c:pt idx="143">
                  <c:v>75</c:v>
                </c:pt>
                <c:pt idx="144">
                  <c:v>84</c:v>
                </c:pt>
                <c:pt idx="145">
                  <c:v>77</c:v>
                </c:pt>
                <c:pt idx="146">
                  <c:v>76</c:v>
                </c:pt>
                <c:pt idx="147">
                  <c:v>88</c:v>
                </c:pt>
                <c:pt idx="148">
                  <c:v>70</c:v>
                </c:pt>
                <c:pt idx="149">
                  <c:v>85</c:v>
                </c:pt>
                <c:pt idx="150">
                  <c:v>86</c:v>
                </c:pt>
                <c:pt idx="151">
                  <c:v>74</c:v>
                </c:pt>
                <c:pt idx="152">
                  <c:v>75</c:v>
                </c:pt>
                <c:pt idx="153">
                  <c:v>81</c:v>
                </c:pt>
                <c:pt idx="154">
                  <c:v>87</c:v>
                </c:pt>
                <c:pt idx="155">
                  <c:v>81</c:v>
                </c:pt>
                <c:pt idx="156">
                  <c:v>79</c:v>
                </c:pt>
                <c:pt idx="157">
                  <c:v>80</c:v>
                </c:pt>
                <c:pt idx="158">
                  <c:v>81</c:v>
                </c:pt>
                <c:pt idx="159">
                  <c:v>87</c:v>
                </c:pt>
                <c:pt idx="160">
                  <c:v>81</c:v>
                </c:pt>
                <c:pt idx="161">
                  <c:v>84</c:v>
                </c:pt>
                <c:pt idx="162">
                  <c:v>78</c:v>
                </c:pt>
                <c:pt idx="163">
                  <c:v>84</c:v>
                </c:pt>
                <c:pt idx="164">
                  <c:v>91</c:v>
                </c:pt>
                <c:pt idx="165">
                  <c:v>82</c:v>
                </c:pt>
                <c:pt idx="166">
                  <c:v>82</c:v>
                </c:pt>
                <c:pt idx="167">
                  <c:v>79</c:v>
                </c:pt>
                <c:pt idx="168">
                  <c:v>76</c:v>
                </c:pt>
                <c:pt idx="169">
                  <c:v>71</c:v>
                </c:pt>
                <c:pt idx="170">
                  <c:v>75</c:v>
                </c:pt>
                <c:pt idx="171">
                  <c:v>84</c:v>
                </c:pt>
                <c:pt idx="172">
                  <c:v>73</c:v>
                </c:pt>
                <c:pt idx="173">
                  <c:v>79</c:v>
                </c:pt>
                <c:pt idx="174">
                  <c:v>88</c:v>
                </c:pt>
                <c:pt idx="175">
                  <c:v>86</c:v>
                </c:pt>
                <c:pt idx="176">
                  <c:v>81</c:v>
                </c:pt>
                <c:pt idx="177">
                  <c:v>88</c:v>
                </c:pt>
                <c:pt idx="178">
                  <c:v>73</c:v>
                </c:pt>
                <c:pt idx="179">
                  <c:v>78</c:v>
                </c:pt>
                <c:pt idx="180">
                  <c:v>86</c:v>
                </c:pt>
                <c:pt idx="181">
                  <c:v>91</c:v>
                </c:pt>
                <c:pt idx="182">
                  <c:v>79</c:v>
                </c:pt>
                <c:pt idx="183">
                  <c:v>78</c:v>
                </c:pt>
                <c:pt idx="184">
                  <c:v>75</c:v>
                </c:pt>
                <c:pt idx="185">
                  <c:v>81</c:v>
                </c:pt>
                <c:pt idx="186">
                  <c:v>75</c:v>
                </c:pt>
                <c:pt idx="187">
                  <c:v>71</c:v>
                </c:pt>
                <c:pt idx="188">
                  <c:v>80</c:v>
                </c:pt>
                <c:pt idx="189">
                  <c:v>78</c:v>
                </c:pt>
                <c:pt idx="190">
                  <c:v>88</c:v>
                </c:pt>
                <c:pt idx="191">
                  <c:v>89</c:v>
                </c:pt>
                <c:pt idx="192">
                  <c:v>88</c:v>
                </c:pt>
                <c:pt idx="193">
                  <c:v>82</c:v>
                </c:pt>
                <c:pt idx="194">
                  <c:v>78</c:v>
                </c:pt>
                <c:pt idx="195">
                  <c:v>75</c:v>
                </c:pt>
                <c:pt idx="196">
                  <c:v>74</c:v>
                </c:pt>
                <c:pt idx="197">
                  <c:v>82</c:v>
                </c:pt>
                <c:pt idx="198">
                  <c:v>76</c:v>
                </c:pt>
                <c:pt idx="199">
                  <c:v>69</c:v>
                </c:pt>
                <c:pt idx="200">
                  <c:v>80</c:v>
                </c:pt>
                <c:pt idx="201">
                  <c:v>67</c:v>
                </c:pt>
                <c:pt idx="202">
                  <c:v>94</c:v>
                </c:pt>
                <c:pt idx="203">
                  <c:v>67</c:v>
                </c:pt>
                <c:pt idx="204">
                  <c:v>81</c:v>
                </c:pt>
                <c:pt idx="205">
                  <c:v>71</c:v>
                </c:pt>
                <c:pt idx="206">
                  <c:v>87</c:v>
                </c:pt>
                <c:pt idx="207">
                  <c:v>81</c:v>
                </c:pt>
                <c:pt idx="208">
                  <c:v>88</c:v>
                </c:pt>
                <c:pt idx="209">
                  <c:v>81</c:v>
                </c:pt>
                <c:pt idx="210">
                  <c:v>83</c:v>
                </c:pt>
                <c:pt idx="211">
                  <c:v>67</c:v>
                </c:pt>
                <c:pt idx="212">
                  <c:v>79</c:v>
                </c:pt>
                <c:pt idx="213">
                  <c:v>73</c:v>
                </c:pt>
                <c:pt idx="214">
                  <c:v>77</c:v>
                </c:pt>
                <c:pt idx="215">
                  <c:v>86</c:v>
                </c:pt>
                <c:pt idx="216">
                  <c:v>69</c:v>
                </c:pt>
                <c:pt idx="217">
                  <c:v>75</c:v>
                </c:pt>
                <c:pt idx="218">
                  <c:v>67</c:v>
                </c:pt>
                <c:pt idx="219">
                  <c:v>73</c:v>
                </c:pt>
                <c:pt idx="220">
                  <c:v>84</c:v>
                </c:pt>
                <c:pt idx="221">
                  <c:v>78</c:v>
                </c:pt>
                <c:pt idx="222">
                  <c:v>74</c:v>
                </c:pt>
                <c:pt idx="223">
                  <c:v>72</c:v>
                </c:pt>
                <c:pt idx="224">
                  <c:v>67</c:v>
                </c:pt>
                <c:pt idx="225">
                  <c:v>69</c:v>
                </c:pt>
                <c:pt idx="226">
                  <c:v>75</c:v>
                </c:pt>
                <c:pt idx="227">
                  <c:v>61</c:v>
                </c:pt>
                <c:pt idx="228">
                  <c:v>82</c:v>
                </c:pt>
                <c:pt idx="229">
                  <c:v>83</c:v>
                </c:pt>
                <c:pt idx="230">
                  <c:v>82</c:v>
                </c:pt>
                <c:pt idx="231">
                  <c:v>79</c:v>
                </c:pt>
                <c:pt idx="232">
                  <c:v>64</c:v>
                </c:pt>
                <c:pt idx="233">
                  <c:v>79</c:v>
                </c:pt>
                <c:pt idx="234">
                  <c:v>76</c:v>
                </c:pt>
                <c:pt idx="235">
                  <c:v>90</c:v>
                </c:pt>
                <c:pt idx="236">
                  <c:v>81</c:v>
                </c:pt>
                <c:pt idx="237">
                  <c:v>78</c:v>
                </c:pt>
                <c:pt idx="238">
                  <c:v>83</c:v>
                </c:pt>
                <c:pt idx="239">
                  <c:v>74</c:v>
                </c:pt>
                <c:pt idx="240">
                  <c:v>65</c:v>
                </c:pt>
                <c:pt idx="241">
                  <c:v>72</c:v>
                </c:pt>
                <c:pt idx="242">
                  <c:v>71</c:v>
                </c:pt>
                <c:pt idx="243">
                  <c:v>80</c:v>
                </c:pt>
                <c:pt idx="244">
                  <c:v>85</c:v>
                </c:pt>
                <c:pt idx="245">
                  <c:v>80</c:v>
                </c:pt>
                <c:pt idx="246">
                  <c:v>67</c:v>
                </c:pt>
                <c:pt idx="247">
                  <c:v>74</c:v>
                </c:pt>
                <c:pt idx="248">
                  <c:v>71</c:v>
                </c:pt>
                <c:pt idx="249">
                  <c:v>84</c:v>
                </c:pt>
                <c:pt idx="250">
                  <c:v>73</c:v>
                </c:pt>
                <c:pt idx="251">
                  <c:v>66</c:v>
                </c:pt>
                <c:pt idx="252">
                  <c:v>72</c:v>
                </c:pt>
                <c:pt idx="253">
                  <c:v>87</c:v>
                </c:pt>
                <c:pt idx="254">
                  <c:v>81</c:v>
                </c:pt>
                <c:pt idx="255">
                  <c:v>87</c:v>
                </c:pt>
                <c:pt idx="256">
                  <c:v>74</c:v>
                </c:pt>
                <c:pt idx="257">
                  <c:v>65</c:v>
                </c:pt>
                <c:pt idx="258">
                  <c:v>71</c:v>
                </c:pt>
                <c:pt idx="259">
                  <c:v>79</c:v>
                </c:pt>
                <c:pt idx="260">
                  <c:v>73</c:v>
                </c:pt>
                <c:pt idx="261">
                  <c:v>79</c:v>
                </c:pt>
                <c:pt idx="262">
                  <c:v>74</c:v>
                </c:pt>
                <c:pt idx="263">
                  <c:v>77</c:v>
                </c:pt>
                <c:pt idx="264">
                  <c:v>67</c:v>
                </c:pt>
                <c:pt idx="265">
                  <c:v>71</c:v>
                </c:pt>
                <c:pt idx="266">
                  <c:v>81</c:v>
                </c:pt>
                <c:pt idx="267">
                  <c:v>75</c:v>
                </c:pt>
                <c:pt idx="268">
                  <c:v>76</c:v>
                </c:pt>
                <c:pt idx="269">
                  <c:v>68</c:v>
                </c:pt>
                <c:pt idx="270">
                  <c:v>86</c:v>
                </c:pt>
                <c:pt idx="271">
                  <c:v>73</c:v>
                </c:pt>
                <c:pt idx="272">
                  <c:v>69</c:v>
                </c:pt>
                <c:pt idx="273">
                  <c:v>76</c:v>
                </c:pt>
                <c:pt idx="274">
                  <c:v>74</c:v>
                </c:pt>
                <c:pt idx="275">
                  <c:v>74</c:v>
                </c:pt>
                <c:pt idx="276">
                  <c:v>73</c:v>
                </c:pt>
                <c:pt idx="277">
                  <c:v>65</c:v>
                </c:pt>
                <c:pt idx="278">
                  <c:v>67</c:v>
                </c:pt>
                <c:pt idx="279">
                  <c:v>70</c:v>
                </c:pt>
                <c:pt idx="280">
                  <c:v>85</c:v>
                </c:pt>
                <c:pt idx="281">
                  <c:v>77</c:v>
                </c:pt>
                <c:pt idx="282">
                  <c:v>72</c:v>
                </c:pt>
                <c:pt idx="283">
                  <c:v>65</c:v>
                </c:pt>
                <c:pt idx="284">
                  <c:v>72</c:v>
                </c:pt>
                <c:pt idx="285">
                  <c:v>67</c:v>
                </c:pt>
                <c:pt idx="286">
                  <c:v>65</c:v>
                </c:pt>
                <c:pt idx="287">
                  <c:v>73</c:v>
                </c:pt>
                <c:pt idx="288">
                  <c:v>73</c:v>
                </c:pt>
                <c:pt idx="289">
                  <c:v>77</c:v>
                </c:pt>
                <c:pt idx="290">
                  <c:v>73</c:v>
                </c:pt>
                <c:pt idx="291">
                  <c:v>74</c:v>
                </c:pt>
                <c:pt idx="292">
                  <c:v>75</c:v>
                </c:pt>
                <c:pt idx="293">
                  <c:v>70</c:v>
                </c:pt>
                <c:pt idx="294">
                  <c:v>84</c:v>
                </c:pt>
                <c:pt idx="295">
                  <c:v>81</c:v>
                </c:pt>
                <c:pt idx="296">
                  <c:v>74</c:v>
                </c:pt>
                <c:pt idx="297">
                  <c:v>76</c:v>
                </c:pt>
                <c:pt idx="298">
                  <c:v>81</c:v>
                </c:pt>
                <c:pt idx="299">
                  <c:v>74</c:v>
                </c:pt>
                <c:pt idx="300">
                  <c:v>79</c:v>
                </c:pt>
                <c:pt idx="301">
                  <c:v>71</c:v>
                </c:pt>
                <c:pt idx="302">
                  <c:v>68</c:v>
                </c:pt>
                <c:pt idx="303">
                  <c:v>81</c:v>
                </c:pt>
                <c:pt idx="304">
                  <c:v>80</c:v>
                </c:pt>
                <c:pt idx="305">
                  <c:v>72</c:v>
                </c:pt>
                <c:pt idx="306">
                  <c:v>65</c:v>
                </c:pt>
                <c:pt idx="307">
                  <c:v>65</c:v>
                </c:pt>
                <c:pt idx="308">
                  <c:v>73</c:v>
                </c:pt>
                <c:pt idx="309">
                  <c:v>65</c:v>
                </c:pt>
                <c:pt idx="310">
                  <c:v>68</c:v>
                </c:pt>
                <c:pt idx="311">
                  <c:v>59</c:v>
                </c:pt>
                <c:pt idx="312">
                  <c:v>67</c:v>
                </c:pt>
                <c:pt idx="313">
                  <c:v>68</c:v>
                </c:pt>
                <c:pt idx="314">
                  <c:v>74</c:v>
                </c:pt>
                <c:pt idx="315">
                  <c:v>69</c:v>
                </c:pt>
                <c:pt idx="316">
                  <c:v>80</c:v>
                </c:pt>
                <c:pt idx="317">
                  <c:v>78</c:v>
                </c:pt>
                <c:pt idx="318">
                  <c:v>74</c:v>
                </c:pt>
                <c:pt idx="319">
                  <c:v>70</c:v>
                </c:pt>
                <c:pt idx="320">
                  <c:v>63</c:v>
                </c:pt>
                <c:pt idx="321">
                  <c:v>69</c:v>
                </c:pt>
                <c:pt idx="322">
                  <c:v>74</c:v>
                </c:pt>
                <c:pt idx="323">
                  <c:v>76</c:v>
                </c:pt>
                <c:pt idx="324">
                  <c:v>69</c:v>
                </c:pt>
                <c:pt idx="325">
                  <c:v>73</c:v>
                </c:pt>
                <c:pt idx="326">
                  <c:v>69</c:v>
                </c:pt>
                <c:pt idx="327">
                  <c:v>64</c:v>
                </c:pt>
                <c:pt idx="328">
                  <c:v>68</c:v>
                </c:pt>
                <c:pt idx="329">
                  <c:v>69</c:v>
                </c:pt>
                <c:pt idx="330">
                  <c:v>77</c:v>
                </c:pt>
                <c:pt idx="331">
                  <c:v>66</c:v>
                </c:pt>
                <c:pt idx="332">
                  <c:v>85</c:v>
                </c:pt>
                <c:pt idx="333">
                  <c:v>75</c:v>
                </c:pt>
                <c:pt idx="334">
                  <c:v>71</c:v>
                </c:pt>
                <c:pt idx="335">
                  <c:v>71</c:v>
                </c:pt>
                <c:pt idx="336">
                  <c:v>80</c:v>
                </c:pt>
                <c:pt idx="337">
                  <c:v>63</c:v>
                </c:pt>
                <c:pt idx="338">
                  <c:v>66</c:v>
                </c:pt>
                <c:pt idx="339">
                  <c:v>66</c:v>
                </c:pt>
                <c:pt idx="340">
                  <c:v>78</c:v>
                </c:pt>
                <c:pt idx="341">
                  <c:v>69</c:v>
                </c:pt>
                <c:pt idx="342">
                  <c:v>64</c:v>
                </c:pt>
                <c:pt idx="343">
                  <c:v>80</c:v>
                </c:pt>
                <c:pt idx="344">
                  <c:v>74</c:v>
                </c:pt>
                <c:pt idx="345">
                  <c:v>80</c:v>
                </c:pt>
                <c:pt idx="346">
                  <c:v>76</c:v>
                </c:pt>
                <c:pt idx="347">
                  <c:v>79</c:v>
                </c:pt>
                <c:pt idx="348">
                  <c:v>63</c:v>
                </c:pt>
                <c:pt idx="349">
                  <c:v>74</c:v>
                </c:pt>
                <c:pt idx="350">
                  <c:v>65</c:v>
                </c:pt>
                <c:pt idx="351">
                  <c:v>73</c:v>
                </c:pt>
                <c:pt idx="352">
                  <c:v>76</c:v>
                </c:pt>
                <c:pt idx="353">
                  <c:v>69</c:v>
                </c:pt>
                <c:pt idx="354">
                  <c:v>79</c:v>
                </c:pt>
                <c:pt idx="355">
                  <c:v>76</c:v>
                </c:pt>
                <c:pt idx="356">
                  <c:v>69</c:v>
                </c:pt>
                <c:pt idx="357">
                  <c:v>62</c:v>
                </c:pt>
                <c:pt idx="358">
                  <c:v>78</c:v>
                </c:pt>
                <c:pt idx="359">
                  <c:v>72</c:v>
                </c:pt>
                <c:pt idx="360">
                  <c:v>66</c:v>
                </c:pt>
                <c:pt idx="361">
                  <c:v>75</c:v>
                </c:pt>
                <c:pt idx="362">
                  <c:v>69</c:v>
                </c:pt>
                <c:pt idx="363">
                  <c:v>67</c:v>
                </c:pt>
                <c:pt idx="364">
                  <c:v>73</c:v>
                </c:pt>
                <c:pt idx="365">
                  <c:v>67</c:v>
                </c:pt>
                <c:pt idx="366">
                  <c:v>74</c:v>
                </c:pt>
                <c:pt idx="367">
                  <c:v>70</c:v>
                </c:pt>
                <c:pt idx="368">
                  <c:v>62</c:v>
                </c:pt>
                <c:pt idx="369">
                  <c:v>69</c:v>
                </c:pt>
                <c:pt idx="370">
                  <c:v>76</c:v>
                </c:pt>
                <c:pt idx="371">
                  <c:v>71</c:v>
                </c:pt>
                <c:pt idx="372">
                  <c:v>71</c:v>
                </c:pt>
                <c:pt idx="373">
                  <c:v>65</c:v>
                </c:pt>
                <c:pt idx="374">
                  <c:v>65</c:v>
                </c:pt>
                <c:pt idx="375">
                  <c:v>71</c:v>
                </c:pt>
                <c:pt idx="376">
                  <c:v>68</c:v>
                </c:pt>
                <c:pt idx="377">
                  <c:v>65</c:v>
                </c:pt>
                <c:pt idx="378">
                  <c:v>65</c:v>
                </c:pt>
                <c:pt idx="379">
                  <c:v>65</c:v>
                </c:pt>
                <c:pt idx="380">
                  <c:v>71</c:v>
                </c:pt>
                <c:pt idx="381">
                  <c:v>65</c:v>
                </c:pt>
                <c:pt idx="382">
                  <c:v>66</c:v>
                </c:pt>
                <c:pt idx="383">
                  <c:v>65</c:v>
                </c:pt>
                <c:pt idx="384">
                  <c:v>69</c:v>
                </c:pt>
                <c:pt idx="385">
                  <c:v>69</c:v>
                </c:pt>
                <c:pt idx="386">
                  <c:v>72</c:v>
                </c:pt>
                <c:pt idx="387">
                  <c:v>76</c:v>
                </c:pt>
                <c:pt idx="388">
                  <c:v>75</c:v>
                </c:pt>
                <c:pt idx="389">
                  <c:v>70</c:v>
                </c:pt>
                <c:pt idx="390">
                  <c:v>70</c:v>
                </c:pt>
                <c:pt idx="391">
                  <c:v>69</c:v>
                </c:pt>
                <c:pt idx="392">
                  <c:v>76</c:v>
                </c:pt>
                <c:pt idx="393">
                  <c:v>74</c:v>
                </c:pt>
                <c:pt idx="394">
                  <c:v>75</c:v>
                </c:pt>
                <c:pt idx="395">
                  <c:v>76</c:v>
                </c:pt>
                <c:pt idx="396">
                  <c:v>63</c:v>
                </c:pt>
                <c:pt idx="397">
                  <c:v>57</c:v>
                </c:pt>
                <c:pt idx="398">
                  <c:v>68</c:v>
                </c:pt>
                <c:pt idx="399">
                  <c:v>64</c:v>
                </c:pt>
                <c:pt idx="400">
                  <c:v>67</c:v>
                </c:pt>
                <c:pt idx="401">
                  <c:v>57</c:v>
                </c:pt>
                <c:pt idx="402">
                  <c:v>77</c:v>
                </c:pt>
                <c:pt idx="403">
                  <c:v>66</c:v>
                </c:pt>
                <c:pt idx="404">
                  <c:v>79</c:v>
                </c:pt>
                <c:pt idx="405">
                  <c:v>66</c:v>
                </c:pt>
                <c:pt idx="406">
                  <c:v>65</c:v>
                </c:pt>
                <c:pt idx="407">
                  <c:v>71</c:v>
                </c:pt>
                <c:pt idx="408">
                  <c:v>71</c:v>
                </c:pt>
                <c:pt idx="409">
                  <c:v>59</c:v>
                </c:pt>
                <c:pt idx="410">
                  <c:v>66</c:v>
                </c:pt>
                <c:pt idx="411">
                  <c:v>67</c:v>
                </c:pt>
                <c:pt idx="412">
                  <c:v>64</c:v>
                </c:pt>
                <c:pt idx="413">
                  <c:v>74</c:v>
                </c:pt>
                <c:pt idx="414">
                  <c:v>77</c:v>
                </c:pt>
                <c:pt idx="415">
                  <c:v>58</c:v>
                </c:pt>
                <c:pt idx="416">
                  <c:v>67</c:v>
                </c:pt>
                <c:pt idx="417">
                  <c:v>75</c:v>
                </c:pt>
                <c:pt idx="418">
                  <c:v>67</c:v>
                </c:pt>
                <c:pt idx="419">
                  <c:v>65</c:v>
                </c:pt>
                <c:pt idx="420">
                  <c:v>63</c:v>
                </c:pt>
                <c:pt idx="421">
                  <c:v>59</c:v>
                </c:pt>
                <c:pt idx="422">
                  <c:v>71</c:v>
                </c:pt>
                <c:pt idx="423">
                  <c:v>67</c:v>
                </c:pt>
                <c:pt idx="424">
                  <c:v>81</c:v>
                </c:pt>
                <c:pt idx="425">
                  <c:v>68</c:v>
                </c:pt>
                <c:pt idx="426">
                  <c:v>65</c:v>
                </c:pt>
                <c:pt idx="427">
                  <c:v>76</c:v>
                </c:pt>
                <c:pt idx="428">
                  <c:v>73</c:v>
                </c:pt>
                <c:pt idx="429">
                  <c:v>61</c:v>
                </c:pt>
                <c:pt idx="430">
                  <c:v>66</c:v>
                </c:pt>
                <c:pt idx="431">
                  <c:v>70</c:v>
                </c:pt>
                <c:pt idx="432">
                  <c:v>58</c:v>
                </c:pt>
                <c:pt idx="433">
                  <c:v>70</c:v>
                </c:pt>
                <c:pt idx="434">
                  <c:v>65</c:v>
                </c:pt>
                <c:pt idx="435">
                  <c:v>82</c:v>
                </c:pt>
                <c:pt idx="436">
                  <c:v>80</c:v>
                </c:pt>
                <c:pt idx="437">
                  <c:v>72</c:v>
                </c:pt>
                <c:pt idx="438">
                  <c:v>60</c:v>
                </c:pt>
                <c:pt idx="439">
                  <c:v>75</c:v>
                </c:pt>
                <c:pt idx="440">
                  <c:v>71</c:v>
                </c:pt>
                <c:pt idx="441">
                  <c:v>65</c:v>
                </c:pt>
                <c:pt idx="442">
                  <c:v>66</c:v>
                </c:pt>
                <c:pt idx="443">
                  <c:v>68</c:v>
                </c:pt>
                <c:pt idx="444">
                  <c:v>73</c:v>
                </c:pt>
                <c:pt idx="445">
                  <c:v>71</c:v>
                </c:pt>
                <c:pt idx="446">
                  <c:v>66</c:v>
                </c:pt>
                <c:pt idx="447">
                  <c:v>67</c:v>
                </c:pt>
                <c:pt idx="448">
                  <c:v>75</c:v>
                </c:pt>
                <c:pt idx="449">
                  <c:v>64</c:v>
                </c:pt>
                <c:pt idx="450">
                  <c:v>69</c:v>
                </c:pt>
                <c:pt idx="451">
                  <c:v>62</c:v>
                </c:pt>
                <c:pt idx="452">
                  <c:v>62</c:v>
                </c:pt>
                <c:pt idx="453">
                  <c:v>57</c:v>
                </c:pt>
                <c:pt idx="454">
                  <c:v>61</c:v>
                </c:pt>
                <c:pt idx="455">
                  <c:v>72</c:v>
                </c:pt>
                <c:pt idx="456">
                  <c:v>73</c:v>
                </c:pt>
                <c:pt idx="457">
                  <c:v>73</c:v>
                </c:pt>
                <c:pt idx="458">
                  <c:v>64</c:v>
                </c:pt>
                <c:pt idx="459">
                  <c:v>56</c:v>
                </c:pt>
                <c:pt idx="460">
                  <c:v>63</c:v>
                </c:pt>
                <c:pt idx="461">
                  <c:v>61</c:v>
                </c:pt>
                <c:pt idx="462">
                  <c:v>55</c:v>
                </c:pt>
                <c:pt idx="463">
                  <c:v>75</c:v>
                </c:pt>
                <c:pt idx="464">
                  <c:v>60</c:v>
                </c:pt>
                <c:pt idx="465">
                  <c:v>82</c:v>
                </c:pt>
                <c:pt idx="466">
                  <c:v>76</c:v>
                </c:pt>
                <c:pt idx="467">
                  <c:v>67</c:v>
                </c:pt>
                <c:pt idx="468">
                  <c:v>63</c:v>
                </c:pt>
                <c:pt idx="469">
                  <c:v>62</c:v>
                </c:pt>
                <c:pt idx="470">
                  <c:v>55</c:v>
                </c:pt>
                <c:pt idx="471">
                  <c:v>65</c:v>
                </c:pt>
                <c:pt idx="472">
                  <c:v>80</c:v>
                </c:pt>
                <c:pt idx="473">
                  <c:v>69</c:v>
                </c:pt>
                <c:pt idx="474">
                  <c:v>70</c:v>
                </c:pt>
                <c:pt idx="475">
                  <c:v>63</c:v>
                </c:pt>
                <c:pt idx="476">
                  <c:v>62</c:v>
                </c:pt>
                <c:pt idx="477">
                  <c:v>62</c:v>
                </c:pt>
                <c:pt idx="478">
                  <c:v>64</c:v>
                </c:pt>
                <c:pt idx="479">
                  <c:v>69</c:v>
                </c:pt>
                <c:pt idx="480">
                  <c:v>69</c:v>
                </c:pt>
                <c:pt idx="481">
                  <c:v>73</c:v>
                </c:pt>
                <c:pt idx="482">
                  <c:v>72</c:v>
                </c:pt>
                <c:pt idx="483">
                  <c:v>68</c:v>
                </c:pt>
                <c:pt idx="484">
                  <c:v>71</c:v>
                </c:pt>
                <c:pt idx="485">
                  <c:v>61</c:v>
                </c:pt>
                <c:pt idx="486">
                  <c:v>57</c:v>
                </c:pt>
                <c:pt idx="487">
                  <c:v>65</c:v>
                </c:pt>
                <c:pt idx="488">
                  <c:v>68</c:v>
                </c:pt>
                <c:pt idx="489">
                  <c:v>68</c:v>
                </c:pt>
                <c:pt idx="490">
                  <c:v>63</c:v>
                </c:pt>
                <c:pt idx="491">
                  <c:v>72</c:v>
                </c:pt>
                <c:pt idx="492">
                  <c:v>76</c:v>
                </c:pt>
                <c:pt idx="493">
                  <c:v>68</c:v>
                </c:pt>
                <c:pt idx="494">
                  <c:v>79</c:v>
                </c:pt>
                <c:pt idx="495">
                  <c:v>60</c:v>
                </c:pt>
                <c:pt idx="496">
                  <c:v>62</c:v>
                </c:pt>
                <c:pt idx="497">
                  <c:v>59</c:v>
                </c:pt>
                <c:pt idx="498">
                  <c:v>68</c:v>
                </c:pt>
                <c:pt idx="499">
                  <c:v>72</c:v>
                </c:pt>
                <c:pt idx="500">
                  <c:v>62</c:v>
                </c:pt>
                <c:pt idx="501">
                  <c:v>63</c:v>
                </c:pt>
                <c:pt idx="502">
                  <c:v>61</c:v>
                </c:pt>
                <c:pt idx="503">
                  <c:v>66</c:v>
                </c:pt>
                <c:pt idx="504">
                  <c:v>72</c:v>
                </c:pt>
                <c:pt idx="505">
                  <c:v>77</c:v>
                </c:pt>
                <c:pt idx="506">
                  <c:v>68</c:v>
                </c:pt>
                <c:pt idx="507">
                  <c:v>71</c:v>
                </c:pt>
                <c:pt idx="508">
                  <c:v>59</c:v>
                </c:pt>
                <c:pt idx="509">
                  <c:v>57</c:v>
                </c:pt>
                <c:pt idx="510">
                  <c:v>69</c:v>
                </c:pt>
                <c:pt idx="511">
                  <c:v>73</c:v>
                </c:pt>
                <c:pt idx="512">
                  <c:v>71</c:v>
                </c:pt>
                <c:pt idx="513">
                  <c:v>77</c:v>
                </c:pt>
                <c:pt idx="514">
                  <c:v>59</c:v>
                </c:pt>
                <c:pt idx="515">
                  <c:v>73</c:v>
                </c:pt>
                <c:pt idx="516">
                  <c:v>67</c:v>
                </c:pt>
                <c:pt idx="517">
                  <c:v>65</c:v>
                </c:pt>
                <c:pt idx="518">
                  <c:v>59</c:v>
                </c:pt>
                <c:pt idx="519">
                  <c:v>69</c:v>
                </c:pt>
                <c:pt idx="520">
                  <c:v>63</c:v>
                </c:pt>
                <c:pt idx="521">
                  <c:v>66</c:v>
                </c:pt>
                <c:pt idx="522">
                  <c:v>60</c:v>
                </c:pt>
                <c:pt idx="523">
                  <c:v>59</c:v>
                </c:pt>
                <c:pt idx="524">
                  <c:v>68</c:v>
                </c:pt>
                <c:pt idx="525">
                  <c:v>60</c:v>
                </c:pt>
                <c:pt idx="526">
                  <c:v>62</c:v>
                </c:pt>
                <c:pt idx="527">
                  <c:v>58</c:v>
                </c:pt>
                <c:pt idx="528">
                  <c:v>72</c:v>
                </c:pt>
                <c:pt idx="529">
                  <c:v>73</c:v>
                </c:pt>
                <c:pt idx="530">
                  <c:v>62</c:v>
                </c:pt>
                <c:pt idx="531">
                  <c:v>59</c:v>
                </c:pt>
                <c:pt idx="532">
                  <c:v>66</c:v>
                </c:pt>
                <c:pt idx="533">
                  <c:v>62</c:v>
                </c:pt>
                <c:pt idx="534">
                  <c:v>52</c:v>
                </c:pt>
                <c:pt idx="535">
                  <c:v>62</c:v>
                </c:pt>
                <c:pt idx="536">
                  <c:v>56</c:v>
                </c:pt>
                <c:pt idx="537">
                  <c:v>64</c:v>
                </c:pt>
                <c:pt idx="538">
                  <c:v>59</c:v>
                </c:pt>
                <c:pt idx="539">
                  <c:v>64</c:v>
                </c:pt>
                <c:pt idx="540">
                  <c:v>76</c:v>
                </c:pt>
                <c:pt idx="541">
                  <c:v>57</c:v>
                </c:pt>
                <c:pt idx="542">
                  <c:v>60</c:v>
                </c:pt>
                <c:pt idx="543">
                  <c:v>74</c:v>
                </c:pt>
                <c:pt idx="544">
                  <c:v>65</c:v>
                </c:pt>
                <c:pt idx="545">
                  <c:v>59</c:v>
                </c:pt>
                <c:pt idx="546">
                  <c:v>61</c:v>
                </c:pt>
                <c:pt idx="547">
                  <c:v>71</c:v>
                </c:pt>
                <c:pt idx="548">
                  <c:v>63</c:v>
                </c:pt>
                <c:pt idx="549">
                  <c:v>68</c:v>
                </c:pt>
                <c:pt idx="550">
                  <c:v>65</c:v>
                </c:pt>
                <c:pt idx="551">
                  <c:v>62</c:v>
                </c:pt>
                <c:pt idx="552">
                  <c:v>63</c:v>
                </c:pt>
                <c:pt idx="553">
                  <c:v>58</c:v>
                </c:pt>
                <c:pt idx="554">
                  <c:v>67</c:v>
                </c:pt>
                <c:pt idx="555">
                  <c:v>62</c:v>
                </c:pt>
                <c:pt idx="556">
                  <c:v>69</c:v>
                </c:pt>
                <c:pt idx="557">
                  <c:v>62</c:v>
                </c:pt>
                <c:pt idx="558">
                  <c:v>57</c:v>
                </c:pt>
                <c:pt idx="559">
                  <c:v>60</c:v>
                </c:pt>
                <c:pt idx="560">
                  <c:v>64</c:v>
                </c:pt>
                <c:pt idx="561">
                  <c:v>58</c:v>
                </c:pt>
                <c:pt idx="562">
                  <c:v>59</c:v>
                </c:pt>
                <c:pt idx="563">
                  <c:v>61</c:v>
                </c:pt>
                <c:pt idx="564">
                  <c:v>69</c:v>
                </c:pt>
                <c:pt idx="565">
                  <c:v>75</c:v>
                </c:pt>
                <c:pt idx="566">
                  <c:v>70</c:v>
                </c:pt>
                <c:pt idx="567">
                  <c:v>55</c:v>
                </c:pt>
                <c:pt idx="568">
                  <c:v>59</c:v>
                </c:pt>
                <c:pt idx="569">
                  <c:v>58</c:v>
                </c:pt>
                <c:pt idx="570">
                  <c:v>65</c:v>
                </c:pt>
                <c:pt idx="571">
                  <c:v>57</c:v>
                </c:pt>
                <c:pt idx="572">
                  <c:v>74</c:v>
                </c:pt>
                <c:pt idx="573">
                  <c:v>61</c:v>
                </c:pt>
                <c:pt idx="574">
                  <c:v>59</c:v>
                </c:pt>
                <c:pt idx="575">
                  <c:v>63</c:v>
                </c:pt>
                <c:pt idx="576">
                  <c:v>68</c:v>
                </c:pt>
                <c:pt idx="577">
                  <c:v>56</c:v>
                </c:pt>
                <c:pt idx="578">
                  <c:v>73</c:v>
                </c:pt>
                <c:pt idx="579">
                  <c:v>56</c:v>
                </c:pt>
                <c:pt idx="580">
                  <c:v>65</c:v>
                </c:pt>
                <c:pt idx="581">
                  <c:v>66</c:v>
                </c:pt>
                <c:pt idx="582">
                  <c:v>59</c:v>
                </c:pt>
                <c:pt idx="583">
                  <c:v>69</c:v>
                </c:pt>
                <c:pt idx="584">
                  <c:v>65</c:v>
                </c:pt>
                <c:pt idx="585">
                  <c:v>64</c:v>
                </c:pt>
                <c:pt idx="586">
                  <c:v>62</c:v>
                </c:pt>
                <c:pt idx="587">
                  <c:v>53</c:v>
                </c:pt>
                <c:pt idx="588">
                  <c:v>63</c:v>
                </c:pt>
                <c:pt idx="589">
                  <c:v>67</c:v>
                </c:pt>
                <c:pt idx="590">
                  <c:v>66</c:v>
                </c:pt>
                <c:pt idx="591">
                  <c:v>62</c:v>
                </c:pt>
                <c:pt idx="592">
                  <c:v>71</c:v>
                </c:pt>
                <c:pt idx="593">
                  <c:v>66</c:v>
                </c:pt>
                <c:pt idx="594">
                  <c:v>69</c:v>
                </c:pt>
                <c:pt idx="595">
                  <c:v>53</c:v>
                </c:pt>
                <c:pt idx="596">
                  <c:v>61</c:v>
                </c:pt>
                <c:pt idx="597">
                  <c:v>52</c:v>
                </c:pt>
                <c:pt idx="598">
                  <c:v>65</c:v>
                </c:pt>
                <c:pt idx="599">
                  <c:v>53</c:v>
                </c:pt>
                <c:pt idx="600">
                  <c:v>62</c:v>
                </c:pt>
                <c:pt idx="601">
                  <c:v>52</c:v>
                </c:pt>
                <c:pt idx="602">
                  <c:v>66</c:v>
                </c:pt>
                <c:pt idx="603">
                  <c:v>70</c:v>
                </c:pt>
                <c:pt idx="604">
                  <c:v>72</c:v>
                </c:pt>
                <c:pt idx="605">
                  <c:v>59</c:v>
                </c:pt>
                <c:pt idx="606">
                  <c:v>62</c:v>
                </c:pt>
                <c:pt idx="607">
                  <c:v>62</c:v>
                </c:pt>
                <c:pt idx="608">
                  <c:v>50</c:v>
                </c:pt>
                <c:pt idx="609">
                  <c:v>59</c:v>
                </c:pt>
                <c:pt idx="610">
                  <c:v>63</c:v>
                </c:pt>
                <c:pt idx="611">
                  <c:v>55</c:v>
                </c:pt>
                <c:pt idx="612">
                  <c:v>68</c:v>
                </c:pt>
                <c:pt idx="613">
                  <c:v>64</c:v>
                </c:pt>
                <c:pt idx="614">
                  <c:v>55</c:v>
                </c:pt>
                <c:pt idx="615">
                  <c:v>97</c:v>
                </c:pt>
                <c:pt idx="616">
                  <c:v>53</c:v>
                </c:pt>
                <c:pt idx="617">
                  <c:v>45</c:v>
                </c:pt>
                <c:pt idx="618">
                  <c:v>60</c:v>
                </c:pt>
                <c:pt idx="619">
                  <c:v>63</c:v>
                </c:pt>
                <c:pt idx="620">
                  <c:v>58</c:v>
                </c:pt>
                <c:pt idx="621">
                  <c:v>88</c:v>
                </c:pt>
                <c:pt idx="622">
                  <c:v>59</c:v>
                </c:pt>
                <c:pt idx="623">
                  <c:v>68</c:v>
                </c:pt>
                <c:pt idx="624">
                  <c:v>61</c:v>
                </c:pt>
                <c:pt idx="625">
                  <c:v>62</c:v>
                </c:pt>
                <c:pt idx="626">
                  <c:v>62</c:v>
                </c:pt>
                <c:pt idx="627">
                  <c:v>58</c:v>
                </c:pt>
                <c:pt idx="628">
                  <c:v>72</c:v>
                </c:pt>
                <c:pt idx="629">
                  <c:v>73</c:v>
                </c:pt>
                <c:pt idx="630">
                  <c:v>52</c:v>
                </c:pt>
                <c:pt idx="631">
                  <c:v>54</c:v>
                </c:pt>
                <c:pt idx="632">
                  <c:v>58</c:v>
                </c:pt>
                <c:pt idx="633">
                  <c:v>59</c:v>
                </c:pt>
                <c:pt idx="634">
                  <c:v>63</c:v>
                </c:pt>
                <c:pt idx="635">
                  <c:v>59</c:v>
                </c:pt>
                <c:pt idx="636">
                  <c:v>58</c:v>
                </c:pt>
                <c:pt idx="637">
                  <c:v>63</c:v>
                </c:pt>
                <c:pt idx="638">
                  <c:v>68</c:v>
                </c:pt>
                <c:pt idx="639">
                  <c:v>54</c:v>
                </c:pt>
                <c:pt idx="640">
                  <c:v>54</c:v>
                </c:pt>
                <c:pt idx="641">
                  <c:v>62</c:v>
                </c:pt>
                <c:pt idx="642">
                  <c:v>52</c:v>
                </c:pt>
                <c:pt idx="643">
                  <c:v>56</c:v>
                </c:pt>
                <c:pt idx="644">
                  <c:v>61</c:v>
                </c:pt>
                <c:pt idx="645">
                  <c:v>69</c:v>
                </c:pt>
                <c:pt idx="646">
                  <c:v>63</c:v>
                </c:pt>
                <c:pt idx="647">
                  <c:v>67</c:v>
                </c:pt>
                <c:pt idx="648">
                  <c:v>54</c:v>
                </c:pt>
                <c:pt idx="649">
                  <c:v>61</c:v>
                </c:pt>
                <c:pt idx="650">
                  <c:v>54</c:v>
                </c:pt>
                <c:pt idx="651">
                  <c:v>66</c:v>
                </c:pt>
                <c:pt idx="652">
                  <c:v>54</c:v>
                </c:pt>
                <c:pt idx="653">
                  <c:v>71</c:v>
                </c:pt>
                <c:pt idx="654">
                  <c:v>58</c:v>
                </c:pt>
                <c:pt idx="655">
                  <c:v>67</c:v>
                </c:pt>
                <c:pt idx="656">
                  <c:v>69</c:v>
                </c:pt>
                <c:pt idx="657">
                  <c:v>55</c:v>
                </c:pt>
                <c:pt idx="658">
                  <c:v>55</c:v>
                </c:pt>
                <c:pt idx="659">
                  <c:v>59</c:v>
                </c:pt>
                <c:pt idx="660">
                  <c:v>53</c:v>
                </c:pt>
                <c:pt idx="661">
                  <c:v>60</c:v>
                </c:pt>
                <c:pt idx="662">
                  <c:v>#N/A</c:v>
                </c:pt>
                <c:pt idx="663">
                  <c:v>60</c:v>
                </c:pt>
                <c:pt idx="664">
                  <c:v>63</c:v>
                </c:pt>
                <c:pt idx="665">
                  <c:v>70</c:v>
                </c:pt>
                <c:pt idx="666">
                  <c:v>68</c:v>
                </c:pt>
                <c:pt idx="667">
                  <c:v>62</c:v>
                </c:pt>
                <c:pt idx="668">
                  <c:v>61</c:v>
                </c:pt>
                <c:pt idx="669">
                  <c:v>62</c:v>
                </c:pt>
                <c:pt idx="670">
                  <c:v>62</c:v>
                </c:pt>
                <c:pt idx="671">
                  <c:v>60</c:v>
                </c:pt>
                <c:pt idx="672">
                  <c:v>63</c:v>
                </c:pt>
                <c:pt idx="673">
                  <c:v>62</c:v>
                </c:pt>
                <c:pt idx="674">
                  <c:v>69</c:v>
                </c:pt>
                <c:pt idx="675">
                  <c:v>85</c:v>
                </c:pt>
                <c:pt idx="676">
                  <c:v>50</c:v>
                </c:pt>
                <c:pt idx="677">
                  <c:v>59</c:v>
                </c:pt>
                <c:pt idx="678">
                  <c:v>50</c:v>
                </c:pt>
                <c:pt idx="679">
                  <c:v>50</c:v>
                </c:pt>
                <c:pt idx="680">
                  <c:v>58</c:v>
                </c:pt>
                <c:pt idx="681">
                  <c:v>57</c:v>
                </c:pt>
                <c:pt idx="682">
                  <c:v>51</c:v>
                </c:pt>
                <c:pt idx="683">
                  <c:v>48</c:v>
                </c:pt>
                <c:pt idx="684">
                  <c:v>52</c:v>
                </c:pt>
                <c:pt idx="685">
                  <c:v>69</c:v>
                </c:pt>
                <c:pt idx="686">
                  <c:v>62</c:v>
                </c:pt>
                <c:pt idx="687">
                  <c:v>63</c:v>
                </c:pt>
                <c:pt idx="688">
                  <c:v>52</c:v>
                </c:pt>
                <c:pt idx="689">
                  <c:v>61</c:v>
                </c:pt>
                <c:pt idx="690">
                  <c:v>56</c:v>
                </c:pt>
                <c:pt idx="691">
                  <c:v>59</c:v>
                </c:pt>
                <c:pt idx="692">
                  <c:v>65</c:v>
                </c:pt>
                <c:pt idx="693">
                  <c:v>70</c:v>
                </c:pt>
                <c:pt idx="694">
                  <c:v>54</c:v>
                </c:pt>
                <c:pt idx="695">
                  <c:v>56</c:v>
                </c:pt>
                <c:pt idx="696">
                  <c:v>54</c:v>
                </c:pt>
                <c:pt idx="697">
                  <c:v>66</c:v>
                </c:pt>
                <c:pt idx="698">
                  <c:v>67</c:v>
                </c:pt>
                <c:pt idx="699">
                  <c:v>53</c:v>
                </c:pt>
                <c:pt idx="700">
                  <c:v>65</c:v>
                </c:pt>
                <c:pt idx="701">
                  <c:v>59</c:v>
                </c:pt>
                <c:pt idx="702">
                  <c:v>63</c:v>
                </c:pt>
                <c:pt idx="703">
                  <c:v>46</c:v>
                </c:pt>
                <c:pt idx="704">
                  <c:v>53</c:v>
                </c:pt>
                <c:pt idx="705">
                  <c:v>68</c:v>
                </c:pt>
                <c:pt idx="706">
                  <c:v>61</c:v>
                </c:pt>
                <c:pt idx="707">
                  <c:v>52</c:v>
                </c:pt>
                <c:pt idx="708">
                  <c:v>58</c:v>
                </c:pt>
                <c:pt idx="709">
                  <c:v>51</c:v>
                </c:pt>
                <c:pt idx="710">
                  <c:v>66</c:v>
                </c:pt>
                <c:pt idx="711">
                  <c:v>54</c:v>
                </c:pt>
                <c:pt idx="712">
                  <c:v>58</c:v>
                </c:pt>
                <c:pt idx="713">
                  <c:v>68</c:v>
                </c:pt>
                <c:pt idx="714">
                  <c:v>47</c:v>
                </c:pt>
                <c:pt idx="715">
                  <c:v>49</c:v>
                </c:pt>
                <c:pt idx="716">
                  <c:v>61</c:v>
                </c:pt>
                <c:pt idx="717">
                  <c:v>64</c:v>
                </c:pt>
                <c:pt idx="718">
                  <c:v>54</c:v>
                </c:pt>
                <c:pt idx="719">
                  <c:v>50</c:v>
                </c:pt>
                <c:pt idx="720">
                  <c:v>61</c:v>
                </c:pt>
                <c:pt idx="721">
                  <c:v>88</c:v>
                </c:pt>
                <c:pt idx="722">
                  <c:v>60</c:v>
                </c:pt>
                <c:pt idx="723">
                  <c:v>83</c:v>
                </c:pt>
                <c:pt idx="724">
                  <c:v>55</c:v>
                </c:pt>
                <c:pt idx="725">
                  <c:v>52</c:v>
                </c:pt>
                <c:pt idx="726">
                  <c:v>64</c:v>
                </c:pt>
                <c:pt idx="727">
                  <c:v>54</c:v>
                </c:pt>
                <c:pt idx="728">
                  <c:v>94</c:v>
                </c:pt>
                <c:pt idx="729">
                  <c:v>47</c:v>
                </c:pt>
                <c:pt idx="730">
                  <c:v>61</c:v>
                </c:pt>
                <c:pt idx="731">
                  <c:v>65</c:v>
                </c:pt>
                <c:pt idx="732">
                  <c:v>71</c:v>
                </c:pt>
                <c:pt idx="733">
                  <c:v>57</c:v>
                </c:pt>
                <c:pt idx="734">
                  <c:v>64</c:v>
                </c:pt>
                <c:pt idx="735">
                  <c:v>57</c:v>
                </c:pt>
                <c:pt idx="736">
                  <c:v>62</c:v>
                </c:pt>
                <c:pt idx="737">
                  <c:v>62</c:v>
                </c:pt>
                <c:pt idx="738">
                  <c:v>58</c:v>
                </c:pt>
                <c:pt idx="739">
                  <c:v>81</c:v>
                </c:pt>
                <c:pt idx="740">
                  <c:v>53</c:v>
                </c:pt>
                <c:pt idx="741">
                  <c:v>62</c:v>
                </c:pt>
                <c:pt idx="742">
                  <c:v>87</c:v>
                </c:pt>
                <c:pt idx="743">
                  <c:v>57</c:v>
                </c:pt>
                <c:pt idx="744">
                  <c:v>55</c:v>
                </c:pt>
                <c:pt idx="745">
                  <c:v>50</c:v>
                </c:pt>
                <c:pt idx="746">
                  <c:v>48</c:v>
                </c:pt>
                <c:pt idx="747">
                  <c:v>49</c:v>
                </c:pt>
                <c:pt idx="748">
                  <c:v>51</c:v>
                </c:pt>
                <c:pt idx="749">
                  <c:v>44</c:v>
                </c:pt>
                <c:pt idx="750">
                  <c:v>58</c:v>
                </c:pt>
                <c:pt idx="751">
                  <c:v>50</c:v>
                </c:pt>
                <c:pt idx="752">
                  <c:v>40</c:v>
                </c:pt>
                <c:pt idx="753">
                  <c:v>61</c:v>
                </c:pt>
                <c:pt idx="754">
                  <c:v>52</c:v>
                </c:pt>
                <c:pt idx="755">
                  <c:v>55</c:v>
                </c:pt>
                <c:pt idx="756">
                  <c:v>60</c:v>
                </c:pt>
                <c:pt idx="757">
                  <c:v>49</c:v>
                </c:pt>
                <c:pt idx="758">
                  <c:v>53</c:v>
                </c:pt>
                <c:pt idx="759">
                  <c:v>45</c:v>
                </c:pt>
                <c:pt idx="760">
                  <c:v>58</c:v>
                </c:pt>
                <c:pt idx="761">
                  <c:v>64</c:v>
                </c:pt>
                <c:pt idx="762">
                  <c:v>53</c:v>
                </c:pt>
                <c:pt idx="763">
                  <c:v>60</c:v>
                </c:pt>
                <c:pt idx="764">
                  <c:v>49</c:v>
                </c:pt>
                <c:pt idx="765">
                  <c:v>57</c:v>
                </c:pt>
                <c:pt idx="766">
                  <c:v>57</c:v>
                </c:pt>
                <c:pt idx="767">
                  <c:v>52</c:v>
                </c:pt>
                <c:pt idx="768">
                  <c:v>49</c:v>
                </c:pt>
                <c:pt idx="769">
                  <c:v>45</c:v>
                </c:pt>
                <c:pt idx="770">
                  <c:v>62</c:v>
                </c:pt>
                <c:pt idx="771">
                  <c:v>53</c:v>
                </c:pt>
                <c:pt idx="772">
                  <c:v>58</c:v>
                </c:pt>
                <c:pt idx="773">
                  <c:v>43</c:v>
                </c:pt>
                <c:pt idx="774">
                  <c:v>52</c:v>
                </c:pt>
                <c:pt idx="775">
                  <c:v>80</c:v>
                </c:pt>
                <c:pt idx="776">
                  <c:v>55</c:v>
                </c:pt>
                <c:pt idx="777">
                  <c:v>58</c:v>
                </c:pt>
                <c:pt idx="778">
                  <c:v>42</c:v>
                </c:pt>
                <c:pt idx="779">
                  <c:v>61</c:v>
                </c:pt>
                <c:pt idx="780">
                  <c:v>61</c:v>
                </c:pt>
                <c:pt idx="781">
                  <c:v>52</c:v>
                </c:pt>
                <c:pt idx="782">
                  <c:v>59</c:v>
                </c:pt>
                <c:pt idx="783">
                  <c:v>59</c:v>
                </c:pt>
                <c:pt idx="784">
                  <c:v>58</c:v>
                </c:pt>
                <c:pt idx="785">
                  <c:v>51</c:v>
                </c:pt>
                <c:pt idx="786">
                  <c:v>56</c:v>
                </c:pt>
                <c:pt idx="787">
                  <c:v>54</c:v>
                </c:pt>
                <c:pt idx="788">
                  <c:v>53</c:v>
                </c:pt>
                <c:pt idx="789">
                  <c:v>55</c:v>
                </c:pt>
                <c:pt idx="790">
                  <c:v>56</c:v>
                </c:pt>
                <c:pt idx="791">
                  <c:v>82</c:v>
                </c:pt>
                <c:pt idx="792">
                  <c:v>48</c:v>
                </c:pt>
                <c:pt idx="793">
                  <c:v>49</c:v>
                </c:pt>
                <c:pt idx="794">
                  <c:v>46</c:v>
                </c:pt>
                <c:pt idx="795">
                  <c:v>57</c:v>
                </c:pt>
                <c:pt idx="796">
                  <c:v>50</c:v>
                </c:pt>
                <c:pt idx="797">
                  <c:v>58</c:v>
                </c:pt>
                <c:pt idx="798">
                  <c:v>57</c:v>
                </c:pt>
                <c:pt idx="799">
                  <c:v>46</c:v>
                </c:pt>
                <c:pt idx="800">
                  <c:v>#N/A</c:v>
                </c:pt>
                <c:pt idx="801">
                  <c:v>58</c:v>
                </c:pt>
                <c:pt idx="802">
                  <c:v>43</c:v>
                </c:pt>
                <c:pt idx="803">
                  <c:v>42</c:v>
                </c:pt>
                <c:pt idx="804">
                  <c:v>84</c:v>
                </c:pt>
                <c:pt idx="805">
                  <c:v>50</c:v>
                </c:pt>
                <c:pt idx="806">
                  <c:v>39</c:v>
                </c:pt>
                <c:pt idx="807">
                  <c:v>51</c:v>
                </c:pt>
                <c:pt idx="808">
                  <c:v>48</c:v>
                </c:pt>
                <c:pt idx="809">
                  <c:v>52</c:v>
                </c:pt>
                <c:pt idx="810">
                  <c:v>81</c:v>
                </c:pt>
                <c:pt idx="811">
                  <c:v>46</c:v>
                </c:pt>
                <c:pt idx="812">
                  <c:v>46</c:v>
                </c:pt>
                <c:pt idx="813">
                  <c:v>54</c:v>
                </c:pt>
                <c:pt idx="814">
                  <c:v>47</c:v>
                </c:pt>
                <c:pt idx="815">
                  <c:v>49</c:v>
                </c:pt>
                <c:pt idx="816">
                  <c:v>63</c:v>
                </c:pt>
                <c:pt idx="817">
                  <c:v>48</c:v>
                </c:pt>
                <c:pt idx="818">
                  <c:v>69</c:v>
                </c:pt>
                <c:pt idx="819">
                  <c:v>54</c:v>
                </c:pt>
                <c:pt idx="820">
                  <c:v>59</c:v>
                </c:pt>
                <c:pt idx="821">
                  <c:v>64</c:v>
                </c:pt>
                <c:pt idx="822">
                  <c:v>55</c:v>
                </c:pt>
                <c:pt idx="823">
                  <c:v>44</c:v>
                </c:pt>
                <c:pt idx="824">
                  <c:v>53</c:v>
                </c:pt>
                <c:pt idx="825">
                  <c:v>52</c:v>
                </c:pt>
                <c:pt idx="826">
                  <c:v>47</c:v>
                </c:pt>
                <c:pt idx="827">
                  <c:v>57</c:v>
                </c:pt>
                <c:pt idx="828">
                  <c:v>53</c:v>
                </c:pt>
                <c:pt idx="829">
                  <c:v>45</c:v>
                </c:pt>
                <c:pt idx="830">
                  <c:v>53</c:v>
                </c:pt>
                <c:pt idx="831">
                  <c:v>49</c:v>
                </c:pt>
                <c:pt idx="832">
                  <c:v>79</c:v>
                </c:pt>
                <c:pt idx="833">
                  <c:v>53</c:v>
                </c:pt>
                <c:pt idx="834">
                  <c:v>61</c:v>
                </c:pt>
                <c:pt idx="835">
                  <c:v>53</c:v>
                </c:pt>
                <c:pt idx="836">
                  <c:v>49</c:v>
                </c:pt>
                <c:pt idx="837">
                  <c:v>48</c:v>
                </c:pt>
                <c:pt idx="838">
                  <c:v>48</c:v>
                </c:pt>
                <c:pt idx="839">
                  <c:v>54</c:v>
                </c:pt>
                <c:pt idx="840">
                  <c:v>49</c:v>
                </c:pt>
                <c:pt idx="841">
                  <c:v>52</c:v>
                </c:pt>
                <c:pt idx="842">
                  <c:v>#N/A</c:v>
                </c:pt>
                <c:pt idx="843">
                  <c:v>68</c:v>
                </c:pt>
                <c:pt idx="844">
                  <c:v>54</c:v>
                </c:pt>
                <c:pt idx="845">
                  <c:v>53</c:v>
                </c:pt>
                <c:pt idx="846">
                  <c:v>47</c:v>
                </c:pt>
                <c:pt idx="847">
                  <c:v>45</c:v>
                </c:pt>
                <c:pt idx="848">
                  <c:v>59</c:v>
                </c:pt>
                <c:pt idx="849">
                  <c:v>54</c:v>
                </c:pt>
                <c:pt idx="850">
                  <c:v>40</c:v>
                </c:pt>
                <c:pt idx="851">
                  <c:v>58</c:v>
                </c:pt>
                <c:pt idx="852">
                  <c:v>40</c:v>
                </c:pt>
                <c:pt idx="853">
                  <c:v>49</c:v>
                </c:pt>
                <c:pt idx="854">
                  <c:v>49</c:v>
                </c:pt>
                <c:pt idx="855">
                  <c:v>44</c:v>
                </c:pt>
                <c:pt idx="856">
                  <c:v>50</c:v>
                </c:pt>
                <c:pt idx="857">
                  <c:v>60</c:v>
                </c:pt>
                <c:pt idx="858">
                  <c:v>51</c:v>
                </c:pt>
                <c:pt idx="859">
                  <c:v>42</c:v>
                </c:pt>
                <c:pt idx="860">
                  <c:v>70</c:v>
                </c:pt>
                <c:pt idx="861">
                  <c:v>49</c:v>
                </c:pt>
                <c:pt idx="862">
                  <c:v>49</c:v>
                </c:pt>
                <c:pt idx="863">
                  <c:v>54</c:v>
                </c:pt>
                <c:pt idx="864">
                  <c:v>35</c:v>
                </c:pt>
                <c:pt idx="865">
                  <c:v>35</c:v>
                </c:pt>
                <c:pt idx="866">
                  <c:v>44</c:v>
                </c:pt>
                <c:pt idx="867">
                  <c:v>37</c:v>
                </c:pt>
                <c:pt idx="868">
                  <c:v>40</c:v>
                </c:pt>
                <c:pt idx="869">
                  <c:v>58</c:v>
                </c:pt>
                <c:pt idx="870">
                  <c:v>43</c:v>
                </c:pt>
                <c:pt idx="871">
                  <c:v>52</c:v>
                </c:pt>
                <c:pt idx="872">
                  <c:v>69</c:v>
                </c:pt>
                <c:pt idx="873">
                  <c:v>47</c:v>
                </c:pt>
                <c:pt idx="874">
                  <c:v>38</c:v>
                </c:pt>
                <c:pt idx="875">
                  <c:v>43</c:v>
                </c:pt>
                <c:pt idx="876">
                  <c:v>40</c:v>
                </c:pt>
                <c:pt idx="877">
                  <c:v>57</c:v>
                </c:pt>
                <c:pt idx="878">
                  <c:v>50</c:v>
                </c:pt>
                <c:pt idx="879">
                  <c:v>53</c:v>
                </c:pt>
                <c:pt idx="880">
                  <c:v>51</c:v>
                </c:pt>
                <c:pt idx="881">
                  <c:v>41</c:v>
                </c:pt>
                <c:pt idx="882">
                  <c:v>52</c:v>
                </c:pt>
                <c:pt idx="883">
                  <c:v>47</c:v>
                </c:pt>
                <c:pt idx="884">
                  <c:v>51</c:v>
                </c:pt>
                <c:pt idx="885">
                  <c:v>72</c:v>
                </c:pt>
                <c:pt idx="886">
                  <c:v>45</c:v>
                </c:pt>
                <c:pt idx="887">
                  <c:v>#N/A</c:v>
                </c:pt>
                <c:pt idx="888">
                  <c:v>55</c:v>
                </c:pt>
                <c:pt idx="889">
                  <c:v>77</c:v>
                </c:pt>
                <c:pt idx="890">
                  <c:v>48</c:v>
                </c:pt>
                <c:pt idx="891">
                  <c:v>44</c:v>
                </c:pt>
                <c:pt idx="892">
                  <c:v>42</c:v>
                </c:pt>
                <c:pt idx="893">
                  <c:v>70</c:v>
                </c:pt>
                <c:pt idx="894">
                  <c:v>55</c:v>
                </c:pt>
                <c:pt idx="895">
                  <c:v>73</c:v>
                </c:pt>
                <c:pt idx="896">
                  <c:v>63</c:v>
                </c:pt>
                <c:pt idx="897">
                  <c:v>41</c:v>
                </c:pt>
                <c:pt idx="898">
                  <c:v>77</c:v>
                </c:pt>
                <c:pt idx="899">
                  <c:v>55</c:v>
                </c:pt>
                <c:pt idx="900">
                  <c:v>61</c:v>
                </c:pt>
                <c:pt idx="901">
                  <c:v>55</c:v>
                </c:pt>
                <c:pt idx="902">
                  <c:v>49</c:v>
                </c:pt>
                <c:pt idx="903">
                  <c:v>44</c:v>
                </c:pt>
                <c:pt idx="904">
                  <c:v>66</c:v>
                </c:pt>
                <c:pt idx="905">
                  <c:v>65</c:v>
                </c:pt>
                <c:pt idx="906">
                  <c:v>59</c:v>
                </c:pt>
                <c:pt idx="907">
                  <c:v>45</c:v>
                </c:pt>
                <c:pt idx="908">
                  <c:v>41</c:v>
                </c:pt>
                <c:pt idx="909">
                  <c:v>37</c:v>
                </c:pt>
                <c:pt idx="910">
                  <c:v>50</c:v>
                </c:pt>
                <c:pt idx="911">
                  <c:v>#N/A</c:v>
                </c:pt>
                <c:pt idx="912">
                  <c:v>70</c:v>
                </c:pt>
                <c:pt idx="913">
                  <c:v>50</c:v>
                </c:pt>
                <c:pt idx="914">
                  <c:v>53</c:v>
                </c:pt>
                <c:pt idx="915">
                  <c:v>49</c:v>
                </c:pt>
                <c:pt idx="916">
                  <c:v>49</c:v>
                </c:pt>
                <c:pt idx="917">
                  <c:v>53</c:v>
                </c:pt>
                <c:pt idx="918">
                  <c:v>75</c:v>
                </c:pt>
                <c:pt idx="919">
                  <c:v>#N/A</c:v>
                </c:pt>
                <c:pt idx="920">
                  <c:v>43</c:v>
                </c:pt>
                <c:pt idx="921">
                  <c:v>40</c:v>
                </c:pt>
                <c:pt idx="922">
                  <c:v>53</c:v>
                </c:pt>
                <c:pt idx="923">
                  <c:v>39</c:v>
                </c:pt>
                <c:pt idx="924">
                  <c:v>#N/A</c:v>
                </c:pt>
                <c:pt idx="925">
                  <c:v>40</c:v>
                </c:pt>
                <c:pt idx="926">
                  <c:v>48</c:v>
                </c:pt>
                <c:pt idx="927">
                  <c:v>40</c:v>
                </c:pt>
                <c:pt idx="928">
                  <c:v>65</c:v>
                </c:pt>
                <c:pt idx="929">
                  <c:v>47</c:v>
                </c:pt>
                <c:pt idx="930">
                  <c:v>46</c:v>
                </c:pt>
                <c:pt idx="931">
                  <c:v>48</c:v>
                </c:pt>
                <c:pt idx="932">
                  <c:v>35</c:v>
                </c:pt>
                <c:pt idx="933">
                  <c:v>44</c:v>
                </c:pt>
                <c:pt idx="934">
                  <c:v>61</c:v>
                </c:pt>
                <c:pt idx="935">
                  <c:v>46</c:v>
                </c:pt>
                <c:pt idx="936">
                  <c:v>38</c:v>
                </c:pt>
                <c:pt idx="937">
                  <c:v>68</c:v>
                </c:pt>
                <c:pt idx="938">
                  <c:v>36</c:v>
                </c:pt>
                <c:pt idx="939">
                  <c:v>46</c:v>
                </c:pt>
                <c:pt idx="940">
                  <c:v>47</c:v>
                </c:pt>
                <c:pt idx="941">
                  <c:v>53</c:v>
                </c:pt>
                <c:pt idx="942">
                  <c:v>46</c:v>
                </c:pt>
                <c:pt idx="943">
                  <c:v>41</c:v>
                </c:pt>
                <c:pt idx="944">
                  <c:v>46</c:v>
                </c:pt>
                <c:pt idx="945">
                  <c:v>#N/A</c:v>
                </c:pt>
                <c:pt idx="946">
                  <c:v>66</c:v>
                </c:pt>
                <c:pt idx="947">
                  <c:v>37</c:v>
                </c:pt>
                <c:pt idx="948">
                  <c:v>53</c:v>
                </c:pt>
                <c:pt idx="949">
                  <c:v>67</c:v>
                </c:pt>
                <c:pt idx="950">
                  <c:v>#N/A</c:v>
                </c:pt>
                <c:pt idx="951">
                  <c:v>32</c:v>
                </c:pt>
                <c:pt idx="952">
                  <c:v>41</c:v>
                </c:pt>
                <c:pt idx="953">
                  <c:v>#N/A</c:v>
                </c:pt>
                <c:pt idx="954">
                  <c:v>58</c:v>
                </c:pt>
                <c:pt idx="955">
                  <c:v>59</c:v>
                </c:pt>
                <c:pt idx="956">
                  <c:v>#N/A</c:v>
                </c:pt>
                <c:pt idx="957">
                  <c:v>38</c:v>
                </c:pt>
                <c:pt idx="958">
                  <c:v>44</c:v>
                </c:pt>
                <c:pt idx="959">
                  <c:v>51</c:v>
                </c:pt>
                <c:pt idx="960">
                  <c:v>62</c:v>
                </c:pt>
                <c:pt idx="961">
                  <c:v>34</c:v>
                </c:pt>
                <c:pt idx="962">
                  <c:v>40</c:v>
                </c:pt>
                <c:pt idx="963">
                  <c:v>35</c:v>
                </c:pt>
                <c:pt idx="964">
                  <c:v>40</c:v>
                </c:pt>
                <c:pt idx="965">
                  <c:v>37</c:v>
                </c:pt>
                <c:pt idx="966">
                  <c:v>45</c:v>
                </c:pt>
                <c:pt idx="967">
                  <c:v>47</c:v>
                </c:pt>
                <c:pt idx="968">
                  <c:v>39</c:v>
                </c:pt>
                <c:pt idx="969">
                  <c:v>51</c:v>
                </c:pt>
                <c:pt idx="970">
                  <c:v>#N/A</c:v>
                </c:pt>
                <c:pt idx="971">
                  <c:v>33</c:v>
                </c:pt>
                <c:pt idx="972">
                  <c:v>29</c:v>
                </c:pt>
                <c:pt idx="973">
                  <c:v>59</c:v>
                </c:pt>
                <c:pt idx="974">
                  <c:v>46</c:v>
                </c:pt>
                <c:pt idx="975">
                  <c:v>42</c:v>
                </c:pt>
                <c:pt idx="976">
                  <c:v>34</c:v>
                </c:pt>
                <c:pt idx="977">
                  <c:v>#N/A</c:v>
                </c:pt>
                <c:pt idx="978">
                  <c:v>41</c:v>
                </c:pt>
                <c:pt idx="979">
                  <c:v>29</c:v>
                </c:pt>
                <c:pt idx="980">
                  <c:v>39</c:v>
                </c:pt>
                <c:pt idx="981">
                  <c:v>42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32</c:v>
                </c:pt>
                <c:pt idx="986">
                  <c:v>32</c:v>
                </c:pt>
                <c:pt idx="987">
                  <c:v>23</c:v>
                </c:pt>
                <c:pt idx="988">
                  <c:v>44</c:v>
                </c:pt>
                <c:pt idx="989">
                  <c:v>#N/A</c:v>
                </c:pt>
                <c:pt idx="990">
                  <c:v>#N/A</c:v>
                </c:pt>
                <c:pt idx="991">
                  <c:v>55</c:v>
                </c:pt>
                <c:pt idx="992">
                  <c:v>27</c:v>
                </c:pt>
                <c:pt idx="993">
                  <c:v>#N/A</c:v>
                </c:pt>
                <c:pt idx="994">
                  <c:v>47</c:v>
                </c:pt>
                <c:pt idx="995">
                  <c:v>22</c:v>
                </c:pt>
                <c:pt idx="996">
                  <c:v>27</c:v>
                </c:pt>
                <c:pt idx="997">
                  <c:v>36</c:v>
                </c:pt>
                <c:pt idx="998">
                  <c:v>45</c:v>
                </c:pt>
                <c:pt idx="999">
                  <c:v>35</c:v>
                </c:pt>
                <c:pt idx="1000">
                  <c:v>24</c:v>
                </c:pt>
                <c:pt idx="1001">
                  <c:v>19</c:v>
                </c:pt>
                <c:pt idx="1002">
                  <c:v>29</c:v>
                </c:pt>
                <c:pt idx="1003">
                  <c:v>#N/A</c:v>
                </c:pt>
                <c:pt idx="1004">
                  <c:v>18</c:v>
                </c:pt>
                <c:pt idx="1005">
                  <c:v>30</c:v>
                </c:pt>
                <c:pt idx="1006">
                  <c:v>34</c:v>
                </c:pt>
                <c:pt idx="1007">
                  <c:v>28</c:v>
                </c:pt>
                <c:pt idx="1008">
                  <c:v>#N/A</c:v>
                </c:pt>
                <c:pt idx="1009">
                  <c:v>#N/A</c:v>
                </c:pt>
                <c:pt idx="1010">
                  <c:v>30</c:v>
                </c:pt>
                <c:pt idx="1011">
                  <c:v>8</c:v>
                </c:pt>
                <c:pt idx="1012">
                  <c:v>0</c:v>
                </c:pt>
              </c:numCache>
            </c:numRef>
          </c:xVal>
          <c:yVal>
            <c:numRef>
              <c:f>ScatterData!$B$2:$B$1014</c:f>
              <c:numCache>
                <c:formatCode>0</c:formatCode>
                <c:ptCount val="101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97</c:v>
                </c:pt>
                <c:pt idx="8">
                  <c:v>100</c:v>
                </c:pt>
                <c:pt idx="9">
                  <c:v>99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96</c:v>
                </c:pt>
                <c:pt idx="15">
                  <c:v>97</c:v>
                </c:pt>
                <c:pt idx="16">
                  <c:v>92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93</c:v>
                </c:pt>
                <c:pt idx="22">
                  <c:v>100</c:v>
                </c:pt>
                <c:pt idx="23">
                  <c:v>96</c:v>
                </c:pt>
                <c:pt idx="24">
                  <c:v>99</c:v>
                </c:pt>
                <c:pt idx="25">
                  <c:v>93</c:v>
                </c:pt>
                <c:pt idx="26">
                  <c:v>95</c:v>
                </c:pt>
                <c:pt idx="27">
                  <c:v>96</c:v>
                </c:pt>
                <c:pt idx="28">
                  <c:v>95</c:v>
                </c:pt>
                <c:pt idx="29">
                  <c:v>90</c:v>
                </c:pt>
                <c:pt idx="30">
                  <c:v>96</c:v>
                </c:pt>
                <c:pt idx="31">
                  <c:v>95</c:v>
                </c:pt>
                <c:pt idx="32">
                  <c:v>89</c:v>
                </c:pt>
                <c:pt idx="33">
                  <c:v>94</c:v>
                </c:pt>
                <c:pt idx="34">
                  <c:v>95</c:v>
                </c:pt>
                <c:pt idx="35">
                  <c:v>92</c:v>
                </c:pt>
                <c:pt idx="36">
                  <c:v>97</c:v>
                </c:pt>
                <c:pt idx="37">
                  <c:v>90</c:v>
                </c:pt>
                <c:pt idx="38">
                  <c:v>87</c:v>
                </c:pt>
                <c:pt idx="39">
                  <c:v>86</c:v>
                </c:pt>
                <c:pt idx="40">
                  <c:v>93</c:v>
                </c:pt>
                <c:pt idx="41">
                  <c:v>97</c:v>
                </c:pt>
                <c:pt idx="42">
                  <c:v>87</c:v>
                </c:pt>
                <c:pt idx="43">
                  <c:v>89</c:v>
                </c:pt>
                <c:pt idx="44">
                  <c:v>93</c:v>
                </c:pt>
                <c:pt idx="45">
                  <c:v>90</c:v>
                </c:pt>
                <c:pt idx="46">
                  <c:v>95</c:v>
                </c:pt>
                <c:pt idx="47">
                  <c:v>92</c:v>
                </c:pt>
                <c:pt idx="48">
                  <c:v>89</c:v>
                </c:pt>
                <c:pt idx="49">
                  <c:v>89</c:v>
                </c:pt>
                <c:pt idx="50">
                  <c:v>86</c:v>
                </c:pt>
                <c:pt idx="51">
                  <c:v>95</c:v>
                </c:pt>
                <c:pt idx="52">
                  <c:v>93</c:v>
                </c:pt>
                <c:pt idx="53">
                  <c:v>97</c:v>
                </c:pt>
                <c:pt idx="54">
                  <c:v>93</c:v>
                </c:pt>
                <c:pt idx="55">
                  <c:v>82</c:v>
                </c:pt>
                <c:pt idx="56">
                  <c:v>87</c:v>
                </c:pt>
                <c:pt idx="57">
                  <c:v>84</c:v>
                </c:pt>
                <c:pt idx="58">
                  <c:v>86</c:v>
                </c:pt>
                <c:pt idx="59">
                  <c:v>90</c:v>
                </c:pt>
                <c:pt idx="60">
                  <c:v>87</c:v>
                </c:pt>
                <c:pt idx="61">
                  <c:v>90</c:v>
                </c:pt>
                <c:pt idx="62">
                  <c:v>94</c:v>
                </c:pt>
                <c:pt idx="63">
                  <c:v>95</c:v>
                </c:pt>
                <c:pt idx="64">
                  <c:v>90</c:v>
                </c:pt>
                <c:pt idx="65">
                  <c:v>91</c:v>
                </c:pt>
                <c:pt idx="66">
                  <c:v>92</c:v>
                </c:pt>
                <c:pt idx="67">
                  <c:v>90</c:v>
                </c:pt>
                <c:pt idx="68">
                  <c:v>85</c:v>
                </c:pt>
                <c:pt idx="69">
                  <c:v>91</c:v>
                </c:pt>
                <c:pt idx="70">
                  <c:v>89</c:v>
                </c:pt>
                <c:pt idx="71">
                  <c:v>92</c:v>
                </c:pt>
                <c:pt idx="72">
                  <c:v>89</c:v>
                </c:pt>
                <c:pt idx="73">
                  <c:v>89</c:v>
                </c:pt>
                <c:pt idx="74">
                  <c:v>87</c:v>
                </c:pt>
                <c:pt idx="75">
                  <c:v>87</c:v>
                </c:pt>
                <c:pt idx="76">
                  <c:v>90</c:v>
                </c:pt>
                <c:pt idx="77">
                  <c:v>85</c:v>
                </c:pt>
                <c:pt idx="78">
                  <c:v>92</c:v>
                </c:pt>
                <c:pt idx="79">
                  <c:v>86</c:v>
                </c:pt>
                <c:pt idx="80">
                  <c:v>88</c:v>
                </c:pt>
                <c:pt idx="81">
                  <c:v>91</c:v>
                </c:pt>
                <c:pt idx="82">
                  <c:v>85</c:v>
                </c:pt>
                <c:pt idx="83">
                  <c:v>90</c:v>
                </c:pt>
                <c:pt idx="84">
                  <c:v>85</c:v>
                </c:pt>
                <c:pt idx="85">
                  <c:v>92</c:v>
                </c:pt>
                <c:pt idx="86">
                  <c:v>81</c:v>
                </c:pt>
                <c:pt idx="87">
                  <c:v>92</c:v>
                </c:pt>
                <c:pt idx="88">
                  <c:v>91</c:v>
                </c:pt>
                <c:pt idx="89">
                  <c:v>91</c:v>
                </c:pt>
                <c:pt idx="90">
                  <c:v>90</c:v>
                </c:pt>
                <c:pt idx="91">
                  <c:v>88</c:v>
                </c:pt>
                <c:pt idx="92">
                  <c:v>85</c:v>
                </c:pt>
                <c:pt idx="93">
                  <c:v>88</c:v>
                </c:pt>
                <c:pt idx="94">
                  <c:v>90</c:v>
                </c:pt>
                <c:pt idx="95">
                  <c:v>84</c:v>
                </c:pt>
                <c:pt idx="96">
                  <c:v>84</c:v>
                </c:pt>
                <c:pt idx="97">
                  <c:v>86</c:v>
                </c:pt>
                <c:pt idx="98">
                  <c:v>86</c:v>
                </c:pt>
                <c:pt idx="99">
                  <c:v>87</c:v>
                </c:pt>
                <c:pt idx="100">
                  <c:v>89</c:v>
                </c:pt>
                <c:pt idx="101">
                  <c:v>94</c:v>
                </c:pt>
                <c:pt idx="102">
                  <c:v>84</c:v>
                </c:pt>
                <c:pt idx="103">
                  <c:v>83</c:v>
                </c:pt>
                <c:pt idx="104">
                  <c:v>91</c:v>
                </c:pt>
                <c:pt idx="105">
                  <c:v>87</c:v>
                </c:pt>
                <c:pt idx="106">
                  <c:v>84</c:v>
                </c:pt>
                <c:pt idx="107">
                  <c:v>83</c:v>
                </c:pt>
                <c:pt idx="108">
                  <c:v>87</c:v>
                </c:pt>
                <c:pt idx="109">
                  <c:v>79</c:v>
                </c:pt>
                <c:pt idx="110">
                  <c:v>89</c:v>
                </c:pt>
                <c:pt idx="111">
                  <c:v>85</c:v>
                </c:pt>
                <c:pt idx="112">
                  <c:v>86</c:v>
                </c:pt>
                <c:pt idx="113">
                  <c:v>84</c:v>
                </c:pt>
                <c:pt idx="114">
                  <c:v>90</c:v>
                </c:pt>
                <c:pt idx="115">
                  <c:v>85</c:v>
                </c:pt>
                <c:pt idx="116">
                  <c:v>88</c:v>
                </c:pt>
                <c:pt idx="117">
                  <c:v>87</c:v>
                </c:pt>
                <c:pt idx="118">
                  <c:v>90</c:v>
                </c:pt>
                <c:pt idx="119">
                  <c:v>88</c:v>
                </c:pt>
                <c:pt idx="120">
                  <c:v>90</c:v>
                </c:pt>
                <c:pt idx="121">
                  <c:v>90</c:v>
                </c:pt>
                <c:pt idx="122">
                  <c:v>82</c:v>
                </c:pt>
                <c:pt idx="123">
                  <c:v>87</c:v>
                </c:pt>
                <c:pt idx="124">
                  <c:v>84</c:v>
                </c:pt>
                <c:pt idx="125">
                  <c:v>90</c:v>
                </c:pt>
                <c:pt idx="126">
                  <c:v>81</c:v>
                </c:pt>
                <c:pt idx="127">
                  <c:v>81</c:v>
                </c:pt>
                <c:pt idx="128">
                  <c:v>82</c:v>
                </c:pt>
                <c:pt idx="129">
                  <c:v>88</c:v>
                </c:pt>
                <c:pt idx="130">
                  <c:v>84</c:v>
                </c:pt>
                <c:pt idx="131">
                  <c:v>85</c:v>
                </c:pt>
                <c:pt idx="132">
                  <c:v>82</c:v>
                </c:pt>
                <c:pt idx="133">
                  <c:v>78</c:v>
                </c:pt>
                <c:pt idx="134">
                  <c:v>86</c:v>
                </c:pt>
                <c:pt idx="135">
                  <c:v>78</c:v>
                </c:pt>
                <c:pt idx="136">
                  <c:v>85</c:v>
                </c:pt>
                <c:pt idx="137">
                  <c:v>92</c:v>
                </c:pt>
                <c:pt idx="138">
                  <c:v>86</c:v>
                </c:pt>
                <c:pt idx="139">
                  <c:v>86</c:v>
                </c:pt>
                <c:pt idx="140">
                  <c:v>84</c:v>
                </c:pt>
                <c:pt idx="141">
                  <c:v>88</c:v>
                </c:pt>
                <c:pt idx="142">
                  <c:v>87</c:v>
                </c:pt>
                <c:pt idx="143">
                  <c:v>88</c:v>
                </c:pt>
                <c:pt idx="144">
                  <c:v>84</c:v>
                </c:pt>
                <c:pt idx="145">
                  <c:v>82</c:v>
                </c:pt>
                <c:pt idx="146">
                  <c:v>83</c:v>
                </c:pt>
                <c:pt idx="147">
                  <c:v>84</c:v>
                </c:pt>
                <c:pt idx="148">
                  <c:v>89</c:v>
                </c:pt>
                <c:pt idx="149">
                  <c:v>84</c:v>
                </c:pt>
                <c:pt idx="150">
                  <c:v>81</c:v>
                </c:pt>
                <c:pt idx="151">
                  <c:v>89</c:v>
                </c:pt>
                <c:pt idx="152">
                  <c:v>82</c:v>
                </c:pt>
                <c:pt idx="153">
                  <c:v>84</c:v>
                </c:pt>
                <c:pt idx="154">
                  <c:v>84</c:v>
                </c:pt>
                <c:pt idx="155">
                  <c:v>82</c:v>
                </c:pt>
                <c:pt idx="156">
                  <c:v>86</c:v>
                </c:pt>
                <c:pt idx="157">
                  <c:v>83</c:v>
                </c:pt>
                <c:pt idx="158">
                  <c:v>81</c:v>
                </c:pt>
                <c:pt idx="159">
                  <c:v>85</c:v>
                </c:pt>
                <c:pt idx="160">
                  <c:v>82</c:v>
                </c:pt>
                <c:pt idx="161">
                  <c:v>83</c:v>
                </c:pt>
                <c:pt idx="162">
                  <c:v>81</c:v>
                </c:pt>
                <c:pt idx="163">
                  <c:v>80</c:v>
                </c:pt>
                <c:pt idx="164">
                  <c:v>73</c:v>
                </c:pt>
                <c:pt idx="165">
                  <c:v>84</c:v>
                </c:pt>
                <c:pt idx="166">
                  <c:v>82</c:v>
                </c:pt>
                <c:pt idx="167">
                  <c:v>82</c:v>
                </c:pt>
                <c:pt idx="168">
                  <c:v>85</c:v>
                </c:pt>
                <c:pt idx="169">
                  <c:v>84</c:v>
                </c:pt>
                <c:pt idx="170">
                  <c:v>85</c:v>
                </c:pt>
                <c:pt idx="171">
                  <c:v>83</c:v>
                </c:pt>
                <c:pt idx="172">
                  <c:v>84</c:v>
                </c:pt>
                <c:pt idx="173">
                  <c:v>81</c:v>
                </c:pt>
                <c:pt idx="174">
                  <c:v>77</c:v>
                </c:pt>
                <c:pt idx="175">
                  <c:v>81</c:v>
                </c:pt>
                <c:pt idx="176">
                  <c:v>81</c:v>
                </c:pt>
                <c:pt idx="177">
                  <c:v>78</c:v>
                </c:pt>
                <c:pt idx="178">
                  <c:v>86</c:v>
                </c:pt>
                <c:pt idx="179">
                  <c:v>81</c:v>
                </c:pt>
                <c:pt idx="180">
                  <c:v>80</c:v>
                </c:pt>
                <c:pt idx="181">
                  <c:v>74</c:v>
                </c:pt>
                <c:pt idx="182">
                  <c:v>82</c:v>
                </c:pt>
                <c:pt idx="183">
                  <c:v>83</c:v>
                </c:pt>
                <c:pt idx="184">
                  <c:v>81</c:v>
                </c:pt>
                <c:pt idx="185">
                  <c:v>78</c:v>
                </c:pt>
                <c:pt idx="186">
                  <c:v>86</c:v>
                </c:pt>
                <c:pt idx="187">
                  <c:v>87</c:v>
                </c:pt>
                <c:pt idx="188">
                  <c:v>78</c:v>
                </c:pt>
                <c:pt idx="189">
                  <c:v>82</c:v>
                </c:pt>
                <c:pt idx="190">
                  <c:v>73</c:v>
                </c:pt>
                <c:pt idx="191">
                  <c:v>76</c:v>
                </c:pt>
                <c:pt idx="192">
                  <c:v>75</c:v>
                </c:pt>
                <c:pt idx="193">
                  <c:v>80</c:v>
                </c:pt>
                <c:pt idx="194">
                  <c:v>81</c:v>
                </c:pt>
                <c:pt idx="195">
                  <c:v>84</c:v>
                </c:pt>
                <c:pt idx="196">
                  <c:v>81</c:v>
                </c:pt>
                <c:pt idx="197">
                  <c:v>82</c:v>
                </c:pt>
                <c:pt idx="198">
                  <c:v>83</c:v>
                </c:pt>
                <c:pt idx="199">
                  <c:v>84</c:v>
                </c:pt>
                <c:pt idx="200">
                  <c:v>79</c:v>
                </c:pt>
                <c:pt idx="201">
                  <c:v>89</c:v>
                </c:pt>
                <c:pt idx="202">
                  <c:v>73</c:v>
                </c:pt>
                <c:pt idx="203">
                  <c:v>84</c:v>
                </c:pt>
                <c:pt idx="204">
                  <c:v>80</c:v>
                </c:pt>
                <c:pt idx="205">
                  <c:v>83</c:v>
                </c:pt>
                <c:pt idx="206">
                  <c:v>74</c:v>
                </c:pt>
                <c:pt idx="207">
                  <c:v>77</c:v>
                </c:pt>
                <c:pt idx="208">
                  <c:v>74</c:v>
                </c:pt>
                <c:pt idx="209">
                  <c:v>78</c:v>
                </c:pt>
                <c:pt idx="210">
                  <c:v>80</c:v>
                </c:pt>
                <c:pt idx="211">
                  <c:v>86</c:v>
                </c:pt>
                <c:pt idx="212">
                  <c:v>79</c:v>
                </c:pt>
                <c:pt idx="213">
                  <c:v>79</c:v>
                </c:pt>
                <c:pt idx="214">
                  <c:v>79</c:v>
                </c:pt>
                <c:pt idx="215">
                  <c:v>76</c:v>
                </c:pt>
                <c:pt idx="216">
                  <c:v>86</c:v>
                </c:pt>
                <c:pt idx="217">
                  <c:v>82</c:v>
                </c:pt>
                <c:pt idx="218">
                  <c:v>86</c:v>
                </c:pt>
                <c:pt idx="219">
                  <c:v>80</c:v>
                </c:pt>
                <c:pt idx="220">
                  <c:v>77</c:v>
                </c:pt>
                <c:pt idx="221">
                  <c:v>77</c:v>
                </c:pt>
                <c:pt idx="222">
                  <c:v>79</c:v>
                </c:pt>
                <c:pt idx="223">
                  <c:v>80</c:v>
                </c:pt>
                <c:pt idx="224">
                  <c:v>84</c:v>
                </c:pt>
                <c:pt idx="225">
                  <c:v>84</c:v>
                </c:pt>
                <c:pt idx="226">
                  <c:v>77</c:v>
                </c:pt>
                <c:pt idx="227">
                  <c:v>86</c:v>
                </c:pt>
                <c:pt idx="228">
                  <c:v>78</c:v>
                </c:pt>
                <c:pt idx="229">
                  <c:v>78</c:v>
                </c:pt>
                <c:pt idx="230">
                  <c:v>75</c:v>
                </c:pt>
                <c:pt idx="231">
                  <c:v>82</c:v>
                </c:pt>
                <c:pt idx="232">
                  <c:v>85</c:v>
                </c:pt>
                <c:pt idx="233">
                  <c:v>78</c:v>
                </c:pt>
                <c:pt idx="234">
                  <c:v>78</c:v>
                </c:pt>
                <c:pt idx="235">
                  <c:v>75</c:v>
                </c:pt>
                <c:pt idx="236">
                  <c:v>75</c:v>
                </c:pt>
                <c:pt idx="237">
                  <c:v>79</c:v>
                </c:pt>
                <c:pt idx="238">
                  <c:v>72</c:v>
                </c:pt>
                <c:pt idx="239">
                  <c:v>79</c:v>
                </c:pt>
                <c:pt idx="240">
                  <c:v>84</c:v>
                </c:pt>
                <c:pt idx="241">
                  <c:v>79</c:v>
                </c:pt>
                <c:pt idx="242">
                  <c:v>83</c:v>
                </c:pt>
                <c:pt idx="243">
                  <c:v>75</c:v>
                </c:pt>
                <c:pt idx="244">
                  <c:v>76</c:v>
                </c:pt>
                <c:pt idx="245">
                  <c:v>80</c:v>
                </c:pt>
                <c:pt idx="246">
                  <c:v>84</c:v>
                </c:pt>
                <c:pt idx="247">
                  <c:v>75</c:v>
                </c:pt>
                <c:pt idx="248">
                  <c:v>81</c:v>
                </c:pt>
                <c:pt idx="249">
                  <c:v>77</c:v>
                </c:pt>
                <c:pt idx="250">
                  <c:v>83</c:v>
                </c:pt>
                <c:pt idx="251">
                  <c:v>83</c:v>
                </c:pt>
                <c:pt idx="252">
                  <c:v>81</c:v>
                </c:pt>
                <c:pt idx="253">
                  <c:v>73</c:v>
                </c:pt>
                <c:pt idx="254">
                  <c:v>75</c:v>
                </c:pt>
                <c:pt idx="255">
                  <c:v>74</c:v>
                </c:pt>
                <c:pt idx="256">
                  <c:v>81</c:v>
                </c:pt>
                <c:pt idx="257">
                  <c:v>86</c:v>
                </c:pt>
                <c:pt idx="258">
                  <c:v>83</c:v>
                </c:pt>
                <c:pt idx="259">
                  <c:v>81</c:v>
                </c:pt>
                <c:pt idx="260">
                  <c:v>79</c:v>
                </c:pt>
                <c:pt idx="261">
                  <c:v>77</c:v>
                </c:pt>
                <c:pt idx="262">
                  <c:v>75</c:v>
                </c:pt>
                <c:pt idx="263">
                  <c:v>76</c:v>
                </c:pt>
                <c:pt idx="264">
                  <c:v>79</c:v>
                </c:pt>
                <c:pt idx="265">
                  <c:v>76</c:v>
                </c:pt>
                <c:pt idx="266">
                  <c:v>72</c:v>
                </c:pt>
                <c:pt idx="267">
                  <c:v>81</c:v>
                </c:pt>
                <c:pt idx="268">
                  <c:v>78</c:v>
                </c:pt>
                <c:pt idx="269">
                  <c:v>83</c:v>
                </c:pt>
                <c:pt idx="270">
                  <c:v>73</c:v>
                </c:pt>
                <c:pt idx="271">
                  <c:v>76</c:v>
                </c:pt>
                <c:pt idx="272">
                  <c:v>79</c:v>
                </c:pt>
                <c:pt idx="273">
                  <c:v>80</c:v>
                </c:pt>
                <c:pt idx="274">
                  <c:v>79</c:v>
                </c:pt>
                <c:pt idx="275">
                  <c:v>75</c:v>
                </c:pt>
                <c:pt idx="276">
                  <c:v>75</c:v>
                </c:pt>
                <c:pt idx="277">
                  <c:v>82</c:v>
                </c:pt>
                <c:pt idx="278">
                  <c:v>80</c:v>
                </c:pt>
                <c:pt idx="279">
                  <c:v>82</c:v>
                </c:pt>
                <c:pt idx="280">
                  <c:v>75</c:v>
                </c:pt>
                <c:pt idx="281">
                  <c:v>78</c:v>
                </c:pt>
                <c:pt idx="282">
                  <c:v>79</c:v>
                </c:pt>
                <c:pt idx="283">
                  <c:v>81</c:v>
                </c:pt>
                <c:pt idx="284">
                  <c:v>80</c:v>
                </c:pt>
                <c:pt idx="285">
                  <c:v>81</c:v>
                </c:pt>
                <c:pt idx="286">
                  <c:v>81</c:v>
                </c:pt>
                <c:pt idx="287">
                  <c:v>78</c:v>
                </c:pt>
                <c:pt idx="288">
                  <c:v>76</c:v>
                </c:pt>
                <c:pt idx="289">
                  <c:v>77</c:v>
                </c:pt>
                <c:pt idx="290">
                  <c:v>76</c:v>
                </c:pt>
                <c:pt idx="291">
                  <c:v>77</c:v>
                </c:pt>
                <c:pt idx="292">
                  <c:v>81</c:v>
                </c:pt>
                <c:pt idx="293">
                  <c:v>78</c:v>
                </c:pt>
                <c:pt idx="294">
                  <c:v>73</c:v>
                </c:pt>
                <c:pt idx="295">
                  <c:v>73</c:v>
                </c:pt>
                <c:pt idx="296">
                  <c:v>81</c:v>
                </c:pt>
                <c:pt idx="297">
                  <c:v>76</c:v>
                </c:pt>
                <c:pt idx="298">
                  <c:v>74</c:v>
                </c:pt>
                <c:pt idx="299">
                  <c:v>71</c:v>
                </c:pt>
                <c:pt idx="300">
                  <c:v>74</c:v>
                </c:pt>
                <c:pt idx="301">
                  <c:v>77</c:v>
                </c:pt>
                <c:pt idx="302">
                  <c:v>77</c:v>
                </c:pt>
                <c:pt idx="303">
                  <c:v>71</c:v>
                </c:pt>
                <c:pt idx="304">
                  <c:v>73</c:v>
                </c:pt>
                <c:pt idx="305">
                  <c:v>79</c:v>
                </c:pt>
                <c:pt idx="306">
                  <c:v>79</c:v>
                </c:pt>
                <c:pt idx="307">
                  <c:v>78</c:v>
                </c:pt>
                <c:pt idx="308">
                  <c:v>78</c:v>
                </c:pt>
                <c:pt idx="309">
                  <c:v>82</c:v>
                </c:pt>
                <c:pt idx="310">
                  <c:v>75</c:v>
                </c:pt>
                <c:pt idx="311">
                  <c:v>85</c:v>
                </c:pt>
                <c:pt idx="312">
                  <c:v>78</c:v>
                </c:pt>
                <c:pt idx="313">
                  <c:v>80</c:v>
                </c:pt>
                <c:pt idx="314">
                  <c:v>77</c:v>
                </c:pt>
                <c:pt idx="315">
                  <c:v>77</c:v>
                </c:pt>
                <c:pt idx="316">
                  <c:v>75</c:v>
                </c:pt>
                <c:pt idx="317">
                  <c:v>74</c:v>
                </c:pt>
                <c:pt idx="318">
                  <c:v>71</c:v>
                </c:pt>
                <c:pt idx="319">
                  <c:v>75</c:v>
                </c:pt>
                <c:pt idx="320">
                  <c:v>80</c:v>
                </c:pt>
                <c:pt idx="321">
                  <c:v>77</c:v>
                </c:pt>
                <c:pt idx="322">
                  <c:v>76</c:v>
                </c:pt>
                <c:pt idx="323">
                  <c:v>74</c:v>
                </c:pt>
                <c:pt idx="324">
                  <c:v>78</c:v>
                </c:pt>
                <c:pt idx="325">
                  <c:v>78</c:v>
                </c:pt>
                <c:pt idx="326">
                  <c:v>77</c:v>
                </c:pt>
                <c:pt idx="327">
                  <c:v>82</c:v>
                </c:pt>
                <c:pt idx="328">
                  <c:v>78</c:v>
                </c:pt>
                <c:pt idx="329">
                  <c:v>75</c:v>
                </c:pt>
                <c:pt idx="330">
                  <c:v>68</c:v>
                </c:pt>
                <c:pt idx="331">
                  <c:v>78</c:v>
                </c:pt>
                <c:pt idx="332">
                  <c:v>66</c:v>
                </c:pt>
                <c:pt idx="333">
                  <c:v>73</c:v>
                </c:pt>
                <c:pt idx="334">
                  <c:v>71</c:v>
                </c:pt>
                <c:pt idx="335">
                  <c:v>79</c:v>
                </c:pt>
                <c:pt idx="336">
                  <c:v>76</c:v>
                </c:pt>
                <c:pt idx="337">
                  <c:v>78</c:v>
                </c:pt>
                <c:pt idx="338">
                  <c:v>74</c:v>
                </c:pt>
                <c:pt idx="339">
                  <c:v>74</c:v>
                </c:pt>
                <c:pt idx="340">
                  <c:v>72</c:v>
                </c:pt>
                <c:pt idx="341">
                  <c:v>80</c:v>
                </c:pt>
                <c:pt idx="342">
                  <c:v>79</c:v>
                </c:pt>
                <c:pt idx="343">
                  <c:v>76</c:v>
                </c:pt>
                <c:pt idx="344">
                  <c:v>74</c:v>
                </c:pt>
                <c:pt idx="345">
                  <c:v>68</c:v>
                </c:pt>
                <c:pt idx="346">
                  <c:v>71</c:v>
                </c:pt>
                <c:pt idx="347">
                  <c:v>72</c:v>
                </c:pt>
                <c:pt idx="348">
                  <c:v>78</c:v>
                </c:pt>
                <c:pt idx="349">
                  <c:v>74</c:v>
                </c:pt>
                <c:pt idx="350">
                  <c:v>81</c:v>
                </c:pt>
                <c:pt idx="351">
                  <c:v>74</c:v>
                </c:pt>
                <c:pt idx="352">
                  <c:v>72</c:v>
                </c:pt>
                <c:pt idx="353">
                  <c:v>76</c:v>
                </c:pt>
                <c:pt idx="354">
                  <c:v>73</c:v>
                </c:pt>
                <c:pt idx="355">
                  <c:v>71</c:v>
                </c:pt>
                <c:pt idx="356">
                  <c:v>77</c:v>
                </c:pt>
                <c:pt idx="357">
                  <c:v>78</c:v>
                </c:pt>
                <c:pt idx="358">
                  <c:v>72</c:v>
                </c:pt>
                <c:pt idx="359">
                  <c:v>72</c:v>
                </c:pt>
                <c:pt idx="360">
                  <c:v>74</c:v>
                </c:pt>
                <c:pt idx="361">
                  <c:v>74</c:v>
                </c:pt>
                <c:pt idx="362">
                  <c:v>72</c:v>
                </c:pt>
                <c:pt idx="363">
                  <c:v>76</c:v>
                </c:pt>
                <c:pt idx="364">
                  <c:v>70</c:v>
                </c:pt>
                <c:pt idx="365">
                  <c:v>74</c:v>
                </c:pt>
                <c:pt idx="366">
                  <c:v>72</c:v>
                </c:pt>
                <c:pt idx="367">
                  <c:v>72</c:v>
                </c:pt>
                <c:pt idx="368">
                  <c:v>76</c:v>
                </c:pt>
                <c:pt idx="369">
                  <c:v>74</c:v>
                </c:pt>
                <c:pt idx="370">
                  <c:v>73</c:v>
                </c:pt>
                <c:pt idx="371">
                  <c:v>76</c:v>
                </c:pt>
                <c:pt idx="372">
                  <c:v>70</c:v>
                </c:pt>
                <c:pt idx="373">
                  <c:v>76</c:v>
                </c:pt>
                <c:pt idx="374">
                  <c:v>75</c:v>
                </c:pt>
                <c:pt idx="375">
                  <c:v>71</c:v>
                </c:pt>
                <c:pt idx="376">
                  <c:v>74</c:v>
                </c:pt>
                <c:pt idx="377">
                  <c:v>77</c:v>
                </c:pt>
                <c:pt idx="378">
                  <c:v>74</c:v>
                </c:pt>
                <c:pt idx="379">
                  <c:v>77</c:v>
                </c:pt>
                <c:pt idx="380">
                  <c:v>75</c:v>
                </c:pt>
                <c:pt idx="381">
                  <c:v>77</c:v>
                </c:pt>
                <c:pt idx="382">
                  <c:v>77</c:v>
                </c:pt>
                <c:pt idx="383">
                  <c:v>76</c:v>
                </c:pt>
                <c:pt idx="384">
                  <c:v>73</c:v>
                </c:pt>
                <c:pt idx="385">
                  <c:v>77</c:v>
                </c:pt>
                <c:pt idx="386">
                  <c:v>72</c:v>
                </c:pt>
                <c:pt idx="387">
                  <c:v>70</c:v>
                </c:pt>
                <c:pt idx="388">
                  <c:v>74</c:v>
                </c:pt>
                <c:pt idx="389">
                  <c:v>71</c:v>
                </c:pt>
                <c:pt idx="390">
                  <c:v>74</c:v>
                </c:pt>
                <c:pt idx="391">
                  <c:v>75</c:v>
                </c:pt>
                <c:pt idx="392">
                  <c:v>70</c:v>
                </c:pt>
                <c:pt idx="393">
                  <c:v>73</c:v>
                </c:pt>
                <c:pt idx="394">
                  <c:v>66</c:v>
                </c:pt>
                <c:pt idx="395">
                  <c:v>71</c:v>
                </c:pt>
                <c:pt idx="396">
                  <c:v>73</c:v>
                </c:pt>
                <c:pt idx="397">
                  <c:v>78</c:v>
                </c:pt>
                <c:pt idx="398">
                  <c:v>71</c:v>
                </c:pt>
                <c:pt idx="399">
                  <c:v>76</c:v>
                </c:pt>
                <c:pt idx="400">
                  <c:v>75</c:v>
                </c:pt>
                <c:pt idx="401">
                  <c:v>77</c:v>
                </c:pt>
                <c:pt idx="402">
                  <c:v>68</c:v>
                </c:pt>
                <c:pt idx="403">
                  <c:v>71</c:v>
                </c:pt>
                <c:pt idx="404">
                  <c:v>67</c:v>
                </c:pt>
                <c:pt idx="405">
                  <c:v>77</c:v>
                </c:pt>
                <c:pt idx="406">
                  <c:v>73</c:v>
                </c:pt>
                <c:pt idx="407">
                  <c:v>74</c:v>
                </c:pt>
                <c:pt idx="408">
                  <c:v>74</c:v>
                </c:pt>
                <c:pt idx="409">
                  <c:v>78</c:v>
                </c:pt>
                <c:pt idx="410">
                  <c:v>74</c:v>
                </c:pt>
                <c:pt idx="411">
                  <c:v>72</c:v>
                </c:pt>
                <c:pt idx="412">
                  <c:v>74</c:v>
                </c:pt>
                <c:pt idx="413">
                  <c:v>70</c:v>
                </c:pt>
                <c:pt idx="414">
                  <c:v>67</c:v>
                </c:pt>
                <c:pt idx="415">
                  <c:v>76</c:v>
                </c:pt>
                <c:pt idx="416">
                  <c:v>75</c:v>
                </c:pt>
                <c:pt idx="417">
                  <c:v>69</c:v>
                </c:pt>
                <c:pt idx="418">
                  <c:v>69</c:v>
                </c:pt>
                <c:pt idx="419">
                  <c:v>72</c:v>
                </c:pt>
                <c:pt idx="420">
                  <c:v>74</c:v>
                </c:pt>
                <c:pt idx="421">
                  <c:v>72</c:v>
                </c:pt>
                <c:pt idx="422">
                  <c:v>70</c:v>
                </c:pt>
                <c:pt idx="423">
                  <c:v>74</c:v>
                </c:pt>
                <c:pt idx="424">
                  <c:v>66</c:v>
                </c:pt>
                <c:pt idx="425">
                  <c:v>76</c:v>
                </c:pt>
                <c:pt idx="426">
                  <c:v>75</c:v>
                </c:pt>
                <c:pt idx="427">
                  <c:v>67</c:v>
                </c:pt>
                <c:pt idx="428">
                  <c:v>69</c:v>
                </c:pt>
                <c:pt idx="429">
                  <c:v>71</c:v>
                </c:pt>
                <c:pt idx="430">
                  <c:v>76</c:v>
                </c:pt>
                <c:pt idx="431">
                  <c:v>68</c:v>
                </c:pt>
                <c:pt idx="432">
                  <c:v>75</c:v>
                </c:pt>
                <c:pt idx="433">
                  <c:v>70</c:v>
                </c:pt>
                <c:pt idx="434">
                  <c:v>69</c:v>
                </c:pt>
                <c:pt idx="435">
                  <c:v>67</c:v>
                </c:pt>
                <c:pt idx="436">
                  <c:v>64</c:v>
                </c:pt>
                <c:pt idx="437">
                  <c:v>66</c:v>
                </c:pt>
                <c:pt idx="438">
                  <c:v>75</c:v>
                </c:pt>
                <c:pt idx="439">
                  <c:v>72</c:v>
                </c:pt>
                <c:pt idx="440">
                  <c:v>74</c:v>
                </c:pt>
                <c:pt idx="441">
                  <c:v>70</c:v>
                </c:pt>
                <c:pt idx="442">
                  <c:v>74</c:v>
                </c:pt>
                <c:pt idx="443">
                  <c:v>67</c:v>
                </c:pt>
                <c:pt idx="444">
                  <c:v>74</c:v>
                </c:pt>
                <c:pt idx="445">
                  <c:v>69</c:v>
                </c:pt>
                <c:pt idx="446">
                  <c:v>72</c:v>
                </c:pt>
                <c:pt idx="447">
                  <c:v>73</c:v>
                </c:pt>
                <c:pt idx="448">
                  <c:v>68</c:v>
                </c:pt>
                <c:pt idx="449">
                  <c:v>73</c:v>
                </c:pt>
                <c:pt idx="450">
                  <c:v>65</c:v>
                </c:pt>
                <c:pt idx="451">
                  <c:v>72</c:v>
                </c:pt>
                <c:pt idx="452">
                  <c:v>70</c:v>
                </c:pt>
                <c:pt idx="453">
                  <c:v>74</c:v>
                </c:pt>
                <c:pt idx="454">
                  <c:v>74</c:v>
                </c:pt>
                <c:pt idx="455">
                  <c:v>68</c:v>
                </c:pt>
                <c:pt idx="456">
                  <c:v>68</c:v>
                </c:pt>
                <c:pt idx="457">
                  <c:v>68</c:v>
                </c:pt>
                <c:pt idx="458">
                  <c:v>73</c:v>
                </c:pt>
                <c:pt idx="459">
                  <c:v>79</c:v>
                </c:pt>
                <c:pt idx="460">
                  <c:v>73</c:v>
                </c:pt>
                <c:pt idx="461">
                  <c:v>70</c:v>
                </c:pt>
                <c:pt idx="462">
                  <c:v>76</c:v>
                </c:pt>
                <c:pt idx="463">
                  <c:v>68</c:v>
                </c:pt>
                <c:pt idx="464">
                  <c:v>72</c:v>
                </c:pt>
                <c:pt idx="465">
                  <c:v>62</c:v>
                </c:pt>
                <c:pt idx="466">
                  <c:v>64</c:v>
                </c:pt>
                <c:pt idx="467">
                  <c:v>72</c:v>
                </c:pt>
                <c:pt idx="468">
                  <c:v>69</c:v>
                </c:pt>
                <c:pt idx="469">
                  <c:v>74</c:v>
                </c:pt>
                <c:pt idx="470">
                  <c:v>72</c:v>
                </c:pt>
                <c:pt idx="471">
                  <c:v>73</c:v>
                </c:pt>
                <c:pt idx="472">
                  <c:v>63</c:v>
                </c:pt>
                <c:pt idx="473">
                  <c:v>70</c:v>
                </c:pt>
                <c:pt idx="474">
                  <c:v>70</c:v>
                </c:pt>
                <c:pt idx="475">
                  <c:v>72</c:v>
                </c:pt>
                <c:pt idx="476">
                  <c:v>68</c:v>
                </c:pt>
                <c:pt idx="477">
                  <c:v>73</c:v>
                </c:pt>
                <c:pt idx="478">
                  <c:v>73</c:v>
                </c:pt>
                <c:pt idx="479">
                  <c:v>67</c:v>
                </c:pt>
                <c:pt idx="480">
                  <c:v>71</c:v>
                </c:pt>
                <c:pt idx="481">
                  <c:v>66</c:v>
                </c:pt>
                <c:pt idx="482">
                  <c:v>65</c:v>
                </c:pt>
                <c:pt idx="483">
                  <c:v>72</c:v>
                </c:pt>
                <c:pt idx="484">
                  <c:v>67</c:v>
                </c:pt>
                <c:pt idx="485">
                  <c:v>71</c:v>
                </c:pt>
                <c:pt idx="486">
                  <c:v>75</c:v>
                </c:pt>
                <c:pt idx="487">
                  <c:v>69</c:v>
                </c:pt>
                <c:pt idx="488">
                  <c:v>72</c:v>
                </c:pt>
                <c:pt idx="489">
                  <c:v>67</c:v>
                </c:pt>
                <c:pt idx="490">
                  <c:v>73</c:v>
                </c:pt>
                <c:pt idx="491">
                  <c:v>67</c:v>
                </c:pt>
                <c:pt idx="492">
                  <c:v>62</c:v>
                </c:pt>
                <c:pt idx="493">
                  <c:v>70</c:v>
                </c:pt>
                <c:pt idx="494">
                  <c:v>60</c:v>
                </c:pt>
                <c:pt idx="495">
                  <c:v>70</c:v>
                </c:pt>
                <c:pt idx="496">
                  <c:v>72</c:v>
                </c:pt>
                <c:pt idx="497">
                  <c:v>73</c:v>
                </c:pt>
                <c:pt idx="498">
                  <c:v>70</c:v>
                </c:pt>
                <c:pt idx="499">
                  <c:v>66</c:v>
                </c:pt>
                <c:pt idx="500">
                  <c:v>70</c:v>
                </c:pt>
                <c:pt idx="501">
                  <c:v>71</c:v>
                </c:pt>
                <c:pt idx="502">
                  <c:v>72</c:v>
                </c:pt>
                <c:pt idx="503">
                  <c:v>69</c:v>
                </c:pt>
                <c:pt idx="504">
                  <c:v>67</c:v>
                </c:pt>
                <c:pt idx="505">
                  <c:v>62</c:v>
                </c:pt>
                <c:pt idx="506">
                  <c:v>68</c:v>
                </c:pt>
                <c:pt idx="507">
                  <c:v>66</c:v>
                </c:pt>
                <c:pt idx="508">
                  <c:v>70</c:v>
                </c:pt>
                <c:pt idx="509">
                  <c:v>78</c:v>
                </c:pt>
                <c:pt idx="510">
                  <c:v>70</c:v>
                </c:pt>
                <c:pt idx="511">
                  <c:v>66</c:v>
                </c:pt>
                <c:pt idx="512">
                  <c:v>61</c:v>
                </c:pt>
                <c:pt idx="513">
                  <c:v>62</c:v>
                </c:pt>
                <c:pt idx="514">
                  <c:v>73</c:v>
                </c:pt>
                <c:pt idx="515">
                  <c:v>66</c:v>
                </c:pt>
                <c:pt idx="516">
                  <c:v>64</c:v>
                </c:pt>
                <c:pt idx="517">
                  <c:v>69</c:v>
                </c:pt>
                <c:pt idx="518">
                  <c:v>72</c:v>
                </c:pt>
                <c:pt idx="519">
                  <c:v>64</c:v>
                </c:pt>
                <c:pt idx="520">
                  <c:v>67</c:v>
                </c:pt>
                <c:pt idx="521">
                  <c:v>65</c:v>
                </c:pt>
                <c:pt idx="522">
                  <c:v>70</c:v>
                </c:pt>
                <c:pt idx="523">
                  <c:v>71</c:v>
                </c:pt>
                <c:pt idx="524">
                  <c:v>68</c:v>
                </c:pt>
                <c:pt idx="525">
                  <c:v>68</c:v>
                </c:pt>
                <c:pt idx="526">
                  <c:v>69</c:v>
                </c:pt>
                <c:pt idx="527">
                  <c:v>73</c:v>
                </c:pt>
                <c:pt idx="528">
                  <c:v>64</c:v>
                </c:pt>
                <c:pt idx="529">
                  <c:v>67</c:v>
                </c:pt>
                <c:pt idx="530">
                  <c:v>72</c:v>
                </c:pt>
                <c:pt idx="531">
                  <c:v>72</c:v>
                </c:pt>
                <c:pt idx="532">
                  <c:v>69</c:v>
                </c:pt>
                <c:pt idx="533">
                  <c:v>68</c:v>
                </c:pt>
                <c:pt idx="534">
                  <c:v>76</c:v>
                </c:pt>
                <c:pt idx="535">
                  <c:v>67</c:v>
                </c:pt>
                <c:pt idx="536">
                  <c:v>68</c:v>
                </c:pt>
                <c:pt idx="537">
                  <c:v>60</c:v>
                </c:pt>
                <c:pt idx="538">
                  <c:v>64</c:v>
                </c:pt>
                <c:pt idx="539">
                  <c:v>64</c:v>
                </c:pt>
                <c:pt idx="540">
                  <c:v>62</c:v>
                </c:pt>
                <c:pt idx="541">
                  <c:v>68</c:v>
                </c:pt>
                <c:pt idx="542">
                  <c:v>64</c:v>
                </c:pt>
                <c:pt idx="543">
                  <c:v>64</c:v>
                </c:pt>
                <c:pt idx="544">
                  <c:v>67</c:v>
                </c:pt>
                <c:pt idx="545">
                  <c:v>63</c:v>
                </c:pt>
                <c:pt idx="546">
                  <c:v>73</c:v>
                </c:pt>
                <c:pt idx="547">
                  <c:v>66</c:v>
                </c:pt>
                <c:pt idx="548">
                  <c:v>67</c:v>
                </c:pt>
                <c:pt idx="549">
                  <c:v>68</c:v>
                </c:pt>
                <c:pt idx="550">
                  <c:v>61</c:v>
                </c:pt>
                <c:pt idx="551">
                  <c:v>66</c:v>
                </c:pt>
                <c:pt idx="552">
                  <c:v>66</c:v>
                </c:pt>
                <c:pt idx="553">
                  <c:v>70</c:v>
                </c:pt>
                <c:pt idx="554">
                  <c:v>61</c:v>
                </c:pt>
                <c:pt idx="555">
                  <c:v>67</c:v>
                </c:pt>
                <c:pt idx="556">
                  <c:v>66</c:v>
                </c:pt>
                <c:pt idx="557">
                  <c:v>66</c:v>
                </c:pt>
                <c:pt idx="558">
                  <c:v>67</c:v>
                </c:pt>
                <c:pt idx="559">
                  <c:v>66</c:v>
                </c:pt>
                <c:pt idx="560">
                  <c:v>64</c:v>
                </c:pt>
                <c:pt idx="561">
                  <c:v>70</c:v>
                </c:pt>
                <c:pt idx="562">
                  <c:v>70</c:v>
                </c:pt>
                <c:pt idx="563">
                  <c:v>68</c:v>
                </c:pt>
                <c:pt idx="564">
                  <c:v>66</c:v>
                </c:pt>
                <c:pt idx="565">
                  <c:v>58</c:v>
                </c:pt>
                <c:pt idx="566">
                  <c:v>65</c:v>
                </c:pt>
                <c:pt idx="567">
                  <c:v>71</c:v>
                </c:pt>
                <c:pt idx="568">
                  <c:v>71</c:v>
                </c:pt>
                <c:pt idx="569">
                  <c:v>63</c:v>
                </c:pt>
                <c:pt idx="570">
                  <c:v>67</c:v>
                </c:pt>
                <c:pt idx="571">
                  <c:v>69</c:v>
                </c:pt>
                <c:pt idx="572">
                  <c:v>63</c:v>
                </c:pt>
                <c:pt idx="573">
                  <c:v>67</c:v>
                </c:pt>
                <c:pt idx="574">
                  <c:v>70</c:v>
                </c:pt>
                <c:pt idx="575">
                  <c:v>64</c:v>
                </c:pt>
                <c:pt idx="576">
                  <c:v>65</c:v>
                </c:pt>
                <c:pt idx="577">
                  <c:v>68</c:v>
                </c:pt>
                <c:pt idx="578">
                  <c:v>64</c:v>
                </c:pt>
                <c:pt idx="579">
                  <c:v>72</c:v>
                </c:pt>
                <c:pt idx="580">
                  <c:v>66</c:v>
                </c:pt>
                <c:pt idx="581">
                  <c:v>63</c:v>
                </c:pt>
                <c:pt idx="582">
                  <c:v>69</c:v>
                </c:pt>
                <c:pt idx="583">
                  <c:v>63</c:v>
                </c:pt>
                <c:pt idx="584">
                  <c:v>65</c:v>
                </c:pt>
                <c:pt idx="585">
                  <c:v>63</c:v>
                </c:pt>
                <c:pt idx="586">
                  <c:v>67</c:v>
                </c:pt>
                <c:pt idx="587">
                  <c:v>70</c:v>
                </c:pt>
                <c:pt idx="588">
                  <c:v>64</c:v>
                </c:pt>
                <c:pt idx="589">
                  <c:v>64</c:v>
                </c:pt>
                <c:pt idx="590">
                  <c:v>62</c:v>
                </c:pt>
                <c:pt idx="591">
                  <c:v>64</c:v>
                </c:pt>
                <c:pt idx="592">
                  <c:v>60</c:v>
                </c:pt>
                <c:pt idx="593">
                  <c:v>64</c:v>
                </c:pt>
                <c:pt idx="594">
                  <c:v>60</c:v>
                </c:pt>
                <c:pt idx="595">
                  <c:v>66</c:v>
                </c:pt>
                <c:pt idx="596">
                  <c:v>68</c:v>
                </c:pt>
                <c:pt idx="597">
                  <c:v>66</c:v>
                </c:pt>
                <c:pt idx="598">
                  <c:v>64</c:v>
                </c:pt>
                <c:pt idx="599">
                  <c:v>71</c:v>
                </c:pt>
                <c:pt idx="600">
                  <c:v>67</c:v>
                </c:pt>
                <c:pt idx="601">
                  <c:v>67</c:v>
                </c:pt>
                <c:pt idx="602">
                  <c:v>65</c:v>
                </c:pt>
                <c:pt idx="603">
                  <c:v>63</c:v>
                </c:pt>
                <c:pt idx="604">
                  <c:v>57</c:v>
                </c:pt>
                <c:pt idx="605">
                  <c:v>65</c:v>
                </c:pt>
                <c:pt idx="606">
                  <c:v>67</c:v>
                </c:pt>
                <c:pt idx="607">
                  <c:v>64</c:v>
                </c:pt>
                <c:pt idx="608">
                  <c:v>67</c:v>
                </c:pt>
                <c:pt idx="609">
                  <c:v>62</c:v>
                </c:pt>
                <c:pt idx="610">
                  <c:v>65</c:v>
                </c:pt>
                <c:pt idx="611">
                  <c:v>69</c:v>
                </c:pt>
                <c:pt idx="612">
                  <c:v>59</c:v>
                </c:pt>
                <c:pt idx="613">
                  <c:v>66</c:v>
                </c:pt>
                <c:pt idx="614">
                  <c:v>64</c:v>
                </c:pt>
                <c:pt idx="615">
                  <c:v>92</c:v>
                </c:pt>
                <c:pt idx="616">
                  <c:v>72</c:v>
                </c:pt>
                <c:pt idx="617">
                  <c:v>73</c:v>
                </c:pt>
                <c:pt idx="618">
                  <c:v>68</c:v>
                </c:pt>
                <c:pt idx="619">
                  <c:v>63</c:v>
                </c:pt>
                <c:pt idx="620">
                  <c:v>67</c:v>
                </c:pt>
                <c:pt idx="621">
                  <c:v>99</c:v>
                </c:pt>
                <c:pt idx="622">
                  <c:v>67</c:v>
                </c:pt>
                <c:pt idx="623">
                  <c:v>60</c:v>
                </c:pt>
                <c:pt idx="624">
                  <c:v>64</c:v>
                </c:pt>
                <c:pt idx="625">
                  <c:v>62</c:v>
                </c:pt>
                <c:pt idx="626">
                  <c:v>67</c:v>
                </c:pt>
                <c:pt idx="627">
                  <c:v>68</c:v>
                </c:pt>
                <c:pt idx="628">
                  <c:v>57</c:v>
                </c:pt>
                <c:pt idx="629">
                  <c:v>56</c:v>
                </c:pt>
                <c:pt idx="630">
                  <c:v>65</c:v>
                </c:pt>
                <c:pt idx="631">
                  <c:v>64</c:v>
                </c:pt>
                <c:pt idx="632">
                  <c:v>63</c:v>
                </c:pt>
                <c:pt idx="633">
                  <c:v>63</c:v>
                </c:pt>
                <c:pt idx="634">
                  <c:v>63</c:v>
                </c:pt>
                <c:pt idx="635">
                  <c:v>62</c:v>
                </c:pt>
                <c:pt idx="636">
                  <c:v>61</c:v>
                </c:pt>
                <c:pt idx="637">
                  <c:v>61</c:v>
                </c:pt>
                <c:pt idx="638">
                  <c:v>63</c:v>
                </c:pt>
                <c:pt idx="639">
                  <c:v>64</c:v>
                </c:pt>
                <c:pt idx="640">
                  <c:v>72</c:v>
                </c:pt>
                <c:pt idx="641">
                  <c:v>65</c:v>
                </c:pt>
                <c:pt idx="642">
                  <c:v>70</c:v>
                </c:pt>
                <c:pt idx="643">
                  <c:v>65</c:v>
                </c:pt>
                <c:pt idx="644">
                  <c:v>61</c:v>
                </c:pt>
                <c:pt idx="645">
                  <c:v>58</c:v>
                </c:pt>
                <c:pt idx="646">
                  <c:v>61</c:v>
                </c:pt>
                <c:pt idx="647">
                  <c:v>54</c:v>
                </c:pt>
                <c:pt idx="648">
                  <c:v>65</c:v>
                </c:pt>
                <c:pt idx="649">
                  <c:v>62</c:v>
                </c:pt>
                <c:pt idx="650">
                  <c:v>63</c:v>
                </c:pt>
                <c:pt idx="651">
                  <c:v>60</c:v>
                </c:pt>
                <c:pt idx="652">
                  <c:v>64</c:v>
                </c:pt>
                <c:pt idx="653">
                  <c:v>62</c:v>
                </c:pt>
                <c:pt idx="654">
                  <c:v>59</c:v>
                </c:pt>
                <c:pt idx="655">
                  <c:v>57</c:v>
                </c:pt>
                <c:pt idx="656">
                  <c:v>60</c:v>
                </c:pt>
                <c:pt idx="657">
                  <c:v>65</c:v>
                </c:pt>
                <c:pt idx="658">
                  <c:v>65</c:v>
                </c:pt>
                <c:pt idx="659">
                  <c:v>62</c:v>
                </c:pt>
                <c:pt idx="660">
                  <c:v>61</c:v>
                </c:pt>
                <c:pt idx="661">
                  <c:v>63</c:v>
                </c:pt>
                <c:pt idx="662">
                  <c:v>90</c:v>
                </c:pt>
                <c:pt idx="663">
                  <c:v>62</c:v>
                </c:pt>
                <c:pt idx="664">
                  <c:v>55</c:v>
                </c:pt>
                <c:pt idx="665">
                  <c:v>55</c:v>
                </c:pt>
                <c:pt idx="666">
                  <c:v>60</c:v>
                </c:pt>
                <c:pt idx="667">
                  <c:v>63</c:v>
                </c:pt>
                <c:pt idx="668">
                  <c:v>58</c:v>
                </c:pt>
                <c:pt idx="669">
                  <c:v>64</c:v>
                </c:pt>
                <c:pt idx="670">
                  <c:v>57</c:v>
                </c:pt>
                <c:pt idx="671">
                  <c:v>60</c:v>
                </c:pt>
                <c:pt idx="672">
                  <c:v>60</c:v>
                </c:pt>
                <c:pt idx="673">
                  <c:v>61</c:v>
                </c:pt>
                <c:pt idx="674">
                  <c:v>58</c:v>
                </c:pt>
                <c:pt idx="675">
                  <c:v>95</c:v>
                </c:pt>
                <c:pt idx="676">
                  <c:v>67</c:v>
                </c:pt>
                <c:pt idx="677">
                  <c:v>54</c:v>
                </c:pt>
                <c:pt idx="678">
                  <c:v>66</c:v>
                </c:pt>
                <c:pt idx="679">
                  <c:v>64</c:v>
                </c:pt>
                <c:pt idx="680">
                  <c:v>62</c:v>
                </c:pt>
                <c:pt idx="681">
                  <c:v>58</c:v>
                </c:pt>
                <c:pt idx="682">
                  <c:v>66</c:v>
                </c:pt>
                <c:pt idx="683">
                  <c:v>66</c:v>
                </c:pt>
                <c:pt idx="684">
                  <c:v>61</c:v>
                </c:pt>
                <c:pt idx="685">
                  <c:v>54</c:v>
                </c:pt>
                <c:pt idx="686">
                  <c:v>61</c:v>
                </c:pt>
                <c:pt idx="687">
                  <c:v>61</c:v>
                </c:pt>
                <c:pt idx="688">
                  <c:v>65</c:v>
                </c:pt>
                <c:pt idx="689">
                  <c:v>60</c:v>
                </c:pt>
                <c:pt idx="690">
                  <c:v>58</c:v>
                </c:pt>
                <c:pt idx="691">
                  <c:v>60</c:v>
                </c:pt>
                <c:pt idx="692">
                  <c:v>59</c:v>
                </c:pt>
                <c:pt idx="693">
                  <c:v>56</c:v>
                </c:pt>
                <c:pt idx="694">
                  <c:v>61</c:v>
                </c:pt>
                <c:pt idx="695">
                  <c:v>61</c:v>
                </c:pt>
                <c:pt idx="696">
                  <c:v>60</c:v>
                </c:pt>
                <c:pt idx="697">
                  <c:v>59</c:v>
                </c:pt>
                <c:pt idx="698">
                  <c:v>57</c:v>
                </c:pt>
                <c:pt idx="699">
                  <c:v>58</c:v>
                </c:pt>
                <c:pt idx="700">
                  <c:v>54</c:v>
                </c:pt>
                <c:pt idx="701">
                  <c:v>58</c:v>
                </c:pt>
                <c:pt idx="702">
                  <c:v>57</c:v>
                </c:pt>
                <c:pt idx="703">
                  <c:v>64</c:v>
                </c:pt>
                <c:pt idx="704">
                  <c:v>61</c:v>
                </c:pt>
                <c:pt idx="705">
                  <c:v>51</c:v>
                </c:pt>
                <c:pt idx="706">
                  <c:v>60</c:v>
                </c:pt>
                <c:pt idx="707">
                  <c:v>59</c:v>
                </c:pt>
                <c:pt idx="708">
                  <c:v>59</c:v>
                </c:pt>
                <c:pt idx="709">
                  <c:v>63</c:v>
                </c:pt>
                <c:pt idx="710">
                  <c:v>57</c:v>
                </c:pt>
                <c:pt idx="711">
                  <c:v>59</c:v>
                </c:pt>
                <c:pt idx="712">
                  <c:v>60</c:v>
                </c:pt>
                <c:pt idx="713">
                  <c:v>54</c:v>
                </c:pt>
                <c:pt idx="714">
                  <c:v>62</c:v>
                </c:pt>
                <c:pt idx="715">
                  <c:v>65</c:v>
                </c:pt>
                <c:pt idx="716">
                  <c:v>57</c:v>
                </c:pt>
                <c:pt idx="717">
                  <c:v>53</c:v>
                </c:pt>
                <c:pt idx="718">
                  <c:v>58</c:v>
                </c:pt>
                <c:pt idx="719">
                  <c:v>64</c:v>
                </c:pt>
                <c:pt idx="720">
                  <c:v>56</c:v>
                </c:pt>
                <c:pt idx="721">
                  <c:v>85</c:v>
                </c:pt>
                <c:pt idx="722">
                  <c:v>59</c:v>
                </c:pt>
                <c:pt idx="723">
                  <c:v>#N/A</c:v>
                </c:pt>
                <c:pt idx="724">
                  <c:v>59</c:v>
                </c:pt>
                <c:pt idx="725">
                  <c:v>59</c:v>
                </c:pt>
                <c:pt idx="726">
                  <c:v>58</c:v>
                </c:pt>
                <c:pt idx="727">
                  <c:v>61</c:v>
                </c:pt>
                <c:pt idx="728">
                  <c:v>#N/A</c:v>
                </c:pt>
                <c:pt idx="729">
                  <c:v>58</c:v>
                </c:pt>
                <c:pt idx="730">
                  <c:v>56</c:v>
                </c:pt>
                <c:pt idx="731">
                  <c:v>58</c:v>
                </c:pt>
                <c:pt idx="732">
                  <c:v>49</c:v>
                </c:pt>
                <c:pt idx="733">
                  <c:v>61</c:v>
                </c:pt>
                <c:pt idx="734">
                  <c:v>56</c:v>
                </c:pt>
                <c:pt idx="735">
                  <c:v>58</c:v>
                </c:pt>
                <c:pt idx="736">
                  <c:v>55</c:v>
                </c:pt>
                <c:pt idx="737">
                  <c:v>56</c:v>
                </c:pt>
                <c:pt idx="738">
                  <c:v>61</c:v>
                </c:pt>
                <c:pt idx="739">
                  <c:v>#N/A</c:v>
                </c:pt>
                <c:pt idx="740">
                  <c:v>62</c:v>
                </c:pt>
                <c:pt idx="741">
                  <c:v>55</c:v>
                </c:pt>
                <c:pt idx="742">
                  <c:v>84</c:v>
                </c:pt>
                <c:pt idx="743">
                  <c:v>56</c:v>
                </c:pt>
                <c:pt idx="744">
                  <c:v>61</c:v>
                </c:pt>
                <c:pt idx="745">
                  <c:v>60</c:v>
                </c:pt>
                <c:pt idx="746">
                  <c:v>62</c:v>
                </c:pt>
                <c:pt idx="747">
                  <c:v>65</c:v>
                </c:pt>
                <c:pt idx="748">
                  <c:v>60</c:v>
                </c:pt>
                <c:pt idx="749">
                  <c:v>63</c:v>
                </c:pt>
                <c:pt idx="750">
                  <c:v>57</c:v>
                </c:pt>
                <c:pt idx="751">
                  <c:v>60</c:v>
                </c:pt>
                <c:pt idx="752">
                  <c:v>65</c:v>
                </c:pt>
                <c:pt idx="753">
                  <c:v>55</c:v>
                </c:pt>
                <c:pt idx="754">
                  <c:v>58</c:v>
                </c:pt>
                <c:pt idx="755">
                  <c:v>59</c:v>
                </c:pt>
                <c:pt idx="756">
                  <c:v>57</c:v>
                </c:pt>
                <c:pt idx="757">
                  <c:v>63</c:v>
                </c:pt>
                <c:pt idx="758">
                  <c:v>58</c:v>
                </c:pt>
                <c:pt idx="759">
                  <c:v>59</c:v>
                </c:pt>
                <c:pt idx="760">
                  <c:v>57</c:v>
                </c:pt>
                <c:pt idx="761">
                  <c:v>54</c:v>
                </c:pt>
                <c:pt idx="762">
                  <c:v>62</c:v>
                </c:pt>
                <c:pt idx="763">
                  <c:v>51</c:v>
                </c:pt>
                <c:pt idx="764">
                  <c:v>58</c:v>
                </c:pt>
                <c:pt idx="765">
                  <c:v>54</c:v>
                </c:pt>
                <c:pt idx="766">
                  <c:v>56</c:v>
                </c:pt>
                <c:pt idx="767">
                  <c:v>59</c:v>
                </c:pt>
                <c:pt idx="768">
                  <c:v>58</c:v>
                </c:pt>
                <c:pt idx="769">
                  <c:v>63</c:v>
                </c:pt>
                <c:pt idx="770">
                  <c:v>55</c:v>
                </c:pt>
                <c:pt idx="771">
                  <c:v>58</c:v>
                </c:pt>
                <c:pt idx="772">
                  <c:v>55</c:v>
                </c:pt>
                <c:pt idx="773">
                  <c:v>62</c:v>
                </c:pt>
                <c:pt idx="774">
                  <c:v>57</c:v>
                </c:pt>
                <c:pt idx="775">
                  <c:v>85</c:v>
                </c:pt>
                <c:pt idx="776">
                  <c:v>58</c:v>
                </c:pt>
                <c:pt idx="777">
                  <c:v>54</c:v>
                </c:pt>
                <c:pt idx="778">
                  <c:v>62</c:v>
                </c:pt>
                <c:pt idx="779">
                  <c:v>47</c:v>
                </c:pt>
                <c:pt idx="780">
                  <c:v>51</c:v>
                </c:pt>
                <c:pt idx="781">
                  <c:v>55</c:v>
                </c:pt>
                <c:pt idx="782">
                  <c:v>54</c:v>
                </c:pt>
                <c:pt idx="783">
                  <c:v>53</c:v>
                </c:pt>
                <c:pt idx="784">
                  <c:v>52</c:v>
                </c:pt>
                <c:pt idx="785">
                  <c:v>58</c:v>
                </c:pt>
                <c:pt idx="786">
                  <c:v>52</c:v>
                </c:pt>
                <c:pt idx="787">
                  <c:v>59</c:v>
                </c:pt>
                <c:pt idx="788">
                  <c:v>50</c:v>
                </c:pt>
                <c:pt idx="789">
                  <c:v>56</c:v>
                </c:pt>
                <c:pt idx="790">
                  <c:v>54</c:v>
                </c:pt>
                <c:pt idx="791">
                  <c:v>#N/A</c:v>
                </c:pt>
                <c:pt idx="792">
                  <c:v>56</c:v>
                </c:pt>
                <c:pt idx="793">
                  <c:v>58</c:v>
                </c:pt>
                <c:pt idx="794">
                  <c:v>61</c:v>
                </c:pt>
                <c:pt idx="795">
                  <c:v>51</c:v>
                </c:pt>
                <c:pt idx="796">
                  <c:v>53</c:v>
                </c:pt>
                <c:pt idx="797">
                  <c:v>55</c:v>
                </c:pt>
                <c:pt idx="798">
                  <c:v>50</c:v>
                </c:pt>
                <c:pt idx="799">
                  <c:v>58</c:v>
                </c:pt>
                <c:pt idx="800">
                  <c:v>85</c:v>
                </c:pt>
                <c:pt idx="801">
                  <c:v>51</c:v>
                </c:pt>
                <c:pt idx="802">
                  <c:v>60</c:v>
                </c:pt>
                <c:pt idx="803">
                  <c:v>61</c:v>
                </c:pt>
                <c:pt idx="804">
                  <c:v>77</c:v>
                </c:pt>
                <c:pt idx="805">
                  <c:v>56</c:v>
                </c:pt>
                <c:pt idx="806">
                  <c:v>64</c:v>
                </c:pt>
                <c:pt idx="807">
                  <c:v>56</c:v>
                </c:pt>
                <c:pt idx="808">
                  <c:v>58</c:v>
                </c:pt>
                <c:pt idx="809">
                  <c:v>57</c:v>
                </c:pt>
                <c:pt idx="810">
                  <c:v>#N/A</c:v>
                </c:pt>
                <c:pt idx="811">
                  <c:v>56</c:v>
                </c:pt>
                <c:pt idx="812">
                  <c:v>54</c:v>
                </c:pt>
                <c:pt idx="813">
                  <c:v>52</c:v>
                </c:pt>
                <c:pt idx="814">
                  <c:v>53</c:v>
                </c:pt>
                <c:pt idx="815">
                  <c:v>57</c:v>
                </c:pt>
                <c:pt idx="816">
                  <c:v>48</c:v>
                </c:pt>
                <c:pt idx="817">
                  <c:v>58</c:v>
                </c:pt>
                <c:pt idx="818">
                  <c:v>#N/A</c:v>
                </c:pt>
                <c:pt idx="819">
                  <c:v>52</c:v>
                </c:pt>
                <c:pt idx="820">
                  <c:v>52</c:v>
                </c:pt>
                <c:pt idx="821">
                  <c:v>50</c:v>
                </c:pt>
                <c:pt idx="822">
                  <c:v>55</c:v>
                </c:pt>
                <c:pt idx="823">
                  <c:v>61</c:v>
                </c:pt>
                <c:pt idx="824">
                  <c:v>55</c:v>
                </c:pt>
                <c:pt idx="825">
                  <c:v>55</c:v>
                </c:pt>
                <c:pt idx="826">
                  <c:v>59</c:v>
                </c:pt>
                <c:pt idx="827">
                  <c:v>48</c:v>
                </c:pt>
                <c:pt idx="828">
                  <c:v>51</c:v>
                </c:pt>
                <c:pt idx="829">
                  <c:v>56</c:v>
                </c:pt>
                <c:pt idx="830">
                  <c:v>54</c:v>
                </c:pt>
                <c:pt idx="831">
                  <c:v>52</c:v>
                </c:pt>
                <c:pt idx="832">
                  <c:v>76</c:v>
                </c:pt>
                <c:pt idx="833">
                  <c:v>54</c:v>
                </c:pt>
                <c:pt idx="834">
                  <c:v>48</c:v>
                </c:pt>
                <c:pt idx="835">
                  <c:v>58</c:v>
                </c:pt>
                <c:pt idx="836">
                  <c:v>53</c:v>
                </c:pt>
                <c:pt idx="837">
                  <c:v>56</c:v>
                </c:pt>
                <c:pt idx="838">
                  <c:v>54</c:v>
                </c:pt>
                <c:pt idx="839">
                  <c:v>53</c:v>
                </c:pt>
                <c:pt idx="840">
                  <c:v>53</c:v>
                </c:pt>
                <c:pt idx="841">
                  <c:v>53</c:v>
                </c:pt>
                <c:pt idx="842">
                  <c:v>77</c:v>
                </c:pt>
                <c:pt idx="843">
                  <c:v>86</c:v>
                </c:pt>
                <c:pt idx="844">
                  <c:v>48</c:v>
                </c:pt>
                <c:pt idx="845">
                  <c:v>52</c:v>
                </c:pt>
                <c:pt idx="846">
                  <c:v>54</c:v>
                </c:pt>
                <c:pt idx="847">
                  <c:v>53</c:v>
                </c:pt>
                <c:pt idx="848">
                  <c:v>51</c:v>
                </c:pt>
                <c:pt idx="849">
                  <c:v>54</c:v>
                </c:pt>
                <c:pt idx="850">
                  <c:v>59</c:v>
                </c:pt>
                <c:pt idx="851">
                  <c:v>50</c:v>
                </c:pt>
                <c:pt idx="852">
                  <c:v>58</c:v>
                </c:pt>
                <c:pt idx="853">
                  <c:v>57</c:v>
                </c:pt>
                <c:pt idx="854">
                  <c:v>52</c:v>
                </c:pt>
                <c:pt idx="855">
                  <c:v>54</c:v>
                </c:pt>
                <c:pt idx="856">
                  <c:v>47</c:v>
                </c:pt>
                <c:pt idx="857">
                  <c:v>44</c:v>
                </c:pt>
                <c:pt idx="858">
                  <c:v>49</c:v>
                </c:pt>
                <c:pt idx="859">
                  <c:v>55</c:v>
                </c:pt>
                <c:pt idx="860">
                  <c:v>#N/A</c:v>
                </c:pt>
                <c:pt idx="861">
                  <c:v>51</c:v>
                </c:pt>
                <c:pt idx="862">
                  <c:v>50</c:v>
                </c:pt>
                <c:pt idx="863">
                  <c:v>49</c:v>
                </c:pt>
                <c:pt idx="864">
                  <c:v>55</c:v>
                </c:pt>
                <c:pt idx="865">
                  <c:v>61</c:v>
                </c:pt>
                <c:pt idx="866">
                  <c:v>51</c:v>
                </c:pt>
                <c:pt idx="867">
                  <c:v>57</c:v>
                </c:pt>
                <c:pt idx="868">
                  <c:v>59</c:v>
                </c:pt>
                <c:pt idx="869">
                  <c:v>49</c:v>
                </c:pt>
                <c:pt idx="870">
                  <c:v>53</c:v>
                </c:pt>
                <c:pt idx="871">
                  <c:v>48</c:v>
                </c:pt>
                <c:pt idx="872">
                  <c:v>80</c:v>
                </c:pt>
                <c:pt idx="873">
                  <c:v>57</c:v>
                </c:pt>
                <c:pt idx="874">
                  <c:v>60</c:v>
                </c:pt>
                <c:pt idx="875">
                  <c:v>51</c:v>
                </c:pt>
                <c:pt idx="876">
                  <c:v>55</c:v>
                </c:pt>
                <c:pt idx="877">
                  <c:v>43</c:v>
                </c:pt>
                <c:pt idx="878">
                  <c:v>50</c:v>
                </c:pt>
                <c:pt idx="879">
                  <c:v>52</c:v>
                </c:pt>
                <c:pt idx="880">
                  <c:v>52</c:v>
                </c:pt>
                <c:pt idx="881">
                  <c:v>55</c:v>
                </c:pt>
                <c:pt idx="882">
                  <c:v>49</c:v>
                </c:pt>
                <c:pt idx="883">
                  <c:v>49</c:v>
                </c:pt>
                <c:pt idx="884">
                  <c:v>54</c:v>
                </c:pt>
                <c:pt idx="885">
                  <c:v>#N/A</c:v>
                </c:pt>
                <c:pt idx="886">
                  <c:v>52</c:v>
                </c:pt>
                <c:pt idx="887">
                  <c:v>73</c:v>
                </c:pt>
                <c:pt idx="888">
                  <c:v>47</c:v>
                </c:pt>
                <c:pt idx="889">
                  <c:v>#N/A</c:v>
                </c:pt>
                <c:pt idx="890">
                  <c:v>52</c:v>
                </c:pt>
                <c:pt idx="891">
                  <c:v>50</c:v>
                </c:pt>
                <c:pt idx="892">
                  <c:v>52</c:v>
                </c:pt>
                <c:pt idx="893">
                  <c:v>75</c:v>
                </c:pt>
                <c:pt idx="894">
                  <c:v>46</c:v>
                </c:pt>
                <c:pt idx="895">
                  <c:v>#N/A</c:v>
                </c:pt>
                <c:pt idx="896">
                  <c:v>#N/A</c:v>
                </c:pt>
                <c:pt idx="897">
                  <c:v>52</c:v>
                </c:pt>
                <c:pt idx="898">
                  <c:v>67</c:v>
                </c:pt>
                <c:pt idx="899">
                  <c:v>46</c:v>
                </c:pt>
                <c:pt idx="900">
                  <c:v>42</c:v>
                </c:pt>
                <c:pt idx="901">
                  <c:v>41</c:v>
                </c:pt>
                <c:pt idx="902">
                  <c:v>51</c:v>
                </c:pt>
                <c:pt idx="903">
                  <c:v>51</c:v>
                </c:pt>
                <c:pt idx="904">
                  <c:v>77</c:v>
                </c:pt>
                <c:pt idx="905">
                  <c:v>#N/A</c:v>
                </c:pt>
                <c:pt idx="906">
                  <c:v>41</c:v>
                </c:pt>
                <c:pt idx="907">
                  <c:v>47</c:v>
                </c:pt>
                <c:pt idx="908">
                  <c:v>51</c:v>
                </c:pt>
                <c:pt idx="909">
                  <c:v>56</c:v>
                </c:pt>
                <c:pt idx="910">
                  <c:v>48</c:v>
                </c:pt>
                <c:pt idx="911">
                  <c:v>72</c:v>
                </c:pt>
                <c:pt idx="912">
                  <c:v>#N/A</c:v>
                </c:pt>
                <c:pt idx="913">
                  <c:v>42</c:v>
                </c:pt>
                <c:pt idx="914">
                  <c:v>44</c:v>
                </c:pt>
                <c:pt idx="915">
                  <c:v>49</c:v>
                </c:pt>
                <c:pt idx="916">
                  <c:v>45</c:v>
                </c:pt>
                <c:pt idx="917">
                  <c:v>43</c:v>
                </c:pt>
                <c:pt idx="918">
                  <c:v>#N/A</c:v>
                </c:pt>
                <c:pt idx="919">
                  <c:v>71</c:v>
                </c:pt>
                <c:pt idx="920">
                  <c:v>45</c:v>
                </c:pt>
                <c:pt idx="921">
                  <c:v>48</c:v>
                </c:pt>
                <c:pt idx="922">
                  <c:v>45</c:v>
                </c:pt>
                <c:pt idx="923">
                  <c:v>52</c:v>
                </c:pt>
                <c:pt idx="924">
                  <c:v>64</c:v>
                </c:pt>
                <c:pt idx="925">
                  <c:v>46</c:v>
                </c:pt>
                <c:pt idx="926">
                  <c:v>43</c:v>
                </c:pt>
                <c:pt idx="927">
                  <c:v>52</c:v>
                </c:pt>
                <c:pt idx="928">
                  <c:v>70</c:v>
                </c:pt>
                <c:pt idx="929">
                  <c:v>46</c:v>
                </c:pt>
                <c:pt idx="930">
                  <c:v>42</c:v>
                </c:pt>
                <c:pt idx="931">
                  <c:v>45</c:v>
                </c:pt>
                <c:pt idx="932">
                  <c:v>53</c:v>
                </c:pt>
                <c:pt idx="933">
                  <c:v>45</c:v>
                </c:pt>
                <c:pt idx="934">
                  <c:v>72</c:v>
                </c:pt>
                <c:pt idx="935">
                  <c:v>43</c:v>
                </c:pt>
                <c:pt idx="936">
                  <c:v>49</c:v>
                </c:pt>
                <c:pt idx="937">
                  <c:v>64</c:v>
                </c:pt>
                <c:pt idx="938">
                  <c:v>53</c:v>
                </c:pt>
                <c:pt idx="939">
                  <c:v>43</c:v>
                </c:pt>
                <c:pt idx="940">
                  <c:v>43</c:v>
                </c:pt>
                <c:pt idx="941">
                  <c:v>37</c:v>
                </c:pt>
                <c:pt idx="942">
                  <c:v>41</c:v>
                </c:pt>
                <c:pt idx="943">
                  <c:v>46</c:v>
                </c:pt>
                <c:pt idx="944">
                  <c:v>43</c:v>
                </c:pt>
                <c:pt idx="945">
                  <c:v>62</c:v>
                </c:pt>
                <c:pt idx="946">
                  <c:v>#N/A</c:v>
                </c:pt>
                <c:pt idx="947">
                  <c:v>46</c:v>
                </c:pt>
                <c:pt idx="948">
                  <c:v>39</c:v>
                </c:pt>
                <c:pt idx="949">
                  <c:v>#N/A</c:v>
                </c:pt>
                <c:pt idx="950">
                  <c:v>66</c:v>
                </c:pt>
                <c:pt idx="951">
                  <c:v>51</c:v>
                </c:pt>
                <c:pt idx="952">
                  <c:v>45</c:v>
                </c:pt>
                <c:pt idx="953">
                  <c:v>65</c:v>
                </c:pt>
                <c:pt idx="954">
                  <c:v>67</c:v>
                </c:pt>
                <c:pt idx="955">
                  <c:v>66</c:v>
                </c:pt>
                <c:pt idx="956">
                  <c:v>66</c:v>
                </c:pt>
                <c:pt idx="957">
                  <c:v>43</c:v>
                </c:pt>
                <c:pt idx="958">
                  <c:v>41</c:v>
                </c:pt>
                <c:pt idx="959">
                  <c:v>72</c:v>
                </c:pt>
                <c:pt idx="960">
                  <c:v>61</c:v>
                </c:pt>
                <c:pt idx="961">
                  <c:v>48</c:v>
                </c:pt>
                <c:pt idx="962">
                  <c:v>43</c:v>
                </c:pt>
                <c:pt idx="963">
                  <c:v>44</c:v>
                </c:pt>
                <c:pt idx="964">
                  <c:v>42</c:v>
                </c:pt>
                <c:pt idx="965">
                  <c:v>45</c:v>
                </c:pt>
                <c:pt idx="966">
                  <c:v>37</c:v>
                </c:pt>
                <c:pt idx="967">
                  <c:v>37</c:v>
                </c:pt>
                <c:pt idx="968">
                  <c:v>42</c:v>
                </c:pt>
                <c:pt idx="969">
                  <c:v>31</c:v>
                </c:pt>
                <c:pt idx="970">
                  <c:v>60</c:v>
                </c:pt>
                <c:pt idx="971">
                  <c:v>41</c:v>
                </c:pt>
                <c:pt idx="972">
                  <c:v>41</c:v>
                </c:pt>
                <c:pt idx="973">
                  <c:v>58</c:v>
                </c:pt>
                <c:pt idx="974">
                  <c:v>34</c:v>
                </c:pt>
                <c:pt idx="975">
                  <c:v>39</c:v>
                </c:pt>
                <c:pt idx="976">
                  <c:v>42</c:v>
                </c:pt>
                <c:pt idx="977">
                  <c:v>58</c:v>
                </c:pt>
                <c:pt idx="978">
                  <c:v>39</c:v>
                </c:pt>
                <c:pt idx="979">
                  <c:v>40</c:v>
                </c:pt>
                <c:pt idx="980">
                  <c:v>39</c:v>
                </c:pt>
                <c:pt idx="981">
                  <c:v>#N/A</c:v>
                </c:pt>
                <c:pt idx="982">
                  <c:v>56</c:v>
                </c:pt>
                <c:pt idx="983">
                  <c:v>53</c:v>
                </c:pt>
                <c:pt idx="984">
                  <c:v>51</c:v>
                </c:pt>
                <c:pt idx="985">
                  <c:v>39</c:v>
                </c:pt>
                <c:pt idx="986">
                  <c:v>34</c:v>
                </c:pt>
                <c:pt idx="987">
                  <c:v>44</c:v>
                </c:pt>
                <c:pt idx="988">
                  <c:v>#N/A</c:v>
                </c:pt>
                <c:pt idx="989">
                  <c:v>48</c:v>
                </c:pt>
                <c:pt idx="990">
                  <c:v>49</c:v>
                </c:pt>
                <c:pt idx="991">
                  <c:v>46</c:v>
                </c:pt>
                <c:pt idx="992">
                  <c:v>34</c:v>
                </c:pt>
                <c:pt idx="993">
                  <c:v>51</c:v>
                </c:pt>
                <c:pt idx="994">
                  <c:v>#N/A</c:v>
                </c:pt>
                <c:pt idx="995">
                  <c:v>39</c:v>
                </c:pt>
                <c:pt idx="996">
                  <c:v>34</c:v>
                </c:pt>
                <c:pt idx="997">
                  <c:v>29</c:v>
                </c:pt>
                <c:pt idx="998">
                  <c:v>#N/A</c:v>
                </c:pt>
                <c:pt idx="999">
                  <c:v>28</c:v>
                </c:pt>
                <c:pt idx="1000">
                  <c:v>38</c:v>
                </c:pt>
                <c:pt idx="1001">
                  <c:v>38</c:v>
                </c:pt>
                <c:pt idx="1002">
                  <c:v>29</c:v>
                </c:pt>
                <c:pt idx="1003">
                  <c:v>42</c:v>
                </c:pt>
                <c:pt idx="1004">
                  <c:v>32</c:v>
                </c:pt>
                <c:pt idx="1005">
                  <c:v>26</c:v>
                </c:pt>
                <c:pt idx="1006">
                  <c:v>#N/A</c:v>
                </c:pt>
                <c:pt idx="1007">
                  <c:v>23</c:v>
                </c:pt>
                <c:pt idx="1008">
                  <c:v>#N/A</c:v>
                </c:pt>
                <c:pt idx="1009">
                  <c:v>31</c:v>
                </c:pt>
                <c:pt idx="1010">
                  <c:v>24</c:v>
                </c:pt>
                <c:pt idx="1011">
                  <c:v>24</c:v>
                </c:pt>
                <c:pt idx="1012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35-4459-ACD1-3C2CB9848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221664"/>
        <c:axId val="1357222912"/>
      </c:scatterChart>
      <c:valAx>
        <c:axId val="135722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000" b="0" i="0" u="none" strike="noStrike" baseline="0">
                    <a:solidFill>
                      <a:schemeClr val="accent5"/>
                    </a:solidFill>
                  </a:rPr>
                  <a:t>Math Score</a:t>
                </a:r>
                <a:endParaRPr lang="en-AU" baseline="0">
                  <a:solidFill>
                    <a:schemeClr val="accent5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222912"/>
        <c:crosses val="autoZero"/>
        <c:crossBetween val="midCat"/>
      </c:valAx>
      <c:valAx>
        <c:axId val="13572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000" b="0" i="0" u="none" strike="noStrike" baseline="0">
                    <a:solidFill>
                      <a:schemeClr val="accent2"/>
                    </a:solidFill>
                  </a:rPr>
                  <a:t>Reading Score</a:t>
                </a:r>
                <a:endParaRPr lang="en-AU" baseline="0">
                  <a:solidFill>
                    <a:schemeClr val="accent2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221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Math vs Writing (Y = Writing)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Math vs Writing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55761154855643"/>
                  <c:y val="-6.57793817439486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ScatterData!$A$2:$A$1014</c:f>
              <c:numCache>
                <c:formatCode>0</c:formatCode>
                <c:ptCount val="101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</c:v>
                </c:pt>
                <c:pt idx="4">
                  <c:v>97</c:v>
                </c:pt>
                <c:pt idx="5">
                  <c:v>98</c:v>
                </c:pt>
                <c:pt idx="6">
                  <c:v>96</c:v>
                </c:pt>
                <c:pt idx="7">
                  <c:v>100</c:v>
                </c:pt>
                <c:pt idx="8">
                  <c:v>100</c:v>
                </c:pt>
                <c:pt idx="9">
                  <c:v>94</c:v>
                </c:pt>
                <c:pt idx="10">
                  <c:v>93</c:v>
                </c:pt>
                <c:pt idx="11">
                  <c:v>92</c:v>
                </c:pt>
                <c:pt idx="12">
                  <c:v>92</c:v>
                </c:pt>
                <c:pt idx="13">
                  <c:v>92</c:v>
                </c:pt>
                <c:pt idx="14">
                  <c:v>96</c:v>
                </c:pt>
                <c:pt idx="15">
                  <c:v>97</c:v>
                </c:pt>
                <c:pt idx="16">
                  <c:v>100</c:v>
                </c:pt>
                <c:pt idx="17">
                  <c:v>92</c:v>
                </c:pt>
                <c:pt idx="18">
                  <c:v>89</c:v>
                </c:pt>
                <c:pt idx="19">
                  <c:v>93</c:v>
                </c:pt>
                <c:pt idx="20">
                  <c:v>87</c:v>
                </c:pt>
                <c:pt idx="21">
                  <c:v>99</c:v>
                </c:pt>
                <c:pt idx="22">
                  <c:v>87</c:v>
                </c:pt>
                <c:pt idx="23">
                  <c:v>100</c:v>
                </c:pt>
                <c:pt idx="24">
                  <c:v>88</c:v>
                </c:pt>
                <c:pt idx="25">
                  <c:v>97</c:v>
                </c:pt>
                <c:pt idx="26">
                  <c:v>91</c:v>
                </c:pt>
                <c:pt idx="27">
                  <c:v>91</c:v>
                </c:pt>
                <c:pt idx="28">
                  <c:v>90</c:v>
                </c:pt>
                <c:pt idx="29">
                  <c:v>96</c:v>
                </c:pt>
                <c:pt idx="30">
                  <c:v>91</c:v>
                </c:pt>
                <c:pt idx="31">
                  <c:v>88</c:v>
                </c:pt>
                <c:pt idx="32">
                  <c:v>95</c:v>
                </c:pt>
                <c:pt idx="33">
                  <c:v>87</c:v>
                </c:pt>
                <c:pt idx="34">
                  <c:v>88</c:v>
                </c:pt>
                <c:pt idx="35">
                  <c:v>88</c:v>
                </c:pt>
                <c:pt idx="36">
                  <c:v>82</c:v>
                </c:pt>
                <c:pt idx="37">
                  <c:v>94</c:v>
                </c:pt>
                <c:pt idx="38">
                  <c:v>98</c:v>
                </c:pt>
                <c:pt idx="39">
                  <c:v>98</c:v>
                </c:pt>
                <c:pt idx="40">
                  <c:v>88</c:v>
                </c:pt>
                <c:pt idx="41">
                  <c:v>81</c:v>
                </c:pt>
                <c:pt idx="42">
                  <c:v>94</c:v>
                </c:pt>
                <c:pt idx="43">
                  <c:v>91</c:v>
                </c:pt>
                <c:pt idx="44">
                  <c:v>83</c:v>
                </c:pt>
                <c:pt idx="45">
                  <c:v>90</c:v>
                </c:pt>
                <c:pt idx="46">
                  <c:v>84</c:v>
                </c:pt>
                <c:pt idx="47">
                  <c:v>85</c:v>
                </c:pt>
                <c:pt idx="48">
                  <c:v>87</c:v>
                </c:pt>
                <c:pt idx="49">
                  <c:v>85</c:v>
                </c:pt>
                <c:pt idx="50">
                  <c:v>85</c:v>
                </c:pt>
                <c:pt idx="51">
                  <c:v>87</c:v>
                </c:pt>
                <c:pt idx="52">
                  <c:v>82</c:v>
                </c:pt>
                <c:pt idx="53">
                  <c:v>77</c:v>
                </c:pt>
                <c:pt idx="54">
                  <c:v>82</c:v>
                </c:pt>
                <c:pt idx="55">
                  <c:v>97</c:v>
                </c:pt>
                <c:pt idx="56">
                  <c:v>99</c:v>
                </c:pt>
                <c:pt idx="57">
                  <c:v>93</c:v>
                </c:pt>
                <c:pt idx="58">
                  <c:v>94</c:v>
                </c:pt>
                <c:pt idx="59">
                  <c:v>85</c:v>
                </c:pt>
                <c:pt idx="60">
                  <c:v>97</c:v>
                </c:pt>
                <c:pt idx="61">
                  <c:v>82</c:v>
                </c:pt>
                <c:pt idx="62">
                  <c:v>77</c:v>
                </c:pt>
                <c:pt idx="63">
                  <c:v>82</c:v>
                </c:pt>
                <c:pt idx="64">
                  <c:v>93</c:v>
                </c:pt>
                <c:pt idx="65">
                  <c:v>85</c:v>
                </c:pt>
                <c:pt idx="66">
                  <c:v>86</c:v>
                </c:pt>
                <c:pt idx="67">
                  <c:v>87</c:v>
                </c:pt>
                <c:pt idx="68">
                  <c:v>87</c:v>
                </c:pt>
                <c:pt idx="69">
                  <c:v>78</c:v>
                </c:pt>
                <c:pt idx="70">
                  <c:v>77</c:v>
                </c:pt>
                <c:pt idx="71">
                  <c:v>81</c:v>
                </c:pt>
                <c:pt idx="72">
                  <c:v>88</c:v>
                </c:pt>
                <c:pt idx="73">
                  <c:v>84</c:v>
                </c:pt>
                <c:pt idx="74">
                  <c:v>84</c:v>
                </c:pt>
                <c:pt idx="75">
                  <c:v>90</c:v>
                </c:pt>
                <c:pt idx="76">
                  <c:v>90</c:v>
                </c:pt>
                <c:pt idx="77">
                  <c:v>86</c:v>
                </c:pt>
                <c:pt idx="78">
                  <c:v>85</c:v>
                </c:pt>
                <c:pt idx="79">
                  <c:v>91</c:v>
                </c:pt>
                <c:pt idx="80">
                  <c:v>79</c:v>
                </c:pt>
                <c:pt idx="81">
                  <c:v>81</c:v>
                </c:pt>
                <c:pt idx="82">
                  <c:v>94</c:v>
                </c:pt>
                <c:pt idx="83">
                  <c:v>78</c:v>
                </c:pt>
                <c:pt idx="84">
                  <c:v>91</c:v>
                </c:pt>
                <c:pt idx="85">
                  <c:v>79</c:v>
                </c:pt>
                <c:pt idx="86">
                  <c:v>95</c:v>
                </c:pt>
                <c:pt idx="87">
                  <c:v>80</c:v>
                </c:pt>
                <c:pt idx="88">
                  <c:v>81</c:v>
                </c:pt>
                <c:pt idx="89">
                  <c:v>87</c:v>
                </c:pt>
                <c:pt idx="90">
                  <c:v>80</c:v>
                </c:pt>
                <c:pt idx="91">
                  <c:v>89</c:v>
                </c:pt>
                <c:pt idx="92">
                  <c:v>90</c:v>
                </c:pt>
                <c:pt idx="93">
                  <c:v>81</c:v>
                </c:pt>
                <c:pt idx="94">
                  <c:v>77</c:v>
                </c:pt>
                <c:pt idx="95">
                  <c:v>87</c:v>
                </c:pt>
                <c:pt idx="96">
                  <c:v>85</c:v>
                </c:pt>
                <c:pt idx="97">
                  <c:v>79</c:v>
                </c:pt>
                <c:pt idx="98">
                  <c:v>83</c:v>
                </c:pt>
                <c:pt idx="99">
                  <c:v>92</c:v>
                </c:pt>
                <c:pt idx="100">
                  <c:v>79</c:v>
                </c:pt>
                <c:pt idx="101">
                  <c:v>76</c:v>
                </c:pt>
                <c:pt idx="102">
                  <c:v>87</c:v>
                </c:pt>
                <c:pt idx="103">
                  <c:v>83</c:v>
                </c:pt>
                <c:pt idx="104">
                  <c:v>77</c:v>
                </c:pt>
                <c:pt idx="105">
                  <c:v>78</c:v>
                </c:pt>
                <c:pt idx="106">
                  <c:v>89</c:v>
                </c:pt>
                <c:pt idx="107">
                  <c:v>86</c:v>
                </c:pt>
                <c:pt idx="108">
                  <c:v>89</c:v>
                </c:pt>
                <c:pt idx="109">
                  <c:v>92</c:v>
                </c:pt>
                <c:pt idx="110">
                  <c:v>79</c:v>
                </c:pt>
                <c:pt idx="111">
                  <c:v>82</c:v>
                </c:pt>
                <c:pt idx="112">
                  <c:v>81</c:v>
                </c:pt>
                <c:pt idx="113">
                  <c:v>79</c:v>
                </c:pt>
                <c:pt idx="114">
                  <c:v>75</c:v>
                </c:pt>
                <c:pt idx="115">
                  <c:v>82</c:v>
                </c:pt>
                <c:pt idx="116">
                  <c:v>77</c:v>
                </c:pt>
                <c:pt idx="117">
                  <c:v>90</c:v>
                </c:pt>
                <c:pt idx="118">
                  <c:v>80</c:v>
                </c:pt>
                <c:pt idx="119">
                  <c:v>74</c:v>
                </c:pt>
                <c:pt idx="120">
                  <c:v>74</c:v>
                </c:pt>
                <c:pt idx="121">
                  <c:v>77</c:v>
                </c:pt>
                <c:pt idx="122">
                  <c:v>82</c:v>
                </c:pt>
                <c:pt idx="123">
                  <c:v>84</c:v>
                </c:pt>
                <c:pt idx="124">
                  <c:v>85</c:v>
                </c:pt>
                <c:pt idx="125">
                  <c:v>77</c:v>
                </c:pt>
                <c:pt idx="126">
                  <c:v>91</c:v>
                </c:pt>
                <c:pt idx="127">
                  <c:v>85</c:v>
                </c:pt>
                <c:pt idx="128">
                  <c:v>77</c:v>
                </c:pt>
                <c:pt idx="129">
                  <c:v>77</c:v>
                </c:pt>
                <c:pt idx="130">
                  <c:v>89</c:v>
                </c:pt>
                <c:pt idx="131">
                  <c:v>79</c:v>
                </c:pt>
                <c:pt idx="132">
                  <c:v>83</c:v>
                </c:pt>
                <c:pt idx="133">
                  <c:v>90</c:v>
                </c:pt>
                <c:pt idx="134">
                  <c:v>80</c:v>
                </c:pt>
                <c:pt idx="135">
                  <c:v>88</c:v>
                </c:pt>
                <c:pt idx="136">
                  <c:v>77</c:v>
                </c:pt>
                <c:pt idx="137">
                  <c:v>73</c:v>
                </c:pt>
                <c:pt idx="138">
                  <c:v>74</c:v>
                </c:pt>
                <c:pt idx="139">
                  <c:v>77</c:v>
                </c:pt>
                <c:pt idx="140">
                  <c:v>82</c:v>
                </c:pt>
                <c:pt idx="141">
                  <c:v>75</c:v>
                </c:pt>
                <c:pt idx="142">
                  <c:v>76</c:v>
                </c:pt>
                <c:pt idx="143">
                  <c:v>75</c:v>
                </c:pt>
                <c:pt idx="144">
                  <c:v>84</c:v>
                </c:pt>
                <c:pt idx="145">
                  <c:v>77</c:v>
                </c:pt>
                <c:pt idx="146">
                  <c:v>76</c:v>
                </c:pt>
                <c:pt idx="147">
                  <c:v>88</c:v>
                </c:pt>
                <c:pt idx="148">
                  <c:v>70</c:v>
                </c:pt>
                <c:pt idx="149">
                  <c:v>85</c:v>
                </c:pt>
                <c:pt idx="150">
                  <c:v>86</c:v>
                </c:pt>
                <c:pt idx="151">
                  <c:v>74</c:v>
                </c:pt>
                <c:pt idx="152">
                  <c:v>75</c:v>
                </c:pt>
                <c:pt idx="153">
                  <c:v>81</c:v>
                </c:pt>
                <c:pt idx="154">
                  <c:v>87</c:v>
                </c:pt>
                <c:pt idx="155">
                  <c:v>81</c:v>
                </c:pt>
                <c:pt idx="156">
                  <c:v>79</c:v>
                </c:pt>
                <c:pt idx="157">
                  <c:v>80</c:v>
                </c:pt>
                <c:pt idx="158">
                  <c:v>81</c:v>
                </c:pt>
                <c:pt idx="159">
                  <c:v>87</c:v>
                </c:pt>
                <c:pt idx="160">
                  <c:v>81</c:v>
                </c:pt>
                <c:pt idx="161">
                  <c:v>84</c:v>
                </c:pt>
                <c:pt idx="162">
                  <c:v>78</c:v>
                </c:pt>
                <c:pt idx="163">
                  <c:v>84</c:v>
                </c:pt>
                <c:pt idx="164">
                  <c:v>91</c:v>
                </c:pt>
                <c:pt idx="165">
                  <c:v>82</c:v>
                </c:pt>
                <c:pt idx="166">
                  <c:v>82</c:v>
                </c:pt>
                <c:pt idx="167">
                  <c:v>79</c:v>
                </c:pt>
                <c:pt idx="168">
                  <c:v>76</c:v>
                </c:pt>
                <c:pt idx="169">
                  <c:v>71</c:v>
                </c:pt>
                <c:pt idx="170">
                  <c:v>75</c:v>
                </c:pt>
                <c:pt idx="171">
                  <c:v>84</c:v>
                </c:pt>
                <c:pt idx="172">
                  <c:v>73</c:v>
                </c:pt>
                <c:pt idx="173">
                  <c:v>79</c:v>
                </c:pt>
                <c:pt idx="174">
                  <c:v>88</c:v>
                </c:pt>
                <c:pt idx="175">
                  <c:v>86</c:v>
                </c:pt>
                <c:pt idx="176">
                  <c:v>81</c:v>
                </c:pt>
                <c:pt idx="177">
                  <c:v>88</c:v>
                </c:pt>
                <c:pt idx="178">
                  <c:v>73</c:v>
                </c:pt>
                <c:pt idx="179">
                  <c:v>78</c:v>
                </c:pt>
                <c:pt idx="180">
                  <c:v>86</c:v>
                </c:pt>
                <c:pt idx="181">
                  <c:v>91</c:v>
                </c:pt>
                <c:pt idx="182">
                  <c:v>79</c:v>
                </c:pt>
                <c:pt idx="183">
                  <c:v>78</c:v>
                </c:pt>
                <c:pt idx="184">
                  <c:v>75</c:v>
                </c:pt>
                <c:pt idx="185">
                  <c:v>81</c:v>
                </c:pt>
                <c:pt idx="186">
                  <c:v>75</c:v>
                </c:pt>
                <c:pt idx="187">
                  <c:v>71</c:v>
                </c:pt>
                <c:pt idx="188">
                  <c:v>80</c:v>
                </c:pt>
                <c:pt idx="189">
                  <c:v>78</c:v>
                </c:pt>
                <c:pt idx="190">
                  <c:v>88</c:v>
                </c:pt>
                <c:pt idx="191">
                  <c:v>89</c:v>
                </c:pt>
                <c:pt idx="192">
                  <c:v>88</c:v>
                </c:pt>
                <c:pt idx="193">
                  <c:v>82</c:v>
                </c:pt>
                <c:pt idx="194">
                  <c:v>78</c:v>
                </c:pt>
                <c:pt idx="195">
                  <c:v>75</c:v>
                </c:pt>
                <c:pt idx="196">
                  <c:v>74</c:v>
                </c:pt>
                <c:pt idx="197">
                  <c:v>82</c:v>
                </c:pt>
                <c:pt idx="198">
                  <c:v>76</c:v>
                </c:pt>
                <c:pt idx="199">
                  <c:v>69</c:v>
                </c:pt>
                <c:pt idx="200">
                  <c:v>80</c:v>
                </c:pt>
                <c:pt idx="201">
                  <c:v>67</c:v>
                </c:pt>
                <c:pt idx="202">
                  <c:v>94</c:v>
                </c:pt>
                <c:pt idx="203">
                  <c:v>67</c:v>
                </c:pt>
                <c:pt idx="204">
                  <c:v>81</c:v>
                </c:pt>
                <c:pt idx="205">
                  <c:v>71</c:v>
                </c:pt>
                <c:pt idx="206">
                  <c:v>87</c:v>
                </c:pt>
                <c:pt idx="207">
                  <c:v>81</c:v>
                </c:pt>
                <c:pt idx="208">
                  <c:v>88</c:v>
                </c:pt>
                <c:pt idx="209">
                  <c:v>81</c:v>
                </c:pt>
                <c:pt idx="210">
                  <c:v>83</c:v>
                </c:pt>
                <c:pt idx="211">
                  <c:v>67</c:v>
                </c:pt>
                <c:pt idx="212">
                  <c:v>79</c:v>
                </c:pt>
                <c:pt idx="213">
                  <c:v>73</c:v>
                </c:pt>
                <c:pt idx="214">
                  <c:v>77</c:v>
                </c:pt>
                <c:pt idx="215">
                  <c:v>86</c:v>
                </c:pt>
                <c:pt idx="216">
                  <c:v>69</c:v>
                </c:pt>
                <c:pt idx="217">
                  <c:v>75</c:v>
                </c:pt>
                <c:pt idx="218">
                  <c:v>67</c:v>
                </c:pt>
                <c:pt idx="219">
                  <c:v>73</c:v>
                </c:pt>
                <c:pt idx="220">
                  <c:v>84</c:v>
                </c:pt>
                <c:pt idx="221">
                  <c:v>78</c:v>
                </c:pt>
                <c:pt idx="222">
                  <c:v>74</c:v>
                </c:pt>
                <c:pt idx="223">
                  <c:v>72</c:v>
                </c:pt>
                <c:pt idx="224">
                  <c:v>67</c:v>
                </c:pt>
                <c:pt idx="225">
                  <c:v>69</c:v>
                </c:pt>
                <c:pt idx="226">
                  <c:v>75</c:v>
                </c:pt>
                <c:pt idx="227">
                  <c:v>61</c:v>
                </c:pt>
                <c:pt idx="228">
                  <c:v>82</c:v>
                </c:pt>
                <c:pt idx="229">
                  <c:v>83</c:v>
                </c:pt>
                <c:pt idx="230">
                  <c:v>82</c:v>
                </c:pt>
                <c:pt idx="231">
                  <c:v>79</c:v>
                </c:pt>
                <c:pt idx="232">
                  <c:v>64</c:v>
                </c:pt>
                <c:pt idx="233">
                  <c:v>79</c:v>
                </c:pt>
                <c:pt idx="234">
                  <c:v>76</c:v>
                </c:pt>
                <c:pt idx="235">
                  <c:v>90</c:v>
                </c:pt>
                <c:pt idx="236">
                  <c:v>81</c:v>
                </c:pt>
                <c:pt idx="237">
                  <c:v>78</c:v>
                </c:pt>
                <c:pt idx="238">
                  <c:v>83</c:v>
                </c:pt>
                <c:pt idx="239">
                  <c:v>74</c:v>
                </c:pt>
                <c:pt idx="240">
                  <c:v>65</c:v>
                </c:pt>
                <c:pt idx="241">
                  <c:v>72</c:v>
                </c:pt>
                <c:pt idx="242">
                  <c:v>71</c:v>
                </c:pt>
                <c:pt idx="243">
                  <c:v>80</c:v>
                </c:pt>
                <c:pt idx="244">
                  <c:v>85</c:v>
                </c:pt>
                <c:pt idx="245">
                  <c:v>80</c:v>
                </c:pt>
                <c:pt idx="246">
                  <c:v>67</c:v>
                </c:pt>
                <c:pt idx="247">
                  <c:v>74</c:v>
                </c:pt>
                <c:pt idx="248">
                  <c:v>71</c:v>
                </c:pt>
                <c:pt idx="249">
                  <c:v>84</c:v>
                </c:pt>
                <c:pt idx="250">
                  <c:v>73</c:v>
                </c:pt>
                <c:pt idx="251">
                  <c:v>66</c:v>
                </c:pt>
                <c:pt idx="252">
                  <c:v>72</c:v>
                </c:pt>
                <c:pt idx="253">
                  <c:v>87</c:v>
                </c:pt>
                <c:pt idx="254">
                  <c:v>81</c:v>
                </c:pt>
                <c:pt idx="255">
                  <c:v>87</c:v>
                </c:pt>
                <c:pt idx="256">
                  <c:v>74</c:v>
                </c:pt>
                <c:pt idx="257">
                  <c:v>65</c:v>
                </c:pt>
                <c:pt idx="258">
                  <c:v>71</c:v>
                </c:pt>
                <c:pt idx="259">
                  <c:v>79</c:v>
                </c:pt>
                <c:pt idx="260">
                  <c:v>73</c:v>
                </c:pt>
                <c:pt idx="261">
                  <c:v>79</c:v>
                </c:pt>
                <c:pt idx="262">
                  <c:v>74</c:v>
                </c:pt>
                <c:pt idx="263">
                  <c:v>77</c:v>
                </c:pt>
                <c:pt idx="264">
                  <c:v>67</c:v>
                </c:pt>
                <c:pt idx="265">
                  <c:v>71</c:v>
                </c:pt>
                <c:pt idx="266">
                  <c:v>81</c:v>
                </c:pt>
                <c:pt idx="267">
                  <c:v>75</c:v>
                </c:pt>
                <c:pt idx="268">
                  <c:v>76</c:v>
                </c:pt>
                <c:pt idx="269">
                  <c:v>68</c:v>
                </c:pt>
                <c:pt idx="270">
                  <c:v>86</c:v>
                </c:pt>
                <c:pt idx="271">
                  <c:v>73</c:v>
                </c:pt>
                <c:pt idx="272">
                  <c:v>69</c:v>
                </c:pt>
                <c:pt idx="273">
                  <c:v>76</c:v>
                </c:pt>
                <c:pt idx="274">
                  <c:v>74</c:v>
                </c:pt>
                <c:pt idx="275">
                  <c:v>74</c:v>
                </c:pt>
                <c:pt idx="276">
                  <c:v>73</c:v>
                </c:pt>
                <c:pt idx="277">
                  <c:v>65</c:v>
                </c:pt>
                <c:pt idx="278">
                  <c:v>67</c:v>
                </c:pt>
                <c:pt idx="279">
                  <c:v>70</c:v>
                </c:pt>
                <c:pt idx="280">
                  <c:v>85</c:v>
                </c:pt>
                <c:pt idx="281">
                  <c:v>77</c:v>
                </c:pt>
                <c:pt idx="282">
                  <c:v>72</c:v>
                </c:pt>
                <c:pt idx="283">
                  <c:v>65</c:v>
                </c:pt>
                <c:pt idx="284">
                  <c:v>72</c:v>
                </c:pt>
                <c:pt idx="285">
                  <c:v>67</c:v>
                </c:pt>
                <c:pt idx="286">
                  <c:v>65</c:v>
                </c:pt>
                <c:pt idx="287">
                  <c:v>73</c:v>
                </c:pt>
                <c:pt idx="288">
                  <c:v>73</c:v>
                </c:pt>
                <c:pt idx="289">
                  <c:v>77</c:v>
                </c:pt>
                <c:pt idx="290">
                  <c:v>73</c:v>
                </c:pt>
                <c:pt idx="291">
                  <c:v>74</c:v>
                </c:pt>
                <c:pt idx="292">
                  <c:v>75</c:v>
                </c:pt>
                <c:pt idx="293">
                  <c:v>70</c:v>
                </c:pt>
                <c:pt idx="294">
                  <c:v>84</c:v>
                </c:pt>
                <c:pt idx="295">
                  <c:v>81</c:v>
                </c:pt>
                <c:pt idx="296">
                  <c:v>74</c:v>
                </c:pt>
                <c:pt idx="297">
                  <c:v>76</c:v>
                </c:pt>
                <c:pt idx="298">
                  <c:v>81</c:v>
                </c:pt>
                <c:pt idx="299">
                  <c:v>74</c:v>
                </c:pt>
                <c:pt idx="300">
                  <c:v>79</c:v>
                </c:pt>
                <c:pt idx="301">
                  <c:v>71</c:v>
                </c:pt>
                <c:pt idx="302">
                  <c:v>68</c:v>
                </c:pt>
                <c:pt idx="303">
                  <c:v>81</c:v>
                </c:pt>
                <c:pt idx="304">
                  <c:v>80</c:v>
                </c:pt>
                <c:pt idx="305">
                  <c:v>72</c:v>
                </c:pt>
                <c:pt idx="306">
                  <c:v>65</c:v>
                </c:pt>
                <c:pt idx="307">
                  <c:v>65</c:v>
                </c:pt>
                <c:pt idx="308">
                  <c:v>73</c:v>
                </c:pt>
                <c:pt idx="309">
                  <c:v>65</c:v>
                </c:pt>
                <c:pt idx="310">
                  <c:v>68</c:v>
                </c:pt>
                <c:pt idx="311">
                  <c:v>59</c:v>
                </c:pt>
                <c:pt idx="312">
                  <c:v>67</c:v>
                </c:pt>
                <c:pt idx="313">
                  <c:v>68</c:v>
                </c:pt>
                <c:pt idx="314">
                  <c:v>74</c:v>
                </c:pt>
                <c:pt idx="315">
                  <c:v>69</c:v>
                </c:pt>
                <c:pt idx="316">
                  <c:v>80</c:v>
                </c:pt>
                <c:pt idx="317">
                  <c:v>78</c:v>
                </c:pt>
                <c:pt idx="318">
                  <c:v>74</c:v>
                </c:pt>
                <c:pt idx="319">
                  <c:v>70</c:v>
                </c:pt>
                <c:pt idx="320">
                  <c:v>63</c:v>
                </c:pt>
                <c:pt idx="321">
                  <c:v>69</c:v>
                </c:pt>
                <c:pt idx="322">
                  <c:v>74</c:v>
                </c:pt>
                <c:pt idx="323">
                  <c:v>76</c:v>
                </c:pt>
                <c:pt idx="324">
                  <c:v>69</c:v>
                </c:pt>
                <c:pt idx="325">
                  <c:v>73</c:v>
                </c:pt>
                <c:pt idx="326">
                  <c:v>69</c:v>
                </c:pt>
                <c:pt idx="327">
                  <c:v>64</c:v>
                </c:pt>
                <c:pt idx="328">
                  <c:v>68</c:v>
                </c:pt>
                <c:pt idx="329">
                  <c:v>69</c:v>
                </c:pt>
                <c:pt idx="330">
                  <c:v>77</c:v>
                </c:pt>
                <c:pt idx="331">
                  <c:v>66</c:v>
                </c:pt>
                <c:pt idx="332">
                  <c:v>85</c:v>
                </c:pt>
                <c:pt idx="333">
                  <c:v>75</c:v>
                </c:pt>
                <c:pt idx="334">
                  <c:v>71</c:v>
                </c:pt>
                <c:pt idx="335">
                  <c:v>71</c:v>
                </c:pt>
                <c:pt idx="336">
                  <c:v>80</c:v>
                </c:pt>
                <c:pt idx="337">
                  <c:v>63</c:v>
                </c:pt>
                <c:pt idx="338">
                  <c:v>66</c:v>
                </c:pt>
                <c:pt idx="339">
                  <c:v>66</c:v>
                </c:pt>
                <c:pt idx="340">
                  <c:v>78</c:v>
                </c:pt>
                <c:pt idx="341">
                  <c:v>69</c:v>
                </c:pt>
                <c:pt idx="342">
                  <c:v>64</c:v>
                </c:pt>
                <c:pt idx="343">
                  <c:v>80</c:v>
                </c:pt>
                <c:pt idx="344">
                  <c:v>74</c:v>
                </c:pt>
                <c:pt idx="345">
                  <c:v>80</c:v>
                </c:pt>
                <c:pt idx="346">
                  <c:v>76</c:v>
                </c:pt>
                <c:pt idx="347">
                  <c:v>79</c:v>
                </c:pt>
                <c:pt idx="348">
                  <c:v>63</c:v>
                </c:pt>
                <c:pt idx="349">
                  <c:v>74</c:v>
                </c:pt>
                <c:pt idx="350">
                  <c:v>65</c:v>
                </c:pt>
                <c:pt idx="351">
                  <c:v>73</c:v>
                </c:pt>
                <c:pt idx="352">
                  <c:v>76</c:v>
                </c:pt>
                <c:pt idx="353">
                  <c:v>69</c:v>
                </c:pt>
                <c:pt idx="354">
                  <c:v>79</c:v>
                </c:pt>
                <c:pt idx="355">
                  <c:v>76</c:v>
                </c:pt>
                <c:pt idx="356">
                  <c:v>69</c:v>
                </c:pt>
                <c:pt idx="357">
                  <c:v>62</c:v>
                </c:pt>
                <c:pt idx="358">
                  <c:v>78</c:v>
                </c:pt>
                <c:pt idx="359">
                  <c:v>72</c:v>
                </c:pt>
                <c:pt idx="360">
                  <c:v>66</c:v>
                </c:pt>
                <c:pt idx="361">
                  <c:v>75</c:v>
                </c:pt>
                <c:pt idx="362">
                  <c:v>69</c:v>
                </c:pt>
                <c:pt idx="363">
                  <c:v>67</c:v>
                </c:pt>
                <c:pt idx="364">
                  <c:v>73</c:v>
                </c:pt>
                <c:pt idx="365">
                  <c:v>67</c:v>
                </c:pt>
                <c:pt idx="366">
                  <c:v>74</c:v>
                </c:pt>
                <c:pt idx="367">
                  <c:v>70</c:v>
                </c:pt>
                <c:pt idx="368">
                  <c:v>62</c:v>
                </c:pt>
                <c:pt idx="369">
                  <c:v>69</c:v>
                </c:pt>
                <c:pt idx="370">
                  <c:v>76</c:v>
                </c:pt>
                <c:pt idx="371">
                  <c:v>71</c:v>
                </c:pt>
                <c:pt idx="372">
                  <c:v>71</c:v>
                </c:pt>
                <c:pt idx="373">
                  <c:v>65</c:v>
                </c:pt>
                <c:pt idx="374">
                  <c:v>65</c:v>
                </c:pt>
                <c:pt idx="375">
                  <c:v>71</c:v>
                </c:pt>
                <c:pt idx="376">
                  <c:v>68</c:v>
                </c:pt>
                <c:pt idx="377">
                  <c:v>65</c:v>
                </c:pt>
                <c:pt idx="378">
                  <c:v>65</c:v>
                </c:pt>
                <c:pt idx="379">
                  <c:v>65</c:v>
                </c:pt>
                <c:pt idx="380">
                  <c:v>71</c:v>
                </c:pt>
                <c:pt idx="381">
                  <c:v>65</c:v>
                </c:pt>
                <c:pt idx="382">
                  <c:v>66</c:v>
                </c:pt>
                <c:pt idx="383">
                  <c:v>65</c:v>
                </c:pt>
                <c:pt idx="384">
                  <c:v>69</c:v>
                </c:pt>
                <c:pt idx="385">
                  <c:v>69</c:v>
                </c:pt>
                <c:pt idx="386">
                  <c:v>72</c:v>
                </c:pt>
                <c:pt idx="387">
                  <c:v>76</c:v>
                </c:pt>
                <c:pt idx="388">
                  <c:v>75</c:v>
                </c:pt>
                <c:pt idx="389">
                  <c:v>70</c:v>
                </c:pt>
                <c:pt idx="390">
                  <c:v>70</c:v>
                </c:pt>
                <c:pt idx="391">
                  <c:v>69</c:v>
                </c:pt>
                <c:pt idx="392">
                  <c:v>76</c:v>
                </c:pt>
                <c:pt idx="393">
                  <c:v>74</c:v>
                </c:pt>
                <c:pt idx="394">
                  <c:v>75</c:v>
                </c:pt>
                <c:pt idx="395">
                  <c:v>76</c:v>
                </c:pt>
                <c:pt idx="396">
                  <c:v>63</c:v>
                </c:pt>
                <c:pt idx="397">
                  <c:v>57</c:v>
                </c:pt>
                <c:pt idx="398">
                  <c:v>68</c:v>
                </c:pt>
                <c:pt idx="399">
                  <c:v>64</c:v>
                </c:pt>
                <c:pt idx="400">
                  <c:v>67</c:v>
                </c:pt>
                <c:pt idx="401">
                  <c:v>57</c:v>
                </c:pt>
                <c:pt idx="402">
                  <c:v>77</c:v>
                </c:pt>
                <c:pt idx="403">
                  <c:v>66</c:v>
                </c:pt>
                <c:pt idx="404">
                  <c:v>79</c:v>
                </c:pt>
                <c:pt idx="405">
                  <c:v>66</c:v>
                </c:pt>
                <c:pt idx="406">
                  <c:v>65</c:v>
                </c:pt>
                <c:pt idx="407">
                  <c:v>71</c:v>
                </c:pt>
                <c:pt idx="408">
                  <c:v>71</c:v>
                </c:pt>
                <c:pt idx="409">
                  <c:v>59</c:v>
                </c:pt>
                <c:pt idx="410">
                  <c:v>66</c:v>
                </c:pt>
                <c:pt idx="411">
                  <c:v>67</c:v>
                </c:pt>
                <c:pt idx="412">
                  <c:v>64</c:v>
                </c:pt>
                <c:pt idx="413">
                  <c:v>74</c:v>
                </c:pt>
                <c:pt idx="414">
                  <c:v>77</c:v>
                </c:pt>
                <c:pt idx="415">
                  <c:v>58</c:v>
                </c:pt>
                <c:pt idx="416">
                  <c:v>67</c:v>
                </c:pt>
                <c:pt idx="417">
                  <c:v>75</c:v>
                </c:pt>
                <c:pt idx="418">
                  <c:v>67</c:v>
                </c:pt>
                <c:pt idx="419">
                  <c:v>65</c:v>
                </c:pt>
                <c:pt idx="420">
                  <c:v>63</c:v>
                </c:pt>
                <c:pt idx="421">
                  <c:v>59</c:v>
                </c:pt>
                <c:pt idx="422">
                  <c:v>71</c:v>
                </c:pt>
                <c:pt idx="423">
                  <c:v>67</c:v>
                </c:pt>
                <c:pt idx="424">
                  <c:v>81</c:v>
                </c:pt>
                <c:pt idx="425">
                  <c:v>68</c:v>
                </c:pt>
                <c:pt idx="426">
                  <c:v>65</c:v>
                </c:pt>
                <c:pt idx="427">
                  <c:v>76</c:v>
                </c:pt>
                <c:pt idx="428">
                  <c:v>73</c:v>
                </c:pt>
                <c:pt idx="429">
                  <c:v>61</c:v>
                </c:pt>
                <c:pt idx="430">
                  <c:v>66</c:v>
                </c:pt>
                <c:pt idx="431">
                  <c:v>70</c:v>
                </c:pt>
                <c:pt idx="432">
                  <c:v>58</c:v>
                </c:pt>
                <c:pt idx="433">
                  <c:v>70</c:v>
                </c:pt>
                <c:pt idx="434">
                  <c:v>65</c:v>
                </c:pt>
                <c:pt idx="435">
                  <c:v>82</c:v>
                </c:pt>
                <c:pt idx="436">
                  <c:v>80</c:v>
                </c:pt>
                <c:pt idx="437">
                  <c:v>72</c:v>
                </c:pt>
                <c:pt idx="438">
                  <c:v>60</c:v>
                </c:pt>
                <c:pt idx="439">
                  <c:v>75</c:v>
                </c:pt>
                <c:pt idx="440">
                  <c:v>71</c:v>
                </c:pt>
                <c:pt idx="441">
                  <c:v>65</c:v>
                </c:pt>
                <c:pt idx="442">
                  <c:v>66</c:v>
                </c:pt>
                <c:pt idx="443">
                  <c:v>68</c:v>
                </c:pt>
                <c:pt idx="444">
                  <c:v>73</c:v>
                </c:pt>
                <c:pt idx="445">
                  <c:v>71</c:v>
                </c:pt>
                <c:pt idx="446">
                  <c:v>66</c:v>
                </c:pt>
                <c:pt idx="447">
                  <c:v>67</c:v>
                </c:pt>
                <c:pt idx="448">
                  <c:v>75</c:v>
                </c:pt>
                <c:pt idx="449">
                  <c:v>64</c:v>
                </c:pt>
                <c:pt idx="450">
                  <c:v>69</c:v>
                </c:pt>
                <c:pt idx="451">
                  <c:v>62</c:v>
                </c:pt>
                <c:pt idx="452">
                  <c:v>62</c:v>
                </c:pt>
                <c:pt idx="453">
                  <c:v>57</c:v>
                </c:pt>
                <c:pt idx="454">
                  <c:v>61</c:v>
                </c:pt>
                <c:pt idx="455">
                  <c:v>72</c:v>
                </c:pt>
                <c:pt idx="456">
                  <c:v>73</c:v>
                </c:pt>
                <c:pt idx="457">
                  <c:v>73</c:v>
                </c:pt>
                <c:pt idx="458">
                  <c:v>64</c:v>
                </c:pt>
                <c:pt idx="459">
                  <c:v>56</c:v>
                </c:pt>
                <c:pt idx="460">
                  <c:v>63</c:v>
                </c:pt>
                <c:pt idx="461">
                  <c:v>61</c:v>
                </c:pt>
                <c:pt idx="462">
                  <c:v>55</c:v>
                </c:pt>
                <c:pt idx="463">
                  <c:v>75</c:v>
                </c:pt>
                <c:pt idx="464">
                  <c:v>60</c:v>
                </c:pt>
                <c:pt idx="465">
                  <c:v>82</c:v>
                </c:pt>
                <c:pt idx="466">
                  <c:v>76</c:v>
                </c:pt>
                <c:pt idx="467">
                  <c:v>67</c:v>
                </c:pt>
                <c:pt idx="468">
                  <c:v>63</c:v>
                </c:pt>
                <c:pt idx="469">
                  <c:v>62</c:v>
                </c:pt>
                <c:pt idx="470">
                  <c:v>55</c:v>
                </c:pt>
                <c:pt idx="471">
                  <c:v>65</c:v>
                </c:pt>
                <c:pt idx="472">
                  <c:v>80</c:v>
                </c:pt>
                <c:pt idx="473">
                  <c:v>69</c:v>
                </c:pt>
                <c:pt idx="474">
                  <c:v>70</c:v>
                </c:pt>
                <c:pt idx="475">
                  <c:v>63</c:v>
                </c:pt>
                <c:pt idx="476">
                  <c:v>62</c:v>
                </c:pt>
                <c:pt idx="477">
                  <c:v>62</c:v>
                </c:pt>
                <c:pt idx="478">
                  <c:v>64</c:v>
                </c:pt>
                <c:pt idx="479">
                  <c:v>69</c:v>
                </c:pt>
                <c:pt idx="480">
                  <c:v>69</c:v>
                </c:pt>
                <c:pt idx="481">
                  <c:v>73</c:v>
                </c:pt>
                <c:pt idx="482">
                  <c:v>72</c:v>
                </c:pt>
                <c:pt idx="483">
                  <c:v>68</c:v>
                </c:pt>
                <c:pt idx="484">
                  <c:v>71</c:v>
                </c:pt>
                <c:pt idx="485">
                  <c:v>61</c:v>
                </c:pt>
                <c:pt idx="486">
                  <c:v>57</c:v>
                </c:pt>
                <c:pt idx="487">
                  <c:v>65</c:v>
                </c:pt>
                <c:pt idx="488">
                  <c:v>68</c:v>
                </c:pt>
                <c:pt idx="489">
                  <c:v>68</c:v>
                </c:pt>
                <c:pt idx="490">
                  <c:v>63</c:v>
                </c:pt>
                <c:pt idx="491">
                  <c:v>72</c:v>
                </c:pt>
                <c:pt idx="492">
                  <c:v>76</c:v>
                </c:pt>
                <c:pt idx="493">
                  <c:v>68</c:v>
                </c:pt>
                <c:pt idx="494">
                  <c:v>79</c:v>
                </c:pt>
                <c:pt idx="495">
                  <c:v>60</c:v>
                </c:pt>
                <c:pt idx="496">
                  <c:v>62</c:v>
                </c:pt>
                <c:pt idx="497">
                  <c:v>59</c:v>
                </c:pt>
                <c:pt idx="498">
                  <c:v>68</c:v>
                </c:pt>
                <c:pt idx="499">
                  <c:v>72</c:v>
                </c:pt>
                <c:pt idx="500">
                  <c:v>62</c:v>
                </c:pt>
                <c:pt idx="501">
                  <c:v>63</c:v>
                </c:pt>
                <c:pt idx="502">
                  <c:v>61</c:v>
                </c:pt>
                <c:pt idx="503">
                  <c:v>66</c:v>
                </c:pt>
                <c:pt idx="504">
                  <c:v>72</c:v>
                </c:pt>
                <c:pt idx="505">
                  <c:v>77</c:v>
                </c:pt>
                <c:pt idx="506">
                  <c:v>68</c:v>
                </c:pt>
                <c:pt idx="507">
                  <c:v>71</c:v>
                </c:pt>
                <c:pt idx="508">
                  <c:v>59</c:v>
                </c:pt>
                <c:pt idx="509">
                  <c:v>57</c:v>
                </c:pt>
                <c:pt idx="510">
                  <c:v>69</c:v>
                </c:pt>
                <c:pt idx="511">
                  <c:v>73</c:v>
                </c:pt>
                <c:pt idx="512">
                  <c:v>71</c:v>
                </c:pt>
                <c:pt idx="513">
                  <c:v>77</c:v>
                </c:pt>
                <c:pt idx="514">
                  <c:v>59</c:v>
                </c:pt>
                <c:pt idx="515">
                  <c:v>73</c:v>
                </c:pt>
                <c:pt idx="516">
                  <c:v>67</c:v>
                </c:pt>
                <c:pt idx="517">
                  <c:v>65</c:v>
                </c:pt>
                <c:pt idx="518">
                  <c:v>59</c:v>
                </c:pt>
                <c:pt idx="519">
                  <c:v>69</c:v>
                </c:pt>
                <c:pt idx="520">
                  <c:v>63</c:v>
                </c:pt>
                <c:pt idx="521">
                  <c:v>66</c:v>
                </c:pt>
                <c:pt idx="522">
                  <c:v>60</c:v>
                </c:pt>
                <c:pt idx="523">
                  <c:v>59</c:v>
                </c:pt>
                <c:pt idx="524">
                  <c:v>68</c:v>
                </c:pt>
                <c:pt idx="525">
                  <c:v>60</c:v>
                </c:pt>
                <c:pt idx="526">
                  <c:v>62</c:v>
                </c:pt>
                <c:pt idx="527">
                  <c:v>58</c:v>
                </c:pt>
                <c:pt idx="528">
                  <c:v>72</c:v>
                </c:pt>
                <c:pt idx="529">
                  <c:v>73</c:v>
                </c:pt>
                <c:pt idx="530">
                  <c:v>62</c:v>
                </c:pt>
                <c:pt idx="531">
                  <c:v>59</c:v>
                </c:pt>
                <c:pt idx="532">
                  <c:v>66</c:v>
                </c:pt>
                <c:pt idx="533">
                  <c:v>62</c:v>
                </c:pt>
                <c:pt idx="534">
                  <c:v>52</c:v>
                </c:pt>
                <c:pt idx="535">
                  <c:v>62</c:v>
                </c:pt>
                <c:pt idx="536">
                  <c:v>56</c:v>
                </c:pt>
                <c:pt idx="537">
                  <c:v>64</c:v>
                </c:pt>
                <c:pt idx="538">
                  <c:v>59</c:v>
                </c:pt>
                <c:pt idx="539">
                  <c:v>64</c:v>
                </c:pt>
                <c:pt idx="540">
                  <c:v>76</c:v>
                </c:pt>
                <c:pt idx="541">
                  <c:v>57</c:v>
                </c:pt>
                <c:pt idx="542">
                  <c:v>60</c:v>
                </c:pt>
                <c:pt idx="543">
                  <c:v>74</c:v>
                </c:pt>
                <c:pt idx="544">
                  <c:v>65</c:v>
                </c:pt>
                <c:pt idx="545">
                  <c:v>59</c:v>
                </c:pt>
                <c:pt idx="546">
                  <c:v>61</c:v>
                </c:pt>
                <c:pt idx="547">
                  <c:v>71</c:v>
                </c:pt>
                <c:pt idx="548">
                  <c:v>63</c:v>
                </c:pt>
                <c:pt idx="549">
                  <c:v>68</c:v>
                </c:pt>
                <c:pt idx="550">
                  <c:v>65</c:v>
                </c:pt>
                <c:pt idx="551">
                  <c:v>62</c:v>
                </c:pt>
                <c:pt idx="552">
                  <c:v>63</c:v>
                </c:pt>
                <c:pt idx="553">
                  <c:v>58</c:v>
                </c:pt>
                <c:pt idx="554">
                  <c:v>67</c:v>
                </c:pt>
                <c:pt idx="555">
                  <c:v>62</c:v>
                </c:pt>
                <c:pt idx="556">
                  <c:v>69</c:v>
                </c:pt>
                <c:pt idx="557">
                  <c:v>62</c:v>
                </c:pt>
                <c:pt idx="558">
                  <c:v>57</c:v>
                </c:pt>
                <c:pt idx="559">
                  <c:v>60</c:v>
                </c:pt>
                <c:pt idx="560">
                  <c:v>64</c:v>
                </c:pt>
                <c:pt idx="561">
                  <c:v>58</c:v>
                </c:pt>
                <c:pt idx="562">
                  <c:v>59</c:v>
                </c:pt>
                <c:pt idx="563">
                  <c:v>61</c:v>
                </c:pt>
                <c:pt idx="564">
                  <c:v>69</c:v>
                </c:pt>
                <c:pt idx="565">
                  <c:v>75</c:v>
                </c:pt>
                <c:pt idx="566">
                  <c:v>70</c:v>
                </c:pt>
                <c:pt idx="567">
                  <c:v>55</c:v>
                </c:pt>
                <c:pt idx="568">
                  <c:v>59</c:v>
                </c:pt>
                <c:pt idx="569">
                  <c:v>58</c:v>
                </c:pt>
                <c:pt idx="570">
                  <c:v>65</c:v>
                </c:pt>
                <c:pt idx="571">
                  <c:v>57</c:v>
                </c:pt>
                <c:pt idx="572">
                  <c:v>74</c:v>
                </c:pt>
                <c:pt idx="573">
                  <c:v>61</c:v>
                </c:pt>
                <c:pt idx="574">
                  <c:v>59</c:v>
                </c:pt>
                <c:pt idx="575">
                  <c:v>63</c:v>
                </c:pt>
                <c:pt idx="576">
                  <c:v>68</c:v>
                </c:pt>
                <c:pt idx="577">
                  <c:v>56</c:v>
                </c:pt>
                <c:pt idx="578">
                  <c:v>73</c:v>
                </c:pt>
                <c:pt idx="579">
                  <c:v>56</c:v>
                </c:pt>
                <c:pt idx="580">
                  <c:v>65</c:v>
                </c:pt>
                <c:pt idx="581">
                  <c:v>66</c:v>
                </c:pt>
                <c:pt idx="582">
                  <c:v>59</c:v>
                </c:pt>
                <c:pt idx="583">
                  <c:v>69</c:v>
                </c:pt>
                <c:pt idx="584">
                  <c:v>65</c:v>
                </c:pt>
                <c:pt idx="585">
                  <c:v>64</c:v>
                </c:pt>
                <c:pt idx="586">
                  <c:v>62</c:v>
                </c:pt>
                <c:pt idx="587">
                  <c:v>53</c:v>
                </c:pt>
                <c:pt idx="588">
                  <c:v>63</c:v>
                </c:pt>
                <c:pt idx="589">
                  <c:v>67</c:v>
                </c:pt>
                <c:pt idx="590">
                  <c:v>66</c:v>
                </c:pt>
                <c:pt idx="591">
                  <c:v>62</c:v>
                </c:pt>
                <c:pt idx="592">
                  <c:v>71</c:v>
                </c:pt>
                <c:pt idx="593">
                  <c:v>66</c:v>
                </c:pt>
                <c:pt idx="594">
                  <c:v>69</c:v>
                </c:pt>
                <c:pt idx="595">
                  <c:v>53</c:v>
                </c:pt>
                <c:pt idx="596">
                  <c:v>61</c:v>
                </c:pt>
                <c:pt idx="597">
                  <c:v>52</c:v>
                </c:pt>
                <c:pt idx="598">
                  <c:v>65</c:v>
                </c:pt>
                <c:pt idx="599">
                  <c:v>53</c:v>
                </c:pt>
                <c:pt idx="600">
                  <c:v>62</c:v>
                </c:pt>
                <c:pt idx="601">
                  <c:v>52</c:v>
                </c:pt>
                <c:pt idx="602">
                  <c:v>66</c:v>
                </c:pt>
                <c:pt idx="603">
                  <c:v>70</c:v>
                </c:pt>
                <c:pt idx="604">
                  <c:v>72</c:v>
                </c:pt>
                <c:pt idx="605">
                  <c:v>59</c:v>
                </c:pt>
                <c:pt idx="606">
                  <c:v>62</c:v>
                </c:pt>
                <c:pt idx="607">
                  <c:v>62</c:v>
                </c:pt>
                <c:pt idx="608">
                  <c:v>50</c:v>
                </c:pt>
                <c:pt idx="609">
                  <c:v>59</c:v>
                </c:pt>
                <c:pt idx="610">
                  <c:v>63</c:v>
                </c:pt>
                <c:pt idx="611">
                  <c:v>55</c:v>
                </c:pt>
                <c:pt idx="612">
                  <c:v>68</c:v>
                </c:pt>
                <c:pt idx="613">
                  <c:v>64</c:v>
                </c:pt>
                <c:pt idx="614">
                  <c:v>55</c:v>
                </c:pt>
                <c:pt idx="615">
                  <c:v>97</c:v>
                </c:pt>
                <c:pt idx="616">
                  <c:v>53</c:v>
                </c:pt>
                <c:pt idx="617">
                  <c:v>45</c:v>
                </c:pt>
                <c:pt idx="618">
                  <c:v>60</c:v>
                </c:pt>
                <c:pt idx="619">
                  <c:v>63</c:v>
                </c:pt>
                <c:pt idx="620">
                  <c:v>58</c:v>
                </c:pt>
                <c:pt idx="621">
                  <c:v>88</c:v>
                </c:pt>
                <c:pt idx="622">
                  <c:v>59</c:v>
                </c:pt>
                <c:pt idx="623">
                  <c:v>68</c:v>
                </c:pt>
                <c:pt idx="624">
                  <c:v>61</c:v>
                </c:pt>
                <c:pt idx="625">
                  <c:v>62</c:v>
                </c:pt>
                <c:pt idx="626">
                  <c:v>62</c:v>
                </c:pt>
                <c:pt idx="627">
                  <c:v>58</c:v>
                </c:pt>
                <c:pt idx="628">
                  <c:v>72</c:v>
                </c:pt>
                <c:pt idx="629">
                  <c:v>73</c:v>
                </c:pt>
                <c:pt idx="630">
                  <c:v>52</c:v>
                </c:pt>
                <c:pt idx="631">
                  <c:v>54</c:v>
                </c:pt>
                <c:pt idx="632">
                  <c:v>58</c:v>
                </c:pt>
                <c:pt idx="633">
                  <c:v>59</c:v>
                </c:pt>
                <c:pt idx="634">
                  <c:v>63</c:v>
                </c:pt>
                <c:pt idx="635">
                  <c:v>59</c:v>
                </c:pt>
                <c:pt idx="636">
                  <c:v>58</c:v>
                </c:pt>
                <c:pt idx="637">
                  <c:v>63</c:v>
                </c:pt>
                <c:pt idx="638">
                  <c:v>68</c:v>
                </c:pt>
                <c:pt idx="639">
                  <c:v>54</c:v>
                </c:pt>
                <c:pt idx="640">
                  <c:v>54</c:v>
                </c:pt>
                <c:pt idx="641">
                  <c:v>62</c:v>
                </c:pt>
                <c:pt idx="642">
                  <c:v>52</c:v>
                </c:pt>
                <c:pt idx="643">
                  <c:v>56</c:v>
                </c:pt>
                <c:pt idx="644">
                  <c:v>61</c:v>
                </c:pt>
                <c:pt idx="645">
                  <c:v>69</c:v>
                </c:pt>
                <c:pt idx="646">
                  <c:v>63</c:v>
                </c:pt>
                <c:pt idx="647">
                  <c:v>67</c:v>
                </c:pt>
                <c:pt idx="648">
                  <c:v>54</c:v>
                </c:pt>
                <c:pt idx="649">
                  <c:v>61</c:v>
                </c:pt>
                <c:pt idx="650">
                  <c:v>54</c:v>
                </c:pt>
                <c:pt idx="651">
                  <c:v>66</c:v>
                </c:pt>
                <c:pt idx="652">
                  <c:v>54</c:v>
                </c:pt>
                <c:pt idx="653">
                  <c:v>71</c:v>
                </c:pt>
                <c:pt idx="654">
                  <c:v>58</c:v>
                </c:pt>
                <c:pt idx="655">
                  <c:v>67</c:v>
                </c:pt>
                <c:pt idx="656">
                  <c:v>69</c:v>
                </c:pt>
                <c:pt idx="657">
                  <c:v>55</c:v>
                </c:pt>
                <c:pt idx="658">
                  <c:v>55</c:v>
                </c:pt>
                <c:pt idx="659">
                  <c:v>59</c:v>
                </c:pt>
                <c:pt idx="660">
                  <c:v>53</c:v>
                </c:pt>
                <c:pt idx="661">
                  <c:v>60</c:v>
                </c:pt>
                <c:pt idx="662">
                  <c:v>#N/A</c:v>
                </c:pt>
                <c:pt idx="663">
                  <c:v>60</c:v>
                </c:pt>
                <c:pt idx="664">
                  <c:v>63</c:v>
                </c:pt>
                <c:pt idx="665">
                  <c:v>70</c:v>
                </c:pt>
                <c:pt idx="666">
                  <c:v>68</c:v>
                </c:pt>
                <c:pt idx="667">
                  <c:v>62</c:v>
                </c:pt>
                <c:pt idx="668">
                  <c:v>61</c:v>
                </c:pt>
                <c:pt idx="669">
                  <c:v>62</c:v>
                </c:pt>
                <c:pt idx="670">
                  <c:v>62</c:v>
                </c:pt>
                <c:pt idx="671">
                  <c:v>60</c:v>
                </c:pt>
                <c:pt idx="672">
                  <c:v>63</c:v>
                </c:pt>
                <c:pt idx="673">
                  <c:v>62</c:v>
                </c:pt>
                <c:pt idx="674">
                  <c:v>69</c:v>
                </c:pt>
                <c:pt idx="675">
                  <c:v>85</c:v>
                </c:pt>
                <c:pt idx="676">
                  <c:v>50</c:v>
                </c:pt>
                <c:pt idx="677">
                  <c:v>59</c:v>
                </c:pt>
                <c:pt idx="678">
                  <c:v>50</c:v>
                </c:pt>
                <c:pt idx="679">
                  <c:v>50</c:v>
                </c:pt>
                <c:pt idx="680">
                  <c:v>58</c:v>
                </c:pt>
                <c:pt idx="681">
                  <c:v>57</c:v>
                </c:pt>
                <c:pt idx="682">
                  <c:v>51</c:v>
                </c:pt>
                <c:pt idx="683">
                  <c:v>48</c:v>
                </c:pt>
                <c:pt idx="684">
                  <c:v>52</c:v>
                </c:pt>
                <c:pt idx="685">
                  <c:v>69</c:v>
                </c:pt>
                <c:pt idx="686">
                  <c:v>62</c:v>
                </c:pt>
                <c:pt idx="687">
                  <c:v>63</c:v>
                </c:pt>
                <c:pt idx="688">
                  <c:v>52</c:v>
                </c:pt>
                <c:pt idx="689">
                  <c:v>61</c:v>
                </c:pt>
                <c:pt idx="690">
                  <c:v>56</c:v>
                </c:pt>
                <c:pt idx="691">
                  <c:v>59</c:v>
                </c:pt>
                <c:pt idx="692">
                  <c:v>65</c:v>
                </c:pt>
                <c:pt idx="693">
                  <c:v>70</c:v>
                </c:pt>
                <c:pt idx="694">
                  <c:v>54</c:v>
                </c:pt>
                <c:pt idx="695">
                  <c:v>56</c:v>
                </c:pt>
                <c:pt idx="696">
                  <c:v>54</c:v>
                </c:pt>
                <c:pt idx="697">
                  <c:v>66</c:v>
                </c:pt>
                <c:pt idx="698">
                  <c:v>67</c:v>
                </c:pt>
                <c:pt idx="699">
                  <c:v>53</c:v>
                </c:pt>
                <c:pt idx="700">
                  <c:v>65</c:v>
                </c:pt>
                <c:pt idx="701">
                  <c:v>59</c:v>
                </c:pt>
                <c:pt idx="702">
                  <c:v>63</c:v>
                </c:pt>
                <c:pt idx="703">
                  <c:v>46</c:v>
                </c:pt>
                <c:pt idx="704">
                  <c:v>53</c:v>
                </c:pt>
                <c:pt idx="705">
                  <c:v>68</c:v>
                </c:pt>
                <c:pt idx="706">
                  <c:v>61</c:v>
                </c:pt>
                <c:pt idx="707">
                  <c:v>52</c:v>
                </c:pt>
                <c:pt idx="708">
                  <c:v>58</c:v>
                </c:pt>
                <c:pt idx="709">
                  <c:v>51</c:v>
                </c:pt>
                <c:pt idx="710">
                  <c:v>66</c:v>
                </c:pt>
                <c:pt idx="711">
                  <c:v>54</c:v>
                </c:pt>
                <c:pt idx="712">
                  <c:v>58</c:v>
                </c:pt>
                <c:pt idx="713">
                  <c:v>68</c:v>
                </c:pt>
                <c:pt idx="714">
                  <c:v>47</c:v>
                </c:pt>
                <c:pt idx="715">
                  <c:v>49</c:v>
                </c:pt>
                <c:pt idx="716">
                  <c:v>61</c:v>
                </c:pt>
                <c:pt idx="717">
                  <c:v>64</c:v>
                </c:pt>
                <c:pt idx="718">
                  <c:v>54</c:v>
                </c:pt>
                <c:pt idx="719">
                  <c:v>50</c:v>
                </c:pt>
                <c:pt idx="720">
                  <c:v>61</c:v>
                </c:pt>
                <c:pt idx="721">
                  <c:v>88</c:v>
                </c:pt>
                <c:pt idx="722">
                  <c:v>60</c:v>
                </c:pt>
                <c:pt idx="723">
                  <c:v>83</c:v>
                </c:pt>
                <c:pt idx="724">
                  <c:v>55</c:v>
                </c:pt>
                <c:pt idx="725">
                  <c:v>52</c:v>
                </c:pt>
                <c:pt idx="726">
                  <c:v>64</c:v>
                </c:pt>
                <c:pt idx="727">
                  <c:v>54</c:v>
                </c:pt>
                <c:pt idx="728">
                  <c:v>94</c:v>
                </c:pt>
                <c:pt idx="729">
                  <c:v>47</c:v>
                </c:pt>
                <c:pt idx="730">
                  <c:v>61</c:v>
                </c:pt>
                <c:pt idx="731">
                  <c:v>65</c:v>
                </c:pt>
                <c:pt idx="732">
                  <c:v>71</c:v>
                </c:pt>
                <c:pt idx="733">
                  <c:v>57</c:v>
                </c:pt>
                <c:pt idx="734">
                  <c:v>64</c:v>
                </c:pt>
                <c:pt idx="735">
                  <c:v>57</c:v>
                </c:pt>
                <c:pt idx="736">
                  <c:v>62</c:v>
                </c:pt>
                <c:pt idx="737">
                  <c:v>62</c:v>
                </c:pt>
                <c:pt idx="738">
                  <c:v>58</c:v>
                </c:pt>
                <c:pt idx="739">
                  <c:v>81</c:v>
                </c:pt>
                <c:pt idx="740">
                  <c:v>53</c:v>
                </c:pt>
                <c:pt idx="741">
                  <c:v>62</c:v>
                </c:pt>
                <c:pt idx="742">
                  <c:v>87</c:v>
                </c:pt>
                <c:pt idx="743">
                  <c:v>57</c:v>
                </c:pt>
                <c:pt idx="744">
                  <c:v>55</c:v>
                </c:pt>
                <c:pt idx="745">
                  <c:v>50</c:v>
                </c:pt>
                <c:pt idx="746">
                  <c:v>48</c:v>
                </c:pt>
                <c:pt idx="747">
                  <c:v>49</c:v>
                </c:pt>
                <c:pt idx="748">
                  <c:v>51</c:v>
                </c:pt>
                <c:pt idx="749">
                  <c:v>44</c:v>
                </c:pt>
                <c:pt idx="750">
                  <c:v>58</c:v>
                </c:pt>
                <c:pt idx="751">
                  <c:v>50</c:v>
                </c:pt>
                <c:pt idx="752">
                  <c:v>40</c:v>
                </c:pt>
                <c:pt idx="753">
                  <c:v>61</c:v>
                </c:pt>
                <c:pt idx="754">
                  <c:v>52</c:v>
                </c:pt>
                <c:pt idx="755">
                  <c:v>55</c:v>
                </c:pt>
                <c:pt idx="756">
                  <c:v>60</c:v>
                </c:pt>
                <c:pt idx="757">
                  <c:v>49</c:v>
                </c:pt>
                <c:pt idx="758">
                  <c:v>53</c:v>
                </c:pt>
                <c:pt idx="759">
                  <c:v>45</c:v>
                </c:pt>
                <c:pt idx="760">
                  <c:v>58</c:v>
                </c:pt>
                <c:pt idx="761">
                  <c:v>64</c:v>
                </c:pt>
                <c:pt idx="762">
                  <c:v>53</c:v>
                </c:pt>
                <c:pt idx="763">
                  <c:v>60</c:v>
                </c:pt>
                <c:pt idx="764">
                  <c:v>49</c:v>
                </c:pt>
                <c:pt idx="765">
                  <c:v>57</c:v>
                </c:pt>
                <c:pt idx="766">
                  <c:v>57</c:v>
                </c:pt>
                <c:pt idx="767">
                  <c:v>52</c:v>
                </c:pt>
                <c:pt idx="768">
                  <c:v>49</c:v>
                </c:pt>
                <c:pt idx="769">
                  <c:v>45</c:v>
                </c:pt>
                <c:pt idx="770">
                  <c:v>62</c:v>
                </c:pt>
                <c:pt idx="771">
                  <c:v>53</c:v>
                </c:pt>
                <c:pt idx="772">
                  <c:v>58</c:v>
                </c:pt>
                <c:pt idx="773">
                  <c:v>43</c:v>
                </c:pt>
                <c:pt idx="774">
                  <c:v>52</c:v>
                </c:pt>
                <c:pt idx="775">
                  <c:v>80</c:v>
                </c:pt>
                <c:pt idx="776">
                  <c:v>55</c:v>
                </c:pt>
                <c:pt idx="777">
                  <c:v>58</c:v>
                </c:pt>
                <c:pt idx="778">
                  <c:v>42</c:v>
                </c:pt>
                <c:pt idx="779">
                  <c:v>61</c:v>
                </c:pt>
                <c:pt idx="780">
                  <c:v>61</c:v>
                </c:pt>
                <c:pt idx="781">
                  <c:v>52</c:v>
                </c:pt>
                <c:pt idx="782">
                  <c:v>59</c:v>
                </c:pt>
                <c:pt idx="783">
                  <c:v>59</c:v>
                </c:pt>
                <c:pt idx="784">
                  <c:v>58</c:v>
                </c:pt>
                <c:pt idx="785">
                  <c:v>51</c:v>
                </c:pt>
                <c:pt idx="786">
                  <c:v>56</c:v>
                </c:pt>
                <c:pt idx="787">
                  <c:v>54</c:v>
                </c:pt>
                <c:pt idx="788">
                  <c:v>53</c:v>
                </c:pt>
                <c:pt idx="789">
                  <c:v>55</c:v>
                </c:pt>
                <c:pt idx="790">
                  <c:v>56</c:v>
                </c:pt>
                <c:pt idx="791">
                  <c:v>82</c:v>
                </c:pt>
                <c:pt idx="792">
                  <c:v>48</c:v>
                </c:pt>
                <c:pt idx="793">
                  <c:v>49</c:v>
                </c:pt>
                <c:pt idx="794">
                  <c:v>46</c:v>
                </c:pt>
                <c:pt idx="795">
                  <c:v>57</c:v>
                </c:pt>
                <c:pt idx="796">
                  <c:v>50</c:v>
                </c:pt>
                <c:pt idx="797">
                  <c:v>58</c:v>
                </c:pt>
                <c:pt idx="798">
                  <c:v>57</c:v>
                </c:pt>
                <c:pt idx="799">
                  <c:v>46</c:v>
                </c:pt>
                <c:pt idx="800">
                  <c:v>#N/A</c:v>
                </c:pt>
                <c:pt idx="801">
                  <c:v>58</c:v>
                </c:pt>
                <c:pt idx="802">
                  <c:v>43</c:v>
                </c:pt>
                <c:pt idx="803">
                  <c:v>42</c:v>
                </c:pt>
                <c:pt idx="804">
                  <c:v>84</c:v>
                </c:pt>
                <c:pt idx="805">
                  <c:v>50</c:v>
                </c:pt>
                <c:pt idx="806">
                  <c:v>39</c:v>
                </c:pt>
                <c:pt idx="807">
                  <c:v>51</c:v>
                </c:pt>
                <c:pt idx="808">
                  <c:v>48</c:v>
                </c:pt>
                <c:pt idx="809">
                  <c:v>52</c:v>
                </c:pt>
                <c:pt idx="810">
                  <c:v>81</c:v>
                </c:pt>
                <c:pt idx="811">
                  <c:v>46</c:v>
                </c:pt>
                <c:pt idx="812">
                  <c:v>46</c:v>
                </c:pt>
                <c:pt idx="813">
                  <c:v>54</c:v>
                </c:pt>
                <c:pt idx="814">
                  <c:v>47</c:v>
                </c:pt>
                <c:pt idx="815">
                  <c:v>49</c:v>
                </c:pt>
                <c:pt idx="816">
                  <c:v>63</c:v>
                </c:pt>
                <c:pt idx="817">
                  <c:v>48</c:v>
                </c:pt>
                <c:pt idx="818">
                  <c:v>69</c:v>
                </c:pt>
                <c:pt idx="819">
                  <c:v>54</c:v>
                </c:pt>
                <c:pt idx="820">
                  <c:v>59</c:v>
                </c:pt>
                <c:pt idx="821">
                  <c:v>64</c:v>
                </c:pt>
                <c:pt idx="822">
                  <c:v>55</c:v>
                </c:pt>
                <c:pt idx="823">
                  <c:v>44</c:v>
                </c:pt>
                <c:pt idx="824">
                  <c:v>53</c:v>
                </c:pt>
                <c:pt idx="825">
                  <c:v>52</c:v>
                </c:pt>
                <c:pt idx="826">
                  <c:v>47</c:v>
                </c:pt>
                <c:pt idx="827">
                  <c:v>57</c:v>
                </c:pt>
                <c:pt idx="828">
                  <c:v>53</c:v>
                </c:pt>
                <c:pt idx="829">
                  <c:v>45</c:v>
                </c:pt>
                <c:pt idx="830">
                  <c:v>53</c:v>
                </c:pt>
                <c:pt idx="831">
                  <c:v>49</c:v>
                </c:pt>
                <c:pt idx="832">
                  <c:v>79</c:v>
                </c:pt>
                <c:pt idx="833">
                  <c:v>53</c:v>
                </c:pt>
                <c:pt idx="834">
                  <c:v>61</c:v>
                </c:pt>
                <c:pt idx="835">
                  <c:v>53</c:v>
                </c:pt>
                <c:pt idx="836">
                  <c:v>49</c:v>
                </c:pt>
                <c:pt idx="837">
                  <c:v>48</c:v>
                </c:pt>
                <c:pt idx="838">
                  <c:v>48</c:v>
                </c:pt>
                <c:pt idx="839">
                  <c:v>54</c:v>
                </c:pt>
                <c:pt idx="840">
                  <c:v>49</c:v>
                </c:pt>
                <c:pt idx="841">
                  <c:v>52</c:v>
                </c:pt>
                <c:pt idx="842">
                  <c:v>#N/A</c:v>
                </c:pt>
                <c:pt idx="843">
                  <c:v>68</c:v>
                </c:pt>
                <c:pt idx="844">
                  <c:v>54</c:v>
                </c:pt>
                <c:pt idx="845">
                  <c:v>53</c:v>
                </c:pt>
                <c:pt idx="846">
                  <c:v>47</c:v>
                </c:pt>
                <c:pt idx="847">
                  <c:v>45</c:v>
                </c:pt>
                <c:pt idx="848">
                  <c:v>59</c:v>
                </c:pt>
                <c:pt idx="849">
                  <c:v>54</c:v>
                </c:pt>
                <c:pt idx="850">
                  <c:v>40</c:v>
                </c:pt>
                <c:pt idx="851">
                  <c:v>58</c:v>
                </c:pt>
                <c:pt idx="852">
                  <c:v>40</c:v>
                </c:pt>
                <c:pt idx="853">
                  <c:v>49</c:v>
                </c:pt>
                <c:pt idx="854">
                  <c:v>49</c:v>
                </c:pt>
                <c:pt idx="855">
                  <c:v>44</c:v>
                </c:pt>
                <c:pt idx="856">
                  <c:v>50</c:v>
                </c:pt>
                <c:pt idx="857">
                  <c:v>60</c:v>
                </c:pt>
                <c:pt idx="858">
                  <c:v>51</c:v>
                </c:pt>
                <c:pt idx="859">
                  <c:v>42</c:v>
                </c:pt>
                <c:pt idx="860">
                  <c:v>70</c:v>
                </c:pt>
                <c:pt idx="861">
                  <c:v>49</c:v>
                </c:pt>
                <c:pt idx="862">
                  <c:v>49</c:v>
                </c:pt>
                <c:pt idx="863">
                  <c:v>54</c:v>
                </c:pt>
                <c:pt idx="864">
                  <c:v>35</c:v>
                </c:pt>
                <c:pt idx="865">
                  <c:v>35</c:v>
                </c:pt>
                <c:pt idx="866">
                  <c:v>44</c:v>
                </c:pt>
                <c:pt idx="867">
                  <c:v>37</c:v>
                </c:pt>
                <c:pt idx="868">
                  <c:v>40</c:v>
                </c:pt>
                <c:pt idx="869">
                  <c:v>58</c:v>
                </c:pt>
                <c:pt idx="870">
                  <c:v>43</c:v>
                </c:pt>
                <c:pt idx="871">
                  <c:v>52</c:v>
                </c:pt>
                <c:pt idx="872">
                  <c:v>69</c:v>
                </c:pt>
                <c:pt idx="873">
                  <c:v>47</c:v>
                </c:pt>
                <c:pt idx="874">
                  <c:v>38</c:v>
                </c:pt>
                <c:pt idx="875">
                  <c:v>43</c:v>
                </c:pt>
                <c:pt idx="876">
                  <c:v>40</c:v>
                </c:pt>
                <c:pt idx="877">
                  <c:v>57</c:v>
                </c:pt>
                <c:pt idx="878">
                  <c:v>50</c:v>
                </c:pt>
                <c:pt idx="879">
                  <c:v>53</c:v>
                </c:pt>
                <c:pt idx="880">
                  <c:v>51</c:v>
                </c:pt>
                <c:pt idx="881">
                  <c:v>41</c:v>
                </c:pt>
                <c:pt idx="882">
                  <c:v>52</c:v>
                </c:pt>
                <c:pt idx="883">
                  <c:v>47</c:v>
                </c:pt>
                <c:pt idx="884">
                  <c:v>51</c:v>
                </c:pt>
                <c:pt idx="885">
                  <c:v>72</c:v>
                </c:pt>
                <c:pt idx="886">
                  <c:v>45</c:v>
                </c:pt>
                <c:pt idx="887">
                  <c:v>#N/A</c:v>
                </c:pt>
                <c:pt idx="888">
                  <c:v>55</c:v>
                </c:pt>
                <c:pt idx="889">
                  <c:v>77</c:v>
                </c:pt>
                <c:pt idx="890">
                  <c:v>48</c:v>
                </c:pt>
                <c:pt idx="891">
                  <c:v>44</c:v>
                </c:pt>
                <c:pt idx="892">
                  <c:v>42</c:v>
                </c:pt>
                <c:pt idx="893">
                  <c:v>70</c:v>
                </c:pt>
                <c:pt idx="894">
                  <c:v>55</c:v>
                </c:pt>
                <c:pt idx="895">
                  <c:v>73</c:v>
                </c:pt>
                <c:pt idx="896">
                  <c:v>63</c:v>
                </c:pt>
                <c:pt idx="897">
                  <c:v>41</c:v>
                </c:pt>
                <c:pt idx="898">
                  <c:v>77</c:v>
                </c:pt>
                <c:pt idx="899">
                  <c:v>55</c:v>
                </c:pt>
                <c:pt idx="900">
                  <c:v>61</c:v>
                </c:pt>
                <c:pt idx="901">
                  <c:v>55</c:v>
                </c:pt>
                <c:pt idx="902">
                  <c:v>49</c:v>
                </c:pt>
                <c:pt idx="903">
                  <c:v>44</c:v>
                </c:pt>
                <c:pt idx="904">
                  <c:v>66</c:v>
                </c:pt>
                <c:pt idx="905">
                  <c:v>65</c:v>
                </c:pt>
                <c:pt idx="906">
                  <c:v>59</c:v>
                </c:pt>
                <c:pt idx="907">
                  <c:v>45</c:v>
                </c:pt>
                <c:pt idx="908">
                  <c:v>41</c:v>
                </c:pt>
                <c:pt idx="909">
                  <c:v>37</c:v>
                </c:pt>
                <c:pt idx="910">
                  <c:v>50</c:v>
                </c:pt>
                <c:pt idx="911">
                  <c:v>#N/A</c:v>
                </c:pt>
                <c:pt idx="912">
                  <c:v>70</c:v>
                </c:pt>
                <c:pt idx="913">
                  <c:v>50</c:v>
                </c:pt>
                <c:pt idx="914">
                  <c:v>53</c:v>
                </c:pt>
                <c:pt idx="915">
                  <c:v>49</c:v>
                </c:pt>
                <c:pt idx="916">
                  <c:v>49</c:v>
                </c:pt>
                <c:pt idx="917">
                  <c:v>53</c:v>
                </c:pt>
                <c:pt idx="918">
                  <c:v>75</c:v>
                </c:pt>
                <c:pt idx="919">
                  <c:v>#N/A</c:v>
                </c:pt>
                <c:pt idx="920">
                  <c:v>43</c:v>
                </c:pt>
                <c:pt idx="921">
                  <c:v>40</c:v>
                </c:pt>
                <c:pt idx="922">
                  <c:v>53</c:v>
                </c:pt>
                <c:pt idx="923">
                  <c:v>39</c:v>
                </c:pt>
                <c:pt idx="924">
                  <c:v>#N/A</c:v>
                </c:pt>
                <c:pt idx="925">
                  <c:v>40</c:v>
                </c:pt>
                <c:pt idx="926">
                  <c:v>48</c:v>
                </c:pt>
                <c:pt idx="927">
                  <c:v>40</c:v>
                </c:pt>
                <c:pt idx="928">
                  <c:v>65</c:v>
                </c:pt>
                <c:pt idx="929">
                  <c:v>47</c:v>
                </c:pt>
                <c:pt idx="930">
                  <c:v>46</c:v>
                </c:pt>
                <c:pt idx="931">
                  <c:v>48</c:v>
                </c:pt>
                <c:pt idx="932">
                  <c:v>35</c:v>
                </c:pt>
                <c:pt idx="933">
                  <c:v>44</c:v>
                </c:pt>
                <c:pt idx="934">
                  <c:v>61</c:v>
                </c:pt>
                <c:pt idx="935">
                  <c:v>46</c:v>
                </c:pt>
                <c:pt idx="936">
                  <c:v>38</c:v>
                </c:pt>
                <c:pt idx="937">
                  <c:v>68</c:v>
                </c:pt>
                <c:pt idx="938">
                  <c:v>36</c:v>
                </c:pt>
                <c:pt idx="939">
                  <c:v>46</c:v>
                </c:pt>
                <c:pt idx="940">
                  <c:v>47</c:v>
                </c:pt>
                <c:pt idx="941">
                  <c:v>53</c:v>
                </c:pt>
                <c:pt idx="942">
                  <c:v>46</c:v>
                </c:pt>
                <c:pt idx="943">
                  <c:v>41</c:v>
                </c:pt>
                <c:pt idx="944">
                  <c:v>46</c:v>
                </c:pt>
                <c:pt idx="945">
                  <c:v>#N/A</c:v>
                </c:pt>
                <c:pt idx="946">
                  <c:v>66</c:v>
                </c:pt>
                <c:pt idx="947">
                  <c:v>37</c:v>
                </c:pt>
                <c:pt idx="948">
                  <c:v>53</c:v>
                </c:pt>
                <c:pt idx="949">
                  <c:v>67</c:v>
                </c:pt>
                <c:pt idx="950">
                  <c:v>#N/A</c:v>
                </c:pt>
                <c:pt idx="951">
                  <c:v>32</c:v>
                </c:pt>
                <c:pt idx="952">
                  <c:v>41</c:v>
                </c:pt>
                <c:pt idx="953">
                  <c:v>#N/A</c:v>
                </c:pt>
                <c:pt idx="954">
                  <c:v>58</c:v>
                </c:pt>
                <c:pt idx="955">
                  <c:v>59</c:v>
                </c:pt>
                <c:pt idx="956">
                  <c:v>#N/A</c:v>
                </c:pt>
                <c:pt idx="957">
                  <c:v>38</c:v>
                </c:pt>
                <c:pt idx="958">
                  <c:v>44</c:v>
                </c:pt>
                <c:pt idx="959">
                  <c:v>51</c:v>
                </c:pt>
                <c:pt idx="960">
                  <c:v>62</c:v>
                </c:pt>
                <c:pt idx="961">
                  <c:v>34</c:v>
                </c:pt>
                <c:pt idx="962">
                  <c:v>40</c:v>
                </c:pt>
                <c:pt idx="963">
                  <c:v>35</c:v>
                </c:pt>
                <c:pt idx="964">
                  <c:v>40</c:v>
                </c:pt>
                <c:pt idx="965">
                  <c:v>37</c:v>
                </c:pt>
                <c:pt idx="966">
                  <c:v>45</c:v>
                </c:pt>
                <c:pt idx="967">
                  <c:v>47</c:v>
                </c:pt>
                <c:pt idx="968">
                  <c:v>39</c:v>
                </c:pt>
                <c:pt idx="969">
                  <c:v>51</c:v>
                </c:pt>
                <c:pt idx="970">
                  <c:v>#N/A</c:v>
                </c:pt>
                <c:pt idx="971">
                  <c:v>33</c:v>
                </c:pt>
                <c:pt idx="972">
                  <c:v>29</c:v>
                </c:pt>
                <c:pt idx="973">
                  <c:v>59</c:v>
                </c:pt>
                <c:pt idx="974">
                  <c:v>46</c:v>
                </c:pt>
                <c:pt idx="975">
                  <c:v>42</c:v>
                </c:pt>
                <c:pt idx="976">
                  <c:v>34</c:v>
                </c:pt>
                <c:pt idx="977">
                  <c:v>#N/A</c:v>
                </c:pt>
                <c:pt idx="978">
                  <c:v>41</c:v>
                </c:pt>
                <c:pt idx="979">
                  <c:v>29</c:v>
                </c:pt>
                <c:pt idx="980">
                  <c:v>39</c:v>
                </c:pt>
                <c:pt idx="981">
                  <c:v>42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32</c:v>
                </c:pt>
                <c:pt idx="986">
                  <c:v>32</c:v>
                </c:pt>
                <c:pt idx="987">
                  <c:v>23</c:v>
                </c:pt>
                <c:pt idx="988">
                  <c:v>44</c:v>
                </c:pt>
                <c:pt idx="989">
                  <c:v>#N/A</c:v>
                </c:pt>
                <c:pt idx="990">
                  <c:v>#N/A</c:v>
                </c:pt>
                <c:pt idx="991">
                  <c:v>55</c:v>
                </c:pt>
                <c:pt idx="992">
                  <c:v>27</c:v>
                </c:pt>
                <c:pt idx="993">
                  <c:v>#N/A</c:v>
                </c:pt>
                <c:pt idx="994">
                  <c:v>47</c:v>
                </c:pt>
                <c:pt idx="995">
                  <c:v>22</c:v>
                </c:pt>
                <c:pt idx="996">
                  <c:v>27</c:v>
                </c:pt>
                <c:pt idx="997">
                  <c:v>36</c:v>
                </c:pt>
                <c:pt idx="998">
                  <c:v>45</c:v>
                </c:pt>
                <c:pt idx="999">
                  <c:v>35</c:v>
                </c:pt>
                <c:pt idx="1000">
                  <c:v>24</c:v>
                </c:pt>
                <c:pt idx="1001">
                  <c:v>19</c:v>
                </c:pt>
                <c:pt idx="1002">
                  <c:v>29</c:v>
                </c:pt>
                <c:pt idx="1003">
                  <c:v>#N/A</c:v>
                </c:pt>
                <c:pt idx="1004">
                  <c:v>18</c:v>
                </c:pt>
                <c:pt idx="1005">
                  <c:v>30</c:v>
                </c:pt>
                <c:pt idx="1006">
                  <c:v>34</c:v>
                </c:pt>
                <c:pt idx="1007">
                  <c:v>28</c:v>
                </c:pt>
                <c:pt idx="1008">
                  <c:v>#N/A</c:v>
                </c:pt>
                <c:pt idx="1009">
                  <c:v>#N/A</c:v>
                </c:pt>
                <c:pt idx="1010">
                  <c:v>30</c:v>
                </c:pt>
                <c:pt idx="1011">
                  <c:v>8</c:v>
                </c:pt>
                <c:pt idx="1012">
                  <c:v>0</c:v>
                </c:pt>
              </c:numCache>
            </c:numRef>
          </c:xVal>
          <c:yVal>
            <c:numRef>
              <c:f>ScatterData!$C$2:$C$1014</c:f>
              <c:numCache>
                <c:formatCode>0</c:formatCode>
                <c:ptCount val="101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99</c:v>
                </c:pt>
                <c:pt idx="6">
                  <c:v>100</c:v>
                </c:pt>
                <c:pt idx="7">
                  <c:v>99</c:v>
                </c:pt>
                <c:pt idx="8">
                  <c:v>93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99</c:v>
                </c:pt>
                <c:pt idx="14">
                  <c:v>99</c:v>
                </c:pt>
                <c:pt idx="15">
                  <c:v>96</c:v>
                </c:pt>
                <c:pt idx="16">
                  <c:v>97</c:v>
                </c:pt>
                <c:pt idx="17">
                  <c:v>97</c:v>
                </c:pt>
                <c:pt idx="18">
                  <c:v>100</c:v>
                </c:pt>
                <c:pt idx="19">
                  <c:v>95</c:v>
                </c:pt>
                <c:pt idx="20">
                  <c:v>100</c:v>
                </c:pt>
                <c:pt idx="21">
                  <c:v>90</c:v>
                </c:pt>
                <c:pt idx="22">
                  <c:v>95</c:v>
                </c:pt>
                <c:pt idx="23">
                  <c:v>86</c:v>
                </c:pt>
                <c:pt idx="24">
                  <c:v>95</c:v>
                </c:pt>
                <c:pt idx="25">
                  <c:v>91</c:v>
                </c:pt>
                <c:pt idx="26">
                  <c:v>94</c:v>
                </c:pt>
                <c:pt idx="27">
                  <c:v>92</c:v>
                </c:pt>
                <c:pt idx="28">
                  <c:v>93</c:v>
                </c:pt>
                <c:pt idx="29">
                  <c:v>92</c:v>
                </c:pt>
                <c:pt idx="30">
                  <c:v>91</c:v>
                </c:pt>
                <c:pt idx="31">
                  <c:v>94</c:v>
                </c:pt>
                <c:pt idx="32">
                  <c:v>92</c:v>
                </c:pt>
                <c:pt idx="33">
                  <c:v>95</c:v>
                </c:pt>
                <c:pt idx="34">
                  <c:v>92</c:v>
                </c:pt>
                <c:pt idx="35">
                  <c:v>95</c:v>
                </c:pt>
                <c:pt idx="36">
                  <c:v>96</c:v>
                </c:pt>
                <c:pt idx="37">
                  <c:v>91</c:v>
                </c:pt>
                <c:pt idx="38">
                  <c:v>90</c:v>
                </c:pt>
                <c:pt idx="39">
                  <c:v>90</c:v>
                </c:pt>
                <c:pt idx="40">
                  <c:v>93</c:v>
                </c:pt>
                <c:pt idx="41">
                  <c:v>96</c:v>
                </c:pt>
                <c:pt idx="42">
                  <c:v>92</c:v>
                </c:pt>
                <c:pt idx="43">
                  <c:v>92</c:v>
                </c:pt>
                <c:pt idx="44">
                  <c:v>95</c:v>
                </c:pt>
                <c:pt idx="45">
                  <c:v>91</c:v>
                </c:pt>
                <c:pt idx="46">
                  <c:v>92</c:v>
                </c:pt>
                <c:pt idx="47">
                  <c:v>93</c:v>
                </c:pt>
                <c:pt idx="48">
                  <c:v>94</c:v>
                </c:pt>
                <c:pt idx="49">
                  <c:v>95</c:v>
                </c:pt>
                <c:pt idx="50">
                  <c:v>98</c:v>
                </c:pt>
                <c:pt idx="51">
                  <c:v>86</c:v>
                </c:pt>
                <c:pt idx="52">
                  <c:v>93</c:v>
                </c:pt>
                <c:pt idx="53">
                  <c:v>94</c:v>
                </c:pt>
                <c:pt idx="54">
                  <c:v>93</c:v>
                </c:pt>
                <c:pt idx="55">
                  <c:v>88</c:v>
                </c:pt>
                <c:pt idx="56">
                  <c:v>81</c:v>
                </c:pt>
                <c:pt idx="57">
                  <c:v>90</c:v>
                </c:pt>
                <c:pt idx="58">
                  <c:v>87</c:v>
                </c:pt>
                <c:pt idx="59">
                  <c:v>92</c:v>
                </c:pt>
                <c:pt idx="60">
                  <c:v>82</c:v>
                </c:pt>
                <c:pt idx="61">
                  <c:v>94</c:v>
                </c:pt>
                <c:pt idx="62">
                  <c:v>95</c:v>
                </c:pt>
                <c:pt idx="63">
                  <c:v>89</c:v>
                </c:pt>
                <c:pt idx="64">
                  <c:v>83</c:v>
                </c:pt>
                <c:pt idx="65">
                  <c:v>89</c:v>
                </c:pt>
                <c:pt idx="66">
                  <c:v>87</c:v>
                </c:pt>
                <c:pt idx="67">
                  <c:v>88</c:v>
                </c:pt>
                <c:pt idx="68">
                  <c:v>93</c:v>
                </c:pt>
                <c:pt idx="69">
                  <c:v>96</c:v>
                </c:pt>
                <c:pt idx="70">
                  <c:v>98</c:v>
                </c:pt>
                <c:pt idx="71">
                  <c:v>91</c:v>
                </c:pt>
                <c:pt idx="72">
                  <c:v>86</c:v>
                </c:pt>
                <c:pt idx="73">
                  <c:v>90</c:v>
                </c:pt>
                <c:pt idx="74">
                  <c:v>91</c:v>
                </c:pt>
                <c:pt idx="75">
                  <c:v>85</c:v>
                </c:pt>
                <c:pt idx="76">
                  <c:v>82</c:v>
                </c:pt>
                <c:pt idx="77">
                  <c:v>91</c:v>
                </c:pt>
                <c:pt idx="78">
                  <c:v>85</c:v>
                </c:pt>
                <c:pt idx="79">
                  <c:v>84</c:v>
                </c:pt>
                <c:pt idx="80">
                  <c:v>94</c:v>
                </c:pt>
                <c:pt idx="81">
                  <c:v>89</c:v>
                </c:pt>
                <c:pt idx="82">
                  <c:v>82</c:v>
                </c:pt>
                <c:pt idx="83">
                  <c:v>93</c:v>
                </c:pt>
                <c:pt idx="84">
                  <c:v>85</c:v>
                </c:pt>
                <c:pt idx="85">
                  <c:v>89</c:v>
                </c:pt>
                <c:pt idx="86">
                  <c:v>84</c:v>
                </c:pt>
                <c:pt idx="87">
                  <c:v>88</c:v>
                </c:pt>
                <c:pt idx="88">
                  <c:v>87</c:v>
                </c:pt>
                <c:pt idx="89">
                  <c:v>81</c:v>
                </c:pt>
                <c:pt idx="90">
                  <c:v>89</c:v>
                </c:pt>
                <c:pt idx="91">
                  <c:v>82</c:v>
                </c:pt>
                <c:pt idx="92">
                  <c:v>84</c:v>
                </c:pt>
                <c:pt idx="93">
                  <c:v>90</c:v>
                </c:pt>
                <c:pt idx="94">
                  <c:v>91</c:v>
                </c:pt>
                <c:pt idx="95">
                  <c:v>87</c:v>
                </c:pt>
                <c:pt idx="96">
                  <c:v>89</c:v>
                </c:pt>
                <c:pt idx="97">
                  <c:v>92</c:v>
                </c:pt>
                <c:pt idx="98">
                  <c:v>88</c:v>
                </c:pt>
                <c:pt idx="99">
                  <c:v>78</c:v>
                </c:pt>
                <c:pt idx="100">
                  <c:v>89</c:v>
                </c:pt>
                <c:pt idx="101">
                  <c:v>87</c:v>
                </c:pt>
                <c:pt idx="102">
                  <c:v>85</c:v>
                </c:pt>
                <c:pt idx="103">
                  <c:v>90</c:v>
                </c:pt>
                <c:pt idx="104">
                  <c:v>88</c:v>
                </c:pt>
                <c:pt idx="105">
                  <c:v>91</c:v>
                </c:pt>
                <c:pt idx="106">
                  <c:v>82</c:v>
                </c:pt>
                <c:pt idx="107">
                  <c:v>86</c:v>
                </c:pt>
                <c:pt idx="108">
                  <c:v>79</c:v>
                </c:pt>
                <c:pt idx="109">
                  <c:v>84</c:v>
                </c:pt>
                <c:pt idx="110">
                  <c:v>86</c:v>
                </c:pt>
                <c:pt idx="111">
                  <c:v>87</c:v>
                </c:pt>
                <c:pt idx="112">
                  <c:v>87</c:v>
                </c:pt>
                <c:pt idx="113">
                  <c:v>91</c:v>
                </c:pt>
                <c:pt idx="114">
                  <c:v>88</c:v>
                </c:pt>
                <c:pt idx="115">
                  <c:v>86</c:v>
                </c:pt>
                <c:pt idx="116">
                  <c:v>87</c:v>
                </c:pt>
                <c:pt idx="117">
                  <c:v>75</c:v>
                </c:pt>
                <c:pt idx="118">
                  <c:v>82</c:v>
                </c:pt>
                <c:pt idx="119">
                  <c:v>90</c:v>
                </c:pt>
                <c:pt idx="120">
                  <c:v>88</c:v>
                </c:pt>
                <c:pt idx="121">
                  <c:v>85</c:v>
                </c:pt>
                <c:pt idx="122">
                  <c:v>88</c:v>
                </c:pt>
                <c:pt idx="123">
                  <c:v>81</c:v>
                </c:pt>
                <c:pt idx="124">
                  <c:v>82</c:v>
                </c:pt>
                <c:pt idx="125">
                  <c:v>84</c:v>
                </c:pt>
                <c:pt idx="126">
                  <c:v>79</c:v>
                </c:pt>
                <c:pt idx="127">
                  <c:v>85</c:v>
                </c:pt>
                <c:pt idx="128">
                  <c:v>91</c:v>
                </c:pt>
                <c:pt idx="129">
                  <c:v>85</c:v>
                </c:pt>
                <c:pt idx="130">
                  <c:v>77</c:v>
                </c:pt>
                <c:pt idx="131">
                  <c:v>86</c:v>
                </c:pt>
                <c:pt idx="132">
                  <c:v>84</c:v>
                </c:pt>
                <c:pt idx="133">
                  <c:v>81</c:v>
                </c:pt>
                <c:pt idx="134">
                  <c:v>83</c:v>
                </c:pt>
                <c:pt idx="135">
                  <c:v>83</c:v>
                </c:pt>
                <c:pt idx="136">
                  <c:v>87</c:v>
                </c:pt>
                <c:pt idx="137">
                  <c:v>84</c:v>
                </c:pt>
                <c:pt idx="138">
                  <c:v>89</c:v>
                </c:pt>
                <c:pt idx="139">
                  <c:v>86</c:v>
                </c:pt>
                <c:pt idx="140">
                  <c:v>82</c:v>
                </c:pt>
                <c:pt idx="141">
                  <c:v>85</c:v>
                </c:pt>
                <c:pt idx="142">
                  <c:v>85</c:v>
                </c:pt>
                <c:pt idx="143">
                  <c:v>85</c:v>
                </c:pt>
                <c:pt idx="144">
                  <c:v>80</c:v>
                </c:pt>
                <c:pt idx="145">
                  <c:v>89</c:v>
                </c:pt>
                <c:pt idx="146">
                  <c:v>88</c:v>
                </c:pt>
                <c:pt idx="147">
                  <c:v>75</c:v>
                </c:pt>
                <c:pt idx="148">
                  <c:v>88</c:v>
                </c:pt>
                <c:pt idx="149">
                  <c:v>78</c:v>
                </c:pt>
                <c:pt idx="150">
                  <c:v>80</c:v>
                </c:pt>
                <c:pt idx="151">
                  <c:v>84</c:v>
                </c:pt>
                <c:pt idx="152">
                  <c:v>90</c:v>
                </c:pt>
                <c:pt idx="153">
                  <c:v>82</c:v>
                </c:pt>
                <c:pt idx="154">
                  <c:v>76</c:v>
                </c:pt>
                <c:pt idx="155">
                  <c:v>84</c:v>
                </c:pt>
                <c:pt idx="156">
                  <c:v>81</c:v>
                </c:pt>
                <c:pt idx="157">
                  <c:v>83</c:v>
                </c:pt>
                <c:pt idx="158">
                  <c:v>84</c:v>
                </c:pt>
                <c:pt idx="159">
                  <c:v>73</c:v>
                </c:pt>
                <c:pt idx="160">
                  <c:v>82</c:v>
                </c:pt>
                <c:pt idx="161">
                  <c:v>78</c:v>
                </c:pt>
                <c:pt idx="162">
                  <c:v>86</c:v>
                </c:pt>
                <c:pt idx="163">
                  <c:v>80</c:v>
                </c:pt>
                <c:pt idx="164">
                  <c:v>80</c:v>
                </c:pt>
                <c:pt idx="165">
                  <c:v>78</c:v>
                </c:pt>
                <c:pt idx="166">
                  <c:v>80</c:v>
                </c:pt>
                <c:pt idx="167">
                  <c:v>82</c:v>
                </c:pt>
                <c:pt idx="168">
                  <c:v>82</c:v>
                </c:pt>
                <c:pt idx="169">
                  <c:v>87</c:v>
                </c:pt>
                <c:pt idx="170">
                  <c:v>82</c:v>
                </c:pt>
                <c:pt idx="171">
                  <c:v>75</c:v>
                </c:pt>
                <c:pt idx="172">
                  <c:v>85</c:v>
                </c:pt>
                <c:pt idx="173">
                  <c:v>82</c:v>
                </c:pt>
                <c:pt idx="174">
                  <c:v>77</c:v>
                </c:pt>
                <c:pt idx="175">
                  <c:v>75</c:v>
                </c:pt>
                <c:pt idx="176">
                  <c:v>79</c:v>
                </c:pt>
                <c:pt idx="177">
                  <c:v>75</c:v>
                </c:pt>
                <c:pt idx="178">
                  <c:v>82</c:v>
                </c:pt>
                <c:pt idx="179">
                  <c:v>82</c:v>
                </c:pt>
                <c:pt idx="180">
                  <c:v>75</c:v>
                </c:pt>
                <c:pt idx="181">
                  <c:v>76</c:v>
                </c:pt>
                <c:pt idx="182">
                  <c:v>80</c:v>
                </c:pt>
                <c:pt idx="183">
                  <c:v>80</c:v>
                </c:pt>
                <c:pt idx="184">
                  <c:v>84</c:v>
                </c:pt>
                <c:pt idx="185">
                  <c:v>81</c:v>
                </c:pt>
                <c:pt idx="186">
                  <c:v>79</c:v>
                </c:pt>
                <c:pt idx="187">
                  <c:v>82</c:v>
                </c:pt>
                <c:pt idx="188">
                  <c:v>81</c:v>
                </c:pt>
                <c:pt idx="189">
                  <c:v>79</c:v>
                </c:pt>
                <c:pt idx="190">
                  <c:v>78</c:v>
                </c:pt>
                <c:pt idx="191">
                  <c:v>74</c:v>
                </c:pt>
                <c:pt idx="192">
                  <c:v>76</c:v>
                </c:pt>
                <c:pt idx="193">
                  <c:v>77</c:v>
                </c:pt>
                <c:pt idx="194">
                  <c:v>80</c:v>
                </c:pt>
                <c:pt idx="195">
                  <c:v>80</c:v>
                </c:pt>
                <c:pt idx="196">
                  <c:v>83</c:v>
                </c:pt>
                <c:pt idx="197">
                  <c:v>74</c:v>
                </c:pt>
                <c:pt idx="198">
                  <c:v>79</c:v>
                </c:pt>
                <c:pt idx="199">
                  <c:v>85</c:v>
                </c:pt>
                <c:pt idx="200">
                  <c:v>79</c:v>
                </c:pt>
                <c:pt idx="201">
                  <c:v>82</c:v>
                </c:pt>
                <c:pt idx="202">
                  <c:v>71</c:v>
                </c:pt>
                <c:pt idx="203">
                  <c:v>86</c:v>
                </c:pt>
                <c:pt idx="204">
                  <c:v>76</c:v>
                </c:pt>
                <c:pt idx="205">
                  <c:v>83</c:v>
                </c:pt>
                <c:pt idx="206">
                  <c:v>76</c:v>
                </c:pt>
                <c:pt idx="207">
                  <c:v>79</c:v>
                </c:pt>
                <c:pt idx="208">
                  <c:v>75</c:v>
                </c:pt>
                <c:pt idx="209">
                  <c:v>78</c:v>
                </c:pt>
                <c:pt idx="210">
                  <c:v>73</c:v>
                </c:pt>
                <c:pt idx="211">
                  <c:v>83</c:v>
                </c:pt>
                <c:pt idx="212">
                  <c:v>78</c:v>
                </c:pt>
                <c:pt idx="213">
                  <c:v>84</c:v>
                </c:pt>
                <c:pt idx="214">
                  <c:v>80</c:v>
                </c:pt>
                <c:pt idx="215">
                  <c:v>74</c:v>
                </c:pt>
                <c:pt idx="216">
                  <c:v>81</c:v>
                </c:pt>
                <c:pt idx="217">
                  <c:v>79</c:v>
                </c:pt>
                <c:pt idx="218">
                  <c:v>83</c:v>
                </c:pt>
                <c:pt idx="219">
                  <c:v>82</c:v>
                </c:pt>
                <c:pt idx="220">
                  <c:v>74</c:v>
                </c:pt>
                <c:pt idx="221">
                  <c:v>80</c:v>
                </c:pt>
                <c:pt idx="222">
                  <c:v>82</c:v>
                </c:pt>
                <c:pt idx="223">
                  <c:v>83</c:v>
                </c:pt>
                <c:pt idx="224">
                  <c:v>84</c:v>
                </c:pt>
                <c:pt idx="225">
                  <c:v>82</c:v>
                </c:pt>
                <c:pt idx="226">
                  <c:v>83</c:v>
                </c:pt>
                <c:pt idx="227">
                  <c:v>87</c:v>
                </c:pt>
                <c:pt idx="228">
                  <c:v>74</c:v>
                </c:pt>
                <c:pt idx="229">
                  <c:v>73</c:v>
                </c:pt>
                <c:pt idx="230">
                  <c:v>77</c:v>
                </c:pt>
                <c:pt idx="231">
                  <c:v>73</c:v>
                </c:pt>
                <c:pt idx="232">
                  <c:v>85</c:v>
                </c:pt>
                <c:pt idx="233">
                  <c:v>77</c:v>
                </c:pt>
                <c:pt idx="234">
                  <c:v>80</c:v>
                </c:pt>
                <c:pt idx="235">
                  <c:v>69</c:v>
                </c:pt>
                <c:pt idx="236">
                  <c:v>78</c:v>
                </c:pt>
                <c:pt idx="237">
                  <c:v>76</c:v>
                </c:pt>
                <c:pt idx="238">
                  <c:v>78</c:v>
                </c:pt>
                <c:pt idx="239">
                  <c:v>80</c:v>
                </c:pt>
                <c:pt idx="240">
                  <c:v>84</c:v>
                </c:pt>
                <c:pt idx="241">
                  <c:v>82</c:v>
                </c:pt>
                <c:pt idx="242">
                  <c:v>78</c:v>
                </c:pt>
                <c:pt idx="243">
                  <c:v>77</c:v>
                </c:pt>
                <c:pt idx="244">
                  <c:v>71</c:v>
                </c:pt>
                <c:pt idx="245">
                  <c:v>72</c:v>
                </c:pt>
                <c:pt idx="246">
                  <c:v>81</c:v>
                </c:pt>
                <c:pt idx="247">
                  <c:v>83</c:v>
                </c:pt>
                <c:pt idx="248">
                  <c:v>80</c:v>
                </c:pt>
                <c:pt idx="249">
                  <c:v>71</c:v>
                </c:pt>
                <c:pt idx="250">
                  <c:v>76</c:v>
                </c:pt>
                <c:pt idx="251">
                  <c:v>83</c:v>
                </c:pt>
                <c:pt idx="252">
                  <c:v>79</c:v>
                </c:pt>
                <c:pt idx="253">
                  <c:v>72</c:v>
                </c:pt>
                <c:pt idx="254">
                  <c:v>76</c:v>
                </c:pt>
                <c:pt idx="255">
                  <c:v>70</c:v>
                </c:pt>
                <c:pt idx="256">
                  <c:v>76</c:v>
                </c:pt>
                <c:pt idx="257">
                  <c:v>80</c:v>
                </c:pt>
                <c:pt idx="258">
                  <c:v>77</c:v>
                </c:pt>
                <c:pt idx="259">
                  <c:v>71</c:v>
                </c:pt>
                <c:pt idx="260">
                  <c:v>79</c:v>
                </c:pt>
                <c:pt idx="261">
                  <c:v>75</c:v>
                </c:pt>
                <c:pt idx="262">
                  <c:v>82</c:v>
                </c:pt>
                <c:pt idx="263">
                  <c:v>77</c:v>
                </c:pt>
                <c:pt idx="264">
                  <c:v>84</c:v>
                </c:pt>
                <c:pt idx="265">
                  <c:v>83</c:v>
                </c:pt>
                <c:pt idx="266">
                  <c:v>77</c:v>
                </c:pt>
                <c:pt idx="267">
                  <c:v>74</c:v>
                </c:pt>
                <c:pt idx="268">
                  <c:v>75</c:v>
                </c:pt>
                <c:pt idx="269">
                  <c:v>78</c:v>
                </c:pt>
                <c:pt idx="270">
                  <c:v>70</c:v>
                </c:pt>
                <c:pt idx="271">
                  <c:v>80</c:v>
                </c:pt>
                <c:pt idx="272">
                  <c:v>81</c:v>
                </c:pt>
                <c:pt idx="273">
                  <c:v>73</c:v>
                </c:pt>
                <c:pt idx="274">
                  <c:v>75</c:v>
                </c:pt>
                <c:pt idx="275">
                  <c:v>79</c:v>
                </c:pt>
                <c:pt idx="276">
                  <c:v>80</c:v>
                </c:pt>
                <c:pt idx="277">
                  <c:v>81</c:v>
                </c:pt>
                <c:pt idx="278">
                  <c:v>81</c:v>
                </c:pt>
                <c:pt idx="279">
                  <c:v>76</c:v>
                </c:pt>
                <c:pt idx="280">
                  <c:v>68</c:v>
                </c:pt>
                <c:pt idx="281">
                  <c:v>73</c:v>
                </c:pt>
                <c:pt idx="282">
                  <c:v>77</c:v>
                </c:pt>
                <c:pt idx="283">
                  <c:v>81</c:v>
                </c:pt>
                <c:pt idx="284">
                  <c:v>75</c:v>
                </c:pt>
                <c:pt idx="285">
                  <c:v>79</c:v>
                </c:pt>
                <c:pt idx="286">
                  <c:v>81</c:v>
                </c:pt>
                <c:pt idx="287">
                  <c:v>76</c:v>
                </c:pt>
                <c:pt idx="288">
                  <c:v>78</c:v>
                </c:pt>
                <c:pt idx="289">
                  <c:v>73</c:v>
                </c:pt>
                <c:pt idx="290">
                  <c:v>78</c:v>
                </c:pt>
                <c:pt idx="291">
                  <c:v>76</c:v>
                </c:pt>
                <c:pt idx="292">
                  <c:v>71</c:v>
                </c:pt>
                <c:pt idx="293">
                  <c:v>78</c:v>
                </c:pt>
                <c:pt idx="294">
                  <c:v>69</c:v>
                </c:pt>
                <c:pt idx="295">
                  <c:v>72</c:v>
                </c:pt>
                <c:pt idx="296">
                  <c:v>71</c:v>
                </c:pt>
                <c:pt idx="297">
                  <c:v>74</c:v>
                </c:pt>
                <c:pt idx="298">
                  <c:v>71</c:v>
                </c:pt>
                <c:pt idx="299">
                  <c:v>80</c:v>
                </c:pt>
                <c:pt idx="300">
                  <c:v>72</c:v>
                </c:pt>
                <c:pt idx="301">
                  <c:v>77</c:v>
                </c:pt>
                <c:pt idx="302">
                  <c:v>80</c:v>
                </c:pt>
                <c:pt idx="303">
                  <c:v>73</c:v>
                </c:pt>
                <c:pt idx="304">
                  <c:v>72</c:v>
                </c:pt>
                <c:pt idx="305">
                  <c:v>74</c:v>
                </c:pt>
                <c:pt idx="306">
                  <c:v>81</c:v>
                </c:pt>
                <c:pt idx="307">
                  <c:v>82</c:v>
                </c:pt>
                <c:pt idx="308">
                  <c:v>74</c:v>
                </c:pt>
                <c:pt idx="309">
                  <c:v>78</c:v>
                </c:pt>
                <c:pt idx="310">
                  <c:v>81</c:v>
                </c:pt>
                <c:pt idx="311">
                  <c:v>80</c:v>
                </c:pt>
                <c:pt idx="312">
                  <c:v>79</c:v>
                </c:pt>
                <c:pt idx="313">
                  <c:v>76</c:v>
                </c:pt>
                <c:pt idx="314">
                  <c:v>73</c:v>
                </c:pt>
                <c:pt idx="315">
                  <c:v>78</c:v>
                </c:pt>
                <c:pt idx="316">
                  <c:v>69</c:v>
                </c:pt>
                <c:pt idx="317">
                  <c:v>72</c:v>
                </c:pt>
                <c:pt idx="318">
                  <c:v>78</c:v>
                </c:pt>
                <c:pt idx="319">
                  <c:v>78</c:v>
                </c:pt>
                <c:pt idx="320">
                  <c:v>80</c:v>
                </c:pt>
                <c:pt idx="321">
                  <c:v>77</c:v>
                </c:pt>
                <c:pt idx="322">
                  <c:v>73</c:v>
                </c:pt>
                <c:pt idx="323">
                  <c:v>73</c:v>
                </c:pt>
                <c:pt idx="324">
                  <c:v>76</c:v>
                </c:pt>
                <c:pt idx="325">
                  <c:v>72</c:v>
                </c:pt>
                <c:pt idx="326">
                  <c:v>77</c:v>
                </c:pt>
                <c:pt idx="327">
                  <c:v>77</c:v>
                </c:pt>
                <c:pt idx="328">
                  <c:v>77</c:v>
                </c:pt>
                <c:pt idx="329">
                  <c:v>78</c:v>
                </c:pt>
                <c:pt idx="330">
                  <c:v>77</c:v>
                </c:pt>
                <c:pt idx="331">
                  <c:v>78</c:v>
                </c:pt>
                <c:pt idx="332">
                  <c:v>71</c:v>
                </c:pt>
                <c:pt idx="333">
                  <c:v>74</c:v>
                </c:pt>
                <c:pt idx="334">
                  <c:v>80</c:v>
                </c:pt>
                <c:pt idx="335">
                  <c:v>71</c:v>
                </c:pt>
                <c:pt idx="336">
                  <c:v>65</c:v>
                </c:pt>
                <c:pt idx="337">
                  <c:v>80</c:v>
                </c:pt>
                <c:pt idx="338">
                  <c:v>81</c:v>
                </c:pt>
                <c:pt idx="339">
                  <c:v>81</c:v>
                </c:pt>
                <c:pt idx="340">
                  <c:v>70</c:v>
                </c:pt>
                <c:pt idx="341">
                  <c:v>71</c:v>
                </c:pt>
                <c:pt idx="342">
                  <c:v>77</c:v>
                </c:pt>
                <c:pt idx="343">
                  <c:v>64</c:v>
                </c:pt>
                <c:pt idx="344">
                  <c:v>72</c:v>
                </c:pt>
                <c:pt idx="345">
                  <c:v>72</c:v>
                </c:pt>
                <c:pt idx="346">
                  <c:v>73</c:v>
                </c:pt>
                <c:pt idx="347">
                  <c:v>69</c:v>
                </c:pt>
                <c:pt idx="348">
                  <c:v>79</c:v>
                </c:pt>
                <c:pt idx="349">
                  <c:v>72</c:v>
                </c:pt>
                <c:pt idx="350">
                  <c:v>73</c:v>
                </c:pt>
                <c:pt idx="351">
                  <c:v>72</c:v>
                </c:pt>
                <c:pt idx="352">
                  <c:v>71</c:v>
                </c:pt>
                <c:pt idx="353">
                  <c:v>74</c:v>
                </c:pt>
                <c:pt idx="354">
                  <c:v>67</c:v>
                </c:pt>
                <c:pt idx="355">
                  <c:v>72</c:v>
                </c:pt>
                <c:pt idx="356">
                  <c:v>73</c:v>
                </c:pt>
                <c:pt idx="357">
                  <c:v>79</c:v>
                </c:pt>
                <c:pt idx="358">
                  <c:v>69</c:v>
                </c:pt>
                <c:pt idx="359">
                  <c:v>74</c:v>
                </c:pt>
                <c:pt idx="360">
                  <c:v>78</c:v>
                </c:pt>
                <c:pt idx="361">
                  <c:v>69</c:v>
                </c:pt>
                <c:pt idx="362">
                  <c:v>77</c:v>
                </c:pt>
                <c:pt idx="363">
                  <c:v>75</c:v>
                </c:pt>
                <c:pt idx="364">
                  <c:v>75</c:v>
                </c:pt>
                <c:pt idx="365">
                  <c:v>77</c:v>
                </c:pt>
                <c:pt idx="366">
                  <c:v>72</c:v>
                </c:pt>
                <c:pt idx="367">
                  <c:v>76</c:v>
                </c:pt>
                <c:pt idx="368">
                  <c:v>80</c:v>
                </c:pt>
                <c:pt idx="369">
                  <c:v>74</c:v>
                </c:pt>
                <c:pt idx="370">
                  <c:v>68</c:v>
                </c:pt>
                <c:pt idx="371">
                  <c:v>70</c:v>
                </c:pt>
                <c:pt idx="372">
                  <c:v>76</c:v>
                </c:pt>
                <c:pt idx="373">
                  <c:v>76</c:v>
                </c:pt>
                <c:pt idx="374">
                  <c:v>77</c:v>
                </c:pt>
                <c:pt idx="375">
                  <c:v>74</c:v>
                </c:pt>
                <c:pt idx="376">
                  <c:v>74</c:v>
                </c:pt>
                <c:pt idx="377">
                  <c:v>74</c:v>
                </c:pt>
                <c:pt idx="378">
                  <c:v>77</c:v>
                </c:pt>
                <c:pt idx="379">
                  <c:v>74</c:v>
                </c:pt>
                <c:pt idx="380">
                  <c:v>70</c:v>
                </c:pt>
                <c:pt idx="381">
                  <c:v>74</c:v>
                </c:pt>
                <c:pt idx="382">
                  <c:v>73</c:v>
                </c:pt>
                <c:pt idx="383">
                  <c:v>75</c:v>
                </c:pt>
                <c:pt idx="384">
                  <c:v>73</c:v>
                </c:pt>
                <c:pt idx="385">
                  <c:v>69</c:v>
                </c:pt>
                <c:pt idx="386">
                  <c:v>71</c:v>
                </c:pt>
                <c:pt idx="387">
                  <c:v>69</c:v>
                </c:pt>
                <c:pt idx="388">
                  <c:v>66</c:v>
                </c:pt>
                <c:pt idx="389">
                  <c:v>74</c:v>
                </c:pt>
                <c:pt idx="390">
                  <c:v>71</c:v>
                </c:pt>
                <c:pt idx="391">
                  <c:v>71</c:v>
                </c:pt>
                <c:pt idx="392">
                  <c:v>68</c:v>
                </c:pt>
                <c:pt idx="393">
                  <c:v>67</c:v>
                </c:pt>
                <c:pt idx="394">
                  <c:v>73</c:v>
                </c:pt>
                <c:pt idx="395">
                  <c:v>67</c:v>
                </c:pt>
                <c:pt idx="396">
                  <c:v>78</c:v>
                </c:pt>
                <c:pt idx="397">
                  <c:v>79</c:v>
                </c:pt>
                <c:pt idx="398">
                  <c:v>75</c:v>
                </c:pt>
                <c:pt idx="399">
                  <c:v>74</c:v>
                </c:pt>
                <c:pt idx="400">
                  <c:v>72</c:v>
                </c:pt>
                <c:pt idx="401">
                  <c:v>80</c:v>
                </c:pt>
                <c:pt idx="402">
                  <c:v>69</c:v>
                </c:pt>
                <c:pt idx="403">
                  <c:v>76</c:v>
                </c:pt>
                <c:pt idx="404">
                  <c:v>67</c:v>
                </c:pt>
                <c:pt idx="405">
                  <c:v>70</c:v>
                </c:pt>
                <c:pt idx="406">
                  <c:v>75</c:v>
                </c:pt>
                <c:pt idx="407">
                  <c:v>68</c:v>
                </c:pt>
                <c:pt idx="408">
                  <c:v>68</c:v>
                </c:pt>
                <c:pt idx="409">
                  <c:v>76</c:v>
                </c:pt>
                <c:pt idx="410">
                  <c:v>73</c:v>
                </c:pt>
                <c:pt idx="411">
                  <c:v>74</c:v>
                </c:pt>
                <c:pt idx="412">
                  <c:v>75</c:v>
                </c:pt>
                <c:pt idx="413">
                  <c:v>69</c:v>
                </c:pt>
                <c:pt idx="414">
                  <c:v>68</c:v>
                </c:pt>
                <c:pt idx="415">
                  <c:v>78</c:v>
                </c:pt>
                <c:pt idx="416">
                  <c:v>70</c:v>
                </c:pt>
                <c:pt idx="417">
                  <c:v>68</c:v>
                </c:pt>
                <c:pt idx="418">
                  <c:v>75</c:v>
                </c:pt>
                <c:pt idx="419">
                  <c:v>74</c:v>
                </c:pt>
                <c:pt idx="420">
                  <c:v>74</c:v>
                </c:pt>
                <c:pt idx="421">
                  <c:v>80</c:v>
                </c:pt>
                <c:pt idx="422">
                  <c:v>70</c:v>
                </c:pt>
                <c:pt idx="423">
                  <c:v>70</c:v>
                </c:pt>
                <c:pt idx="424">
                  <c:v>64</c:v>
                </c:pt>
                <c:pt idx="425">
                  <c:v>67</c:v>
                </c:pt>
                <c:pt idx="426">
                  <c:v>70</c:v>
                </c:pt>
                <c:pt idx="427">
                  <c:v>67</c:v>
                </c:pt>
                <c:pt idx="428">
                  <c:v>68</c:v>
                </c:pt>
                <c:pt idx="429">
                  <c:v>78</c:v>
                </c:pt>
                <c:pt idx="430">
                  <c:v>68</c:v>
                </c:pt>
                <c:pt idx="431">
                  <c:v>72</c:v>
                </c:pt>
                <c:pt idx="432">
                  <c:v>77</c:v>
                </c:pt>
                <c:pt idx="433">
                  <c:v>70</c:v>
                </c:pt>
                <c:pt idx="434">
                  <c:v>76</c:v>
                </c:pt>
                <c:pt idx="435">
                  <c:v>61</c:v>
                </c:pt>
                <c:pt idx="436">
                  <c:v>66</c:v>
                </c:pt>
                <c:pt idx="437">
                  <c:v>72</c:v>
                </c:pt>
                <c:pt idx="438">
                  <c:v>74</c:v>
                </c:pt>
                <c:pt idx="439">
                  <c:v>62</c:v>
                </c:pt>
                <c:pt idx="440">
                  <c:v>64</c:v>
                </c:pt>
                <c:pt idx="441">
                  <c:v>74</c:v>
                </c:pt>
                <c:pt idx="442">
                  <c:v>69</c:v>
                </c:pt>
                <c:pt idx="443">
                  <c:v>73</c:v>
                </c:pt>
                <c:pt idx="444">
                  <c:v>61</c:v>
                </c:pt>
                <c:pt idx="445">
                  <c:v>68</c:v>
                </c:pt>
                <c:pt idx="446">
                  <c:v>70</c:v>
                </c:pt>
                <c:pt idx="447">
                  <c:v>68</c:v>
                </c:pt>
                <c:pt idx="448">
                  <c:v>65</c:v>
                </c:pt>
                <c:pt idx="449">
                  <c:v>71</c:v>
                </c:pt>
                <c:pt idx="450">
                  <c:v>74</c:v>
                </c:pt>
                <c:pt idx="451">
                  <c:v>74</c:v>
                </c:pt>
                <c:pt idx="452">
                  <c:v>75</c:v>
                </c:pt>
                <c:pt idx="453">
                  <c:v>76</c:v>
                </c:pt>
                <c:pt idx="454">
                  <c:v>72</c:v>
                </c:pt>
                <c:pt idx="455">
                  <c:v>67</c:v>
                </c:pt>
                <c:pt idx="456">
                  <c:v>66</c:v>
                </c:pt>
                <c:pt idx="457">
                  <c:v>66</c:v>
                </c:pt>
                <c:pt idx="458">
                  <c:v>70</c:v>
                </c:pt>
                <c:pt idx="459">
                  <c:v>72</c:v>
                </c:pt>
                <c:pt idx="460">
                  <c:v>71</c:v>
                </c:pt>
                <c:pt idx="461">
                  <c:v>76</c:v>
                </c:pt>
                <c:pt idx="462">
                  <c:v>76</c:v>
                </c:pt>
                <c:pt idx="463">
                  <c:v>64</c:v>
                </c:pt>
                <c:pt idx="464">
                  <c:v>74</c:v>
                </c:pt>
                <c:pt idx="465">
                  <c:v>62</c:v>
                </c:pt>
                <c:pt idx="466">
                  <c:v>66</c:v>
                </c:pt>
                <c:pt idx="467">
                  <c:v>67</c:v>
                </c:pt>
                <c:pt idx="468">
                  <c:v>74</c:v>
                </c:pt>
                <c:pt idx="469">
                  <c:v>70</c:v>
                </c:pt>
                <c:pt idx="470">
                  <c:v>79</c:v>
                </c:pt>
                <c:pt idx="471">
                  <c:v>68</c:v>
                </c:pt>
                <c:pt idx="472">
                  <c:v>63</c:v>
                </c:pt>
                <c:pt idx="473">
                  <c:v>67</c:v>
                </c:pt>
                <c:pt idx="474">
                  <c:v>65</c:v>
                </c:pt>
                <c:pt idx="475">
                  <c:v>70</c:v>
                </c:pt>
                <c:pt idx="476">
                  <c:v>75</c:v>
                </c:pt>
                <c:pt idx="477">
                  <c:v>70</c:v>
                </c:pt>
                <c:pt idx="478">
                  <c:v>68</c:v>
                </c:pt>
                <c:pt idx="479">
                  <c:v>69</c:v>
                </c:pt>
                <c:pt idx="480">
                  <c:v>65</c:v>
                </c:pt>
                <c:pt idx="481">
                  <c:v>66</c:v>
                </c:pt>
                <c:pt idx="482">
                  <c:v>68</c:v>
                </c:pt>
                <c:pt idx="483">
                  <c:v>65</c:v>
                </c:pt>
                <c:pt idx="484">
                  <c:v>67</c:v>
                </c:pt>
                <c:pt idx="485">
                  <c:v>73</c:v>
                </c:pt>
                <c:pt idx="486">
                  <c:v>73</c:v>
                </c:pt>
                <c:pt idx="487">
                  <c:v>70</c:v>
                </c:pt>
                <c:pt idx="488">
                  <c:v>64</c:v>
                </c:pt>
                <c:pt idx="489">
                  <c:v>69</c:v>
                </c:pt>
                <c:pt idx="490">
                  <c:v>68</c:v>
                </c:pt>
                <c:pt idx="491">
                  <c:v>65</c:v>
                </c:pt>
                <c:pt idx="492">
                  <c:v>66</c:v>
                </c:pt>
                <c:pt idx="493">
                  <c:v>66</c:v>
                </c:pt>
                <c:pt idx="494">
                  <c:v>65</c:v>
                </c:pt>
                <c:pt idx="495">
                  <c:v>74</c:v>
                </c:pt>
                <c:pt idx="496">
                  <c:v>70</c:v>
                </c:pt>
                <c:pt idx="497">
                  <c:v>72</c:v>
                </c:pt>
                <c:pt idx="498">
                  <c:v>66</c:v>
                </c:pt>
                <c:pt idx="499">
                  <c:v>66</c:v>
                </c:pt>
                <c:pt idx="500">
                  <c:v>72</c:v>
                </c:pt>
                <c:pt idx="501">
                  <c:v>69</c:v>
                </c:pt>
                <c:pt idx="502">
                  <c:v>70</c:v>
                </c:pt>
                <c:pt idx="503">
                  <c:v>68</c:v>
                </c:pt>
                <c:pt idx="504">
                  <c:v>64</c:v>
                </c:pt>
                <c:pt idx="505">
                  <c:v>64</c:v>
                </c:pt>
                <c:pt idx="506">
                  <c:v>67</c:v>
                </c:pt>
                <c:pt idx="507">
                  <c:v>65</c:v>
                </c:pt>
                <c:pt idx="508">
                  <c:v>73</c:v>
                </c:pt>
                <c:pt idx="509">
                  <c:v>67</c:v>
                </c:pt>
                <c:pt idx="510">
                  <c:v>63</c:v>
                </c:pt>
                <c:pt idx="511">
                  <c:v>63</c:v>
                </c:pt>
                <c:pt idx="512">
                  <c:v>69</c:v>
                </c:pt>
                <c:pt idx="513">
                  <c:v>62</c:v>
                </c:pt>
                <c:pt idx="514">
                  <c:v>69</c:v>
                </c:pt>
                <c:pt idx="515">
                  <c:v>62</c:v>
                </c:pt>
                <c:pt idx="516">
                  <c:v>70</c:v>
                </c:pt>
                <c:pt idx="517">
                  <c:v>67</c:v>
                </c:pt>
                <c:pt idx="518">
                  <c:v>70</c:v>
                </c:pt>
                <c:pt idx="519">
                  <c:v>68</c:v>
                </c:pt>
                <c:pt idx="520">
                  <c:v>70</c:v>
                </c:pt>
                <c:pt idx="521">
                  <c:v>69</c:v>
                </c:pt>
                <c:pt idx="522">
                  <c:v>70</c:v>
                </c:pt>
                <c:pt idx="523">
                  <c:v>70</c:v>
                </c:pt>
                <c:pt idx="524">
                  <c:v>64</c:v>
                </c:pt>
                <c:pt idx="525">
                  <c:v>72</c:v>
                </c:pt>
                <c:pt idx="526">
                  <c:v>69</c:v>
                </c:pt>
                <c:pt idx="527">
                  <c:v>68</c:v>
                </c:pt>
                <c:pt idx="528">
                  <c:v>63</c:v>
                </c:pt>
                <c:pt idx="529">
                  <c:v>59</c:v>
                </c:pt>
                <c:pt idx="530">
                  <c:v>65</c:v>
                </c:pt>
                <c:pt idx="531">
                  <c:v>68</c:v>
                </c:pt>
                <c:pt idx="532">
                  <c:v>63</c:v>
                </c:pt>
                <c:pt idx="533">
                  <c:v>68</c:v>
                </c:pt>
                <c:pt idx="534">
                  <c:v>70</c:v>
                </c:pt>
                <c:pt idx="535">
                  <c:v>69</c:v>
                </c:pt>
                <c:pt idx="536">
                  <c:v>74</c:v>
                </c:pt>
                <c:pt idx="537">
                  <c:v>74</c:v>
                </c:pt>
                <c:pt idx="538">
                  <c:v>75</c:v>
                </c:pt>
                <c:pt idx="539">
                  <c:v>70</c:v>
                </c:pt>
                <c:pt idx="540">
                  <c:v>60</c:v>
                </c:pt>
                <c:pt idx="541">
                  <c:v>73</c:v>
                </c:pt>
                <c:pt idx="542">
                  <c:v>74</c:v>
                </c:pt>
                <c:pt idx="543">
                  <c:v>60</c:v>
                </c:pt>
                <c:pt idx="544">
                  <c:v>65</c:v>
                </c:pt>
                <c:pt idx="545">
                  <c:v>75</c:v>
                </c:pt>
                <c:pt idx="546">
                  <c:v>63</c:v>
                </c:pt>
                <c:pt idx="547">
                  <c:v>60</c:v>
                </c:pt>
                <c:pt idx="548">
                  <c:v>67</c:v>
                </c:pt>
                <c:pt idx="549">
                  <c:v>61</c:v>
                </c:pt>
                <c:pt idx="550">
                  <c:v>71</c:v>
                </c:pt>
                <c:pt idx="551">
                  <c:v>68</c:v>
                </c:pt>
                <c:pt idx="552">
                  <c:v>67</c:v>
                </c:pt>
                <c:pt idx="553">
                  <c:v>68</c:v>
                </c:pt>
                <c:pt idx="554">
                  <c:v>68</c:v>
                </c:pt>
                <c:pt idx="555">
                  <c:v>67</c:v>
                </c:pt>
                <c:pt idx="556">
                  <c:v>61</c:v>
                </c:pt>
                <c:pt idx="557">
                  <c:v>68</c:v>
                </c:pt>
                <c:pt idx="558">
                  <c:v>72</c:v>
                </c:pt>
                <c:pt idx="559">
                  <c:v>70</c:v>
                </c:pt>
                <c:pt idx="560">
                  <c:v>67</c:v>
                </c:pt>
                <c:pt idx="561">
                  <c:v>67</c:v>
                </c:pt>
                <c:pt idx="562">
                  <c:v>66</c:v>
                </c:pt>
                <c:pt idx="563">
                  <c:v>66</c:v>
                </c:pt>
                <c:pt idx="564">
                  <c:v>60</c:v>
                </c:pt>
                <c:pt idx="565">
                  <c:v>62</c:v>
                </c:pt>
                <c:pt idx="566">
                  <c:v>60</c:v>
                </c:pt>
                <c:pt idx="567">
                  <c:v>69</c:v>
                </c:pt>
                <c:pt idx="568">
                  <c:v>65</c:v>
                </c:pt>
                <c:pt idx="569">
                  <c:v>73</c:v>
                </c:pt>
                <c:pt idx="570">
                  <c:v>62</c:v>
                </c:pt>
                <c:pt idx="571">
                  <c:v>68</c:v>
                </c:pt>
                <c:pt idx="572">
                  <c:v>57</c:v>
                </c:pt>
                <c:pt idx="573">
                  <c:v>66</c:v>
                </c:pt>
                <c:pt idx="574">
                  <c:v>65</c:v>
                </c:pt>
                <c:pt idx="575">
                  <c:v>67</c:v>
                </c:pt>
                <c:pt idx="576">
                  <c:v>61</c:v>
                </c:pt>
                <c:pt idx="577">
                  <c:v>70</c:v>
                </c:pt>
                <c:pt idx="578">
                  <c:v>57</c:v>
                </c:pt>
                <c:pt idx="579">
                  <c:v>65</c:v>
                </c:pt>
                <c:pt idx="580">
                  <c:v>62</c:v>
                </c:pt>
                <c:pt idx="581">
                  <c:v>64</c:v>
                </c:pt>
                <c:pt idx="582">
                  <c:v>65</c:v>
                </c:pt>
                <c:pt idx="583">
                  <c:v>61</c:v>
                </c:pt>
                <c:pt idx="584">
                  <c:v>63</c:v>
                </c:pt>
                <c:pt idx="585">
                  <c:v>66</c:v>
                </c:pt>
                <c:pt idx="586">
                  <c:v>64</c:v>
                </c:pt>
                <c:pt idx="587">
                  <c:v>70</c:v>
                </c:pt>
                <c:pt idx="588">
                  <c:v>66</c:v>
                </c:pt>
                <c:pt idx="589">
                  <c:v>61</c:v>
                </c:pt>
                <c:pt idx="590">
                  <c:v>64</c:v>
                </c:pt>
                <c:pt idx="591">
                  <c:v>66</c:v>
                </c:pt>
                <c:pt idx="592">
                  <c:v>61</c:v>
                </c:pt>
                <c:pt idx="593">
                  <c:v>62</c:v>
                </c:pt>
                <c:pt idx="594">
                  <c:v>63</c:v>
                </c:pt>
                <c:pt idx="595">
                  <c:v>73</c:v>
                </c:pt>
                <c:pt idx="596">
                  <c:v>63</c:v>
                </c:pt>
                <c:pt idx="597">
                  <c:v>73</c:v>
                </c:pt>
                <c:pt idx="598">
                  <c:v>62</c:v>
                </c:pt>
                <c:pt idx="599">
                  <c:v>67</c:v>
                </c:pt>
                <c:pt idx="600">
                  <c:v>62</c:v>
                </c:pt>
                <c:pt idx="601">
                  <c:v>72</c:v>
                </c:pt>
                <c:pt idx="602">
                  <c:v>60</c:v>
                </c:pt>
                <c:pt idx="603">
                  <c:v>58</c:v>
                </c:pt>
                <c:pt idx="604">
                  <c:v>62</c:v>
                </c:pt>
                <c:pt idx="605">
                  <c:v>66</c:v>
                </c:pt>
                <c:pt idx="606">
                  <c:v>61</c:v>
                </c:pt>
                <c:pt idx="607">
                  <c:v>64</c:v>
                </c:pt>
                <c:pt idx="608">
                  <c:v>73</c:v>
                </c:pt>
                <c:pt idx="609">
                  <c:v>69</c:v>
                </c:pt>
                <c:pt idx="610">
                  <c:v>61</c:v>
                </c:pt>
                <c:pt idx="611">
                  <c:v>65</c:v>
                </c:pt>
                <c:pt idx="612">
                  <c:v>62</c:v>
                </c:pt>
                <c:pt idx="613">
                  <c:v>59</c:v>
                </c:pt>
                <c:pt idx="614">
                  <c:v>70</c:v>
                </c:pt>
                <c:pt idx="615">
                  <c:v>#N/A</c:v>
                </c:pt>
                <c:pt idx="616">
                  <c:v>64</c:v>
                </c:pt>
                <c:pt idx="617">
                  <c:v>70</c:v>
                </c:pt>
                <c:pt idx="618">
                  <c:v>60</c:v>
                </c:pt>
                <c:pt idx="619">
                  <c:v>62</c:v>
                </c:pt>
                <c:pt idx="620">
                  <c:v>62</c:v>
                </c:pt>
                <c:pt idx="621">
                  <c:v>#N/A</c:v>
                </c:pt>
                <c:pt idx="622">
                  <c:v>61</c:v>
                </c:pt>
                <c:pt idx="623">
                  <c:v>59</c:v>
                </c:pt>
                <c:pt idx="624">
                  <c:v>62</c:v>
                </c:pt>
                <c:pt idx="625">
                  <c:v>63</c:v>
                </c:pt>
                <c:pt idx="626">
                  <c:v>58</c:v>
                </c:pt>
                <c:pt idx="627">
                  <c:v>61</c:v>
                </c:pt>
                <c:pt idx="628">
                  <c:v>58</c:v>
                </c:pt>
                <c:pt idx="629">
                  <c:v>57</c:v>
                </c:pt>
                <c:pt idx="630">
                  <c:v>69</c:v>
                </c:pt>
                <c:pt idx="631">
                  <c:v>68</c:v>
                </c:pt>
                <c:pt idx="632">
                  <c:v>65</c:v>
                </c:pt>
                <c:pt idx="633">
                  <c:v>64</c:v>
                </c:pt>
                <c:pt idx="634">
                  <c:v>60</c:v>
                </c:pt>
                <c:pt idx="635">
                  <c:v>64</c:v>
                </c:pt>
                <c:pt idx="636">
                  <c:v>66</c:v>
                </c:pt>
                <c:pt idx="637">
                  <c:v>61</c:v>
                </c:pt>
                <c:pt idx="638">
                  <c:v>54</c:v>
                </c:pt>
                <c:pt idx="639">
                  <c:v>67</c:v>
                </c:pt>
                <c:pt idx="640">
                  <c:v>59</c:v>
                </c:pt>
                <c:pt idx="641">
                  <c:v>58</c:v>
                </c:pt>
                <c:pt idx="642">
                  <c:v>62</c:v>
                </c:pt>
                <c:pt idx="643">
                  <c:v>63</c:v>
                </c:pt>
                <c:pt idx="644">
                  <c:v>62</c:v>
                </c:pt>
                <c:pt idx="645">
                  <c:v>57</c:v>
                </c:pt>
                <c:pt idx="646">
                  <c:v>60</c:v>
                </c:pt>
                <c:pt idx="647">
                  <c:v>63</c:v>
                </c:pt>
                <c:pt idx="648">
                  <c:v>65</c:v>
                </c:pt>
                <c:pt idx="649">
                  <c:v>61</c:v>
                </c:pt>
                <c:pt idx="650">
                  <c:v>67</c:v>
                </c:pt>
                <c:pt idx="651">
                  <c:v>57</c:v>
                </c:pt>
                <c:pt idx="652">
                  <c:v>65</c:v>
                </c:pt>
                <c:pt idx="653">
                  <c:v>50</c:v>
                </c:pt>
                <c:pt idx="654">
                  <c:v>66</c:v>
                </c:pt>
                <c:pt idx="655">
                  <c:v>59</c:v>
                </c:pt>
                <c:pt idx="656">
                  <c:v>54</c:v>
                </c:pt>
                <c:pt idx="657">
                  <c:v>62</c:v>
                </c:pt>
                <c:pt idx="658">
                  <c:v>62</c:v>
                </c:pt>
                <c:pt idx="659">
                  <c:v>61</c:v>
                </c:pt>
                <c:pt idx="660">
                  <c:v>68</c:v>
                </c:pt>
                <c:pt idx="661">
                  <c:v>59</c:v>
                </c:pt>
                <c:pt idx="662">
                  <c:v>92</c:v>
                </c:pt>
                <c:pt idx="663">
                  <c:v>60</c:v>
                </c:pt>
                <c:pt idx="664">
                  <c:v>63</c:v>
                </c:pt>
                <c:pt idx="665">
                  <c:v>56</c:v>
                </c:pt>
                <c:pt idx="666">
                  <c:v>53</c:v>
                </c:pt>
                <c:pt idx="667">
                  <c:v>56</c:v>
                </c:pt>
                <c:pt idx="668">
                  <c:v>62</c:v>
                </c:pt>
                <c:pt idx="669">
                  <c:v>55</c:v>
                </c:pt>
                <c:pt idx="670">
                  <c:v>62</c:v>
                </c:pt>
                <c:pt idx="671">
                  <c:v>60</c:v>
                </c:pt>
                <c:pt idx="672">
                  <c:v>57</c:v>
                </c:pt>
                <c:pt idx="673">
                  <c:v>57</c:v>
                </c:pt>
                <c:pt idx="674">
                  <c:v>53</c:v>
                </c:pt>
                <c:pt idx="675">
                  <c:v>#N/A</c:v>
                </c:pt>
                <c:pt idx="676">
                  <c:v>63</c:v>
                </c:pt>
                <c:pt idx="677">
                  <c:v>67</c:v>
                </c:pt>
                <c:pt idx="678">
                  <c:v>64</c:v>
                </c:pt>
                <c:pt idx="679">
                  <c:v>66</c:v>
                </c:pt>
                <c:pt idx="680">
                  <c:v>59</c:v>
                </c:pt>
                <c:pt idx="681">
                  <c:v>64</c:v>
                </c:pt>
                <c:pt idx="682">
                  <c:v>62</c:v>
                </c:pt>
                <c:pt idx="683">
                  <c:v>65</c:v>
                </c:pt>
                <c:pt idx="684">
                  <c:v>66</c:v>
                </c:pt>
                <c:pt idx="685">
                  <c:v>55</c:v>
                </c:pt>
                <c:pt idx="686">
                  <c:v>55</c:v>
                </c:pt>
                <c:pt idx="687">
                  <c:v>54</c:v>
                </c:pt>
                <c:pt idx="688">
                  <c:v>61</c:v>
                </c:pt>
                <c:pt idx="689">
                  <c:v>57</c:v>
                </c:pt>
                <c:pt idx="690">
                  <c:v>64</c:v>
                </c:pt>
                <c:pt idx="691">
                  <c:v>58</c:v>
                </c:pt>
                <c:pt idx="692">
                  <c:v>53</c:v>
                </c:pt>
                <c:pt idx="693">
                  <c:v>51</c:v>
                </c:pt>
                <c:pt idx="694">
                  <c:v>62</c:v>
                </c:pt>
                <c:pt idx="695">
                  <c:v>60</c:v>
                </c:pt>
                <c:pt idx="696">
                  <c:v>63</c:v>
                </c:pt>
                <c:pt idx="697">
                  <c:v>52</c:v>
                </c:pt>
                <c:pt idx="698">
                  <c:v>53</c:v>
                </c:pt>
                <c:pt idx="699">
                  <c:v>65</c:v>
                </c:pt>
                <c:pt idx="700">
                  <c:v>57</c:v>
                </c:pt>
                <c:pt idx="701">
                  <c:v>59</c:v>
                </c:pt>
                <c:pt idx="702">
                  <c:v>56</c:v>
                </c:pt>
                <c:pt idx="703">
                  <c:v>66</c:v>
                </c:pt>
                <c:pt idx="704">
                  <c:v>62</c:v>
                </c:pt>
                <c:pt idx="705">
                  <c:v>57</c:v>
                </c:pt>
                <c:pt idx="706">
                  <c:v>55</c:v>
                </c:pt>
                <c:pt idx="707">
                  <c:v>65</c:v>
                </c:pt>
                <c:pt idx="708">
                  <c:v>58</c:v>
                </c:pt>
                <c:pt idx="709">
                  <c:v>61</c:v>
                </c:pt>
                <c:pt idx="710">
                  <c:v>52</c:v>
                </c:pt>
                <c:pt idx="711">
                  <c:v>62</c:v>
                </c:pt>
                <c:pt idx="712">
                  <c:v>57</c:v>
                </c:pt>
                <c:pt idx="713">
                  <c:v>53</c:v>
                </c:pt>
                <c:pt idx="714">
                  <c:v>66</c:v>
                </c:pt>
                <c:pt idx="715">
                  <c:v>61</c:v>
                </c:pt>
                <c:pt idx="716">
                  <c:v>56</c:v>
                </c:pt>
                <c:pt idx="717">
                  <c:v>57</c:v>
                </c:pt>
                <c:pt idx="718">
                  <c:v>61</c:v>
                </c:pt>
                <c:pt idx="719">
                  <c:v>59</c:v>
                </c:pt>
                <c:pt idx="720">
                  <c:v>56</c:v>
                </c:pt>
                <c:pt idx="721">
                  <c:v>#N/A</c:v>
                </c:pt>
                <c:pt idx="722">
                  <c:v>54</c:v>
                </c:pt>
                <c:pt idx="723">
                  <c:v>90</c:v>
                </c:pt>
                <c:pt idx="724">
                  <c:v>59</c:v>
                </c:pt>
                <c:pt idx="725">
                  <c:v>62</c:v>
                </c:pt>
                <c:pt idx="726">
                  <c:v>51</c:v>
                </c:pt>
                <c:pt idx="727">
                  <c:v>58</c:v>
                </c:pt>
                <c:pt idx="728">
                  <c:v>78</c:v>
                </c:pt>
                <c:pt idx="729">
                  <c:v>67</c:v>
                </c:pt>
                <c:pt idx="730">
                  <c:v>55</c:v>
                </c:pt>
                <c:pt idx="731">
                  <c:v>49</c:v>
                </c:pt>
                <c:pt idx="732">
                  <c:v>52</c:v>
                </c:pt>
                <c:pt idx="733">
                  <c:v>54</c:v>
                </c:pt>
                <c:pt idx="734">
                  <c:v>52</c:v>
                </c:pt>
                <c:pt idx="735">
                  <c:v>57</c:v>
                </c:pt>
                <c:pt idx="736">
                  <c:v>55</c:v>
                </c:pt>
                <c:pt idx="737">
                  <c:v>53</c:v>
                </c:pt>
                <c:pt idx="738">
                  <c:v>52</c:v>
                </c:pt>
                <c:pt idx="739">
                  <c:v>90</c:v>
                </c:pt>
                <c:pt idx="740">
                  <c:v>56</c:v>
                </c:pt>
                <c:pt idx="741">
                  <c:v>54</c:v>
                </c:pt>
                <c:pt idx="742">
                  <c:v>#N/A</c:v>
                </c:pt>
                <c:pt idx="743">
                  <c:v>57</c:v>
                </c:pt>
                <c:pt idx="744">
                  <c:v>54</c:v>
                </c:pt>
                <c:pt idx="745">
                  <c:v>60</c:v>
                </c:pt>
                <c:pt idx="746">
                  <c:v>60</c:v>
                </c:pt>
                <c:pt idx="747">
                  <c:v>55</c:v>
                </c:pt>
                <c:pt idx="748">
                  <c:v>58</c:v>
                </c:pt>
                <c:pt idx="749">
                  <c:v>62</c:v>
                </c:pt>
                <c:pt idx="750">
                  <c:v>54</c:v>
                </c:pt>
                <c:pt idx="751">
                  <c:v>59</c:v>
                </c:pt>
                <c:pt idx="752">
                  <c:v>64</c:v>
                </c:pt>
                <c:pt idx="753">
                  <c:v>52</c:v>
                </c:pt>
                <c:pt idx="754">
                  <c:v>58</c:v>
                </c:pt>
                <c:pt idx="755">
                  <c:v>54</c:v>
                </c:pt>
                <c:pt idx="756">
                  <c:v>51</c:v>
                </c:pt>
                <c:pt idx="757">
                  <c:v>56</c:v>
                </c:pt>
                <c:pt idx="758">
                  <c:v>57</c:v>
                </c:pt>
                <c:pt idx="759">
                  <c:v>64</c:v>
                </c:pt>
                <c:pt idx="760">
                  <c:v>53</c:v>
                </c:pt>
                <c:pt idx="761">
                  <c:v>50</c:v>
                </c:pt>
                <c:pt idx="762">
                  <c:v>53</c:v>
                </c:pt>
                <c:pt idx="763">
                  <c:v>56</c:v>
                </c:pt>
                <c:pt idx="764">
                  <c:v>60</c:v>
                </c:pt>
                <c:pt idx="765">
                  <c:v>56</c:v>
                </c:pt>
                <c:pt idx="766">
                  <c:v>54</c:v>
                </c:pt>
                <c:pt idx="767">
                  <c:v>56</c:v>
                </c:pt>
                <c:pt idx="768">
                  <c:v>60</c:v>
                </c:pt>
                <c:pt idx="769">
                  <c:v>59</c:v>
                </c:pt>
                <c:pt idx="770">
                  <c:v>49</c:v>
                </c:pt>
                <c:pt idx="771">
                  <c:v>55</c:v>
                </c:pt>
                <c:pt idx="772">
                  <c:v>53</c:v>
                </c:pt>
                <c:pt idx="773">
                  <c:v>61</c:v>
                </c:pt>
                <c:pt idx="774">
                  <c:v>56</c:v>
                </c:pt>
                <c:pt idx="775">
                  <c:v>#N/A</c:v>
                </c:pt>
                <c:pt idx="776">
                  <c:v>52</c:v>
                </c:pt>
                <c:pt idx="777">
                  <c:v>52</c:v>
                </c:pt>
                <c:pt idx="778">
                  <c:v>60</c:v>
                </c:pt>
                <c:pt idx="779">
                  <c:v>56</c:v>
                </c:pt>
                <c:pt idx="780">
                  <c:v>52</c:v>
                </c:pt>
                <c:pt idx="781">
                  <c:v>57</c:v>
                </c:pt>
                <c:pt idx="782">
                  <c:v>51</c:v>
                </c:pt>
                <c:pt idx="783">
                  <c:v>52</c:v>
                </c:pt>
                <c:pt idx="784">
                  <c:v>54</c:v>
                </c:pt>
                <c:pt idx="785">
                  <c:v>54</c:v>
                </c:pt>
                <c:pt idx="786">
                  <c:v>55</c:v>
                </c:pt>
                <c:pt idx="787">
                  <c:v>50</c:v>
                </c:pt>
                <c:pt idx="788">
                  <c:v>60</c:v>
                </c:pt>
                <c:pt idx="789">
                  <c:v>51</c:v>
                </c:pt>
                <c:pt idx="790">
                  <c:v>52</c:v>
                </c:pt>
                <c:pt idx="791">
                  <c:v>80</c:v>
                </c:pt>
                <c:pt idx="792">
                  <c:v>58</c:v>
                </c:pt>
                <c:pt idx="793">
                  <c:v>55</c:v>
                </c:pt>
                <c:pt idx="794">
                  <c:v>55</c:v>
                </c:pt>
                <c:pt idx="795">
                  <c:v>54</c:v>
                </c:pt>
                <c:pt idx="796">
                  <c:v>58</c:v>
                </c:pt>
                <c:pt idx="797">
                  <c:v>48</c:v>
                </c:pt>
                <c:pt idx="798">
                  <c:v>54</c:v>
                </c:pt>
                <c:pt idx="799">
                  <c:v>57</c:v>
                </c:pt>
                <c:pt idx="800">
                  <c:v>76</c:v>
                </c:pt>
                <c:pt idx="801">
                  <c:v>52</c:v>
                </c:pt>
                <c:pt idx="802">
                  <c:v>58</c:v>
                </c:pt>
                <c:pt idx="803">
                  <c:v>58</c:v>
                </c:pt>
                <c:pt idx="804">
                  <c:v>#N/A</c:v>
                </c:pt>
                <c:pt idx="805">
                  <c:v>54</c:v>
                </c:pt>
                <c:pt idx="806">
                  <c:v>57</c:v>
                </c:pt>
                <c:pt idx="807">
                  <c:v>53</c:v>
                </c:pt>
                <c:pt idx="808">
                  <c:v>54</c:v>
                </c:pt>
                <c:pt idx="809">
                  <c:v>50</c:v>
                </c:pt>
                <c:pt idx="810">
                  <c:v>78</c:v>
                </c:pt>
                <c:pt idx="811">
                  <c:v>57</c:v>
                </c:pt>
                <c:pt idx="812">
                  <c:v>58</c:v>
                </c:pt>
                <c:pt idx="813">
                  <c:v>52</c:v>
                </c:pt>
                <c:pt idx="814">
                  <c:v>58</c:v>
                </c:pt>
                <c:pt idx="815">
                  <c:v>52</c:v>
                </c:pt>
                <c:pt idx="816">
                  <c:v>47</c:v>
                </c:pt>
                <c:pt idx="817">
                  <c:v>52</c:v>
                </c:pt>
                <c:pt idx="818">
                  <c:v>88</c:v>
                </c:pt>
                <c:pt idx="819">
                  <c:v>51</c:v>
                </c:pt>
                <c:pt idx="820">
                  <c:v>46</c:v>
                </c:pt>
                <c:pt idx="821">
                  <c:v>43</c:v>
                </c:pt>
                <c:pt idx="822">
                  <c:v>47</c:v>
                </c:pt>
                <c:pt idx="823">
                  <c:v>52</c:v>
                </c:pt>
                <c:pt idx="824">
                  <c:v>48</c:v>
                </c:pt>
                <c:pt idx="825">
                  <c:v>49</c:v>
                </c:pt>
                <c:pt idx="826">
                  <c:v>50</c:v>
                </c:pt>
                <c:pt idx="827">
                  <c:v>51</c:v>
                </c:pt>
                <c:pt idx="828">
                  <c:v>51</c:v>
                </c:pt>
                <c:pt idx="829">
                  <c:v>54</c:v>
                </c:pt>
                <c:pt idx="830">
                  <c:v>48</c:v>
                </c:pt>
                <c:pt idx="831">
                  <c:v>54</c:v>
                </c:pt>
                <c:pt idx="832">
                  <c:v>#N/A</c:v>
                </c:pt>
                <c:pt idx="833">
                  <c:v>48</c:v>
                </c:pt>
                <c:pt idx="834">
                  <c:v>46</c:v>
                </c:pt>
                <c:pt idx="835">
                  <c:v>44</c:v>
                </c:pt>
                <c:pt idx="836">
                  <c:v>53</c:v>
                </c:pt>
                <c:pt idx="837">
                  <c:v>51</c:v>
                </c:pt>
                <c:pt idx="838">
                  <c:v>53</c:v>
                </c:pt>
                <c:pt idx="839">
                  <c:v>47</c:v>
                </c:pt>
                <c:pt idx="840">
                  <c:v>52</c:v>
                </c:pt>
                <c:pt idx="841">
                  <c:v>49</c:v>
                </c:pt>
                <c:pt idx="842">
                  <c:v>77</c:v>
                </c:pt>
                <c:pt idx="843">
                  <c:v>#N/A</c:v>
                </c:pt>
                <c:pt idx="844">
                  <c:v>52</c:v>
                </c:pt>
                <c:pt idx="845">
                  <c:v>49</c:v>
                </c:pt>
                <c:pt idx="846">
                  <c:v>53</c:v>
                </c:pt>
                <c:pt idx="847">
                  <c:v>55</c:v>
                </c:pt>
                <c:pt idx="848">
                  <c:v>43</c:v>
                </c:pt>
                <c:pt idx="849">
                  <c:v>45</c:v>
                </c:pt>
                <c:pt idx="850">
                  <c:v>54</c:v>
                </c:pt>
                <c:pt idx="851">
                  <c:v>45</c:v>
                </c:pt>
                <c:pt idx="852">
                  <c:v>54</c:v>
                </c:pt>
                <c:pt idx="853">
                  <c:v>46</c:v>
                </c:pt>
                <c:pt idx="854">
                  <c:v>51</c:v>
                </c:pt>
                <c:pt idx="855">
                  <c:v>53</c:v>
                </c:pt>
                <c:pt idx="856">
                  <c:v>54</c:v>
                </c:pt>
                <c:pt idx="857">
                  <c:v>47</c:v>
                </c:pt>
                <c:pt idx="858">
                  <c:v>51</c:v>
                </c:pt>
                <c:pt idx="859">
                  <c:v>54</c:v>
                </c:pt>
                <c:pt idx="860">
                  <c:v>81</c:v>
                </c:pt>
                <c:pt idx="861">
                  <c:v>51</c:v>
                </c:pt>
                <c:pt idx="862">
                  <c:v>52</c:v>
                </c:pt>
                <c:pt idx="863">
                  <c:v>47</c:v>
                </c:pt>
                <c:pt idx="864">
                  <c:v>60</c:v>
                </c:pt>
                <c:pt idx="865">
                  <c:v>54</c:v>
                </c:pt>
                <c:pt idx="866">
                  <c:v>55</c:v>
                </c:pt>
                <c:pt idx="867">
                  <c:v>56</c:v>
                </c:pt>
                <c:pt idx="868">
                  <c:v>51</c:v>
                </c:pt>
                <c:pt idx="869">
                  <c:v>42</c:v>
                </c:pt>
                <c:pt idx="870">
                  <c:v>53</c:v>
                </c:pt>
                <c:pt idx="871">
                  <c:v>49</c:v>
                </c:pt>
                <c:pt idx="872">
                  <c:v>#N/A</c:v>
                </c:pt>
                <c:pt idx="873">
                  <c:v>44</c:v>
                </c:pt>
                <c:pt idx="874">
                  <c:v>50</c:v>
                </c:pt>
                <c:pt idx="875">
                  <c:v>54</c:v>
                </c:pt>
                <c:pt idx="876">
                  <c:v>53</c:v>
                </c:pt>
                <c:pt idx="877">
                  <c:v>47</c:v>
                </c:pt>
                <c:pt idx="878">
                  <c:v>47</c:v>
                </c:pt>
                <c:pt idx="879">
                  <c:v>42</c:v>
                </c:pt>
                <c:pt idx="880">
                  <c:v>44</c:v>
                </c:pt>
                <c:pt idx="881">
                  <c:v>51</c:v>
                </c:pt>
                <c:pt idx="882">
                  <c:v>46</c:v>
                </c:pt>
                <c:pt idx="883">
                  <c:v>50</c:v>
                </c:pt>
                <c:pt idx="884">
                  <c:v>41</c:v>
                </c:pt>
                <c:pt idx="885">
                  <c:v>74</c:v>
                </c:pt>
                <c:pt idx="886">
                  <c:v>49</c:v>
                </c:pt>
                <c:pt idx="887">
                  <c:v>73</c:v>
                </c:pt>
                <c:pt idx="888">
                  <c:v>44</c:v>
                </c:pt>
                <c:pt idx="889">
                  <c:v>68</c:v>
                </c:pt>
                <c:pt idx="890">
                  <c:v>45</c:v>
                </c:pt>
                <c:pt idx="891">
                  <c:v>51</c:v>
                </c:pt>
                <c:pt idx="892">
                  <c:v>51</c:v>
                </c:pt>
                <c:pt idx="893">
                  <c:v>#N/A</c:v>
                </c:pt>
                <c:pt idx="894">
                  <c:v>44</c:v>
                </c:pt>
                <c:pt idx="895">
                  <c:v>72</c:v>
                </c:pt>
                <c:pt idx="896">
                  <c:v>81</c:v>
                </c:pt>
                <c:pt idx="897">
                  <c:v>51</c:v>
                </c:pt>
                <c:pt idx="898">
                  <c:v>#N/A</c:v>
                </c:pt>
                <c:pt idx="899">
                  <c:v>43</c:v>
                </c:pt>
                <c:pt idx="900">
                  <c:v>41</c:v>
                </c:pt>
                <c:pt idx="901">
                  <c:v>48</c:v>
                </c:pt>
                <c:pt idx="902">
                  <c:v>43</c:v>
                </c:pt>
                <c:pt idx="903">
                  <c:v>48</c:v>
                </c:pt>
                <c:pt idx="904">
                  <c:v>#N/A</c:v>
                </c:pt>
                <c:pt idx="905">
                  <c:v>77</c:v>
                </c:pt>
                <c:pt idx="906">
                  <c:v>42</c:v>
                </c:pt>
                <c:pt idx="907">
                  <c:v>49</c:v>
                </c:pt>
                <c:pt idx="908">
                  <c:v>48</c:v>
                </c:pt>
                <c:pt idx="909">
                  <c:v>47</c:v>
                </c:pt>
                <c:pt idx="910">
                  <c:v>42</c:v>
                </c:pt>
                <c:pt idx="911">
                  <c:v>68</c:v>
                </c:pt>
                <c:pt idx="912">
                  <c:v>70</c:v>
                </c:pt>
                <c:pt idx="913">
                  <c:v>48</c:v>
                </c:pt>
                <c:pt idx="914">
                  <c:v>42</c:v>
                </c:pt>
                <c:pt idx="915">
                  <c:v>41</c:v>
                </c:pt>
                <c:pt idx="916">
                  <c:v>45</c:v>
                </c:pt>
                <c:pt idx="917">
                  <c:v>43</c:v>
                </c:pt>
                <c:pt idx="918">
                  <c:v>64</c:v>
                </c:pt>
                <c:pt idx="919">
                  <c:v>68</c:v>
                </c:pt>
                <c:pt idx="920">
                  <c:v>50</c:v>
                </c:pt>
                <c:pt idx="921">
                  <c:v>50</c:v>
                </c:pt>
                <c:pt idx="922">
                  <c:v>40</c:v>
                </c:pt>
                <c:pt idx="923">
                  <c:v>46</c:v>
                </c:pt>
                <c:pt idx="924">
                  <c:v>72</c:v>
                </c:pt>
                <c:pt idx="925">
                  <c:v>50</c:v>
                </c:pt>
                <c:pt idx="926">
                  <c:v>45</c:v>
                </c:pt>
                <c:pt idx="927">
                  <c:v>43</c:v>
                </c:pt>
                <c:pt idx="928">
                  <c:v>#N/A</c:v>
                </c:pt>
                <c:pt idx="929">
                  <c:v>42</c:v>
                </c:pt>
                <c:pt idx="930">
                  <c:v>46</c:v>
                </c:pt>
                <c:pt idx="931">
                  <c:v>41</c:v>
                </c:pt>
                <c:pt idx="932">
                  <c:v>46</c:v>
                </c:pt>
                <c:pt idx="933">
                  <c:v>45</c:v>
                </c:pt>
                <c:pt idx="934">
                  <c:v>#N/A</c:v>
                </c:pt>
                <c:pt idx="935">
                  <c:v>44</c:v>
                </c:pt>
                <c:pt idx="936">
                  <c:v>45</c:v>
                </c:pt>
                <c:pt idx="937">
                  <c:v>#N/A</c:v>
                </c:pt>
                <c:pt idx="938">
                  <c:v>43</c:v>
                </c:pt>
                <c:pt idx="939">
                  <c:v>42</c:v>
                </c:pt>
                <c:pt idx="940">
                  <c:v>41</c:v>
                </c:pt>
                <c:pt idx="941">
                  <c:v>40</c:v>
                </c:pt>
                <c:pt idx="942">
                  <c:v>43</c:v>
                </c:pt>
                <c:pt idx="943">
                  <c:v>43</c:v>
                </c:pt>
                <c:pt idx="944">
                  <c:v>41</c:v>
                </c:pt>
                <c:pt idx="945">
                  <c:v>68</c:v>
                </c:pt>
                <c:pt idx="946">
                  <c:v>64</c:v>
                </c:pt>
                <c:pt idx="947">
                  <c:v>46</c:v>
                </c:pt>
                <c:pt idx="948">
                  <c:v>37</c:v>
                </c:pt>
                <c:pt idx="949">
                  <c:v>60</c:v>
                </c:pt>
                <c:pt idx="950">
                  <c:v>61</c:v>
                </c:pt>
                <c:pt idx="951">
                  <c:v>44</c:v>
                </c:pt>
                <c:pt idx="952">
                  <c:v>40</c:v>
                </c:pt>
                <c:pt idx="953">
                  <c:v>61</c:v>
                </c:pt>
                <c:pt idx="954">
                  <c:v>#N/A</c:v>
                </c:pt>
                <c:pt idx="955">
                  <c:v>#N/A</c:v>
                </c:pt>
                <c:pt idx="956">
                  <c:v>59</c:v>
                </c:pt>
                <c:pt idx="957">
                  <c:v>43</c:v>
                </c:pt>
                <c:pt idx="958">
                  <c:v>38</c:v>
                </c:pt>
                <c:pt idx="959">
                  <c:v>#N/A</c:v>
                </c:pt>
                <c:pt idx="960">
                  <c:v>#N/A</c:v>
                </c:pt>
                <c:pt idx="961">
                  <c:v>41</c:v>
                </c:pt>
                <c:pt idx="962">
                  <c:v>39</c:v>
                </c:pt>
                <c:pt idx="963">
                  <c:v>43</c:v>
                </c:pt>
                <c:pt idx="964">
                  <c:v>38</c:v>
                </c:pt>
                <c:pt idx="965">
                  <c:v>38</c:v>
                </c:pt>
                <c:pt idx="966">
                  <c:v>37</c:v>
                </c:pt>
                <c:pt idx="967">
                  <c:v>35</c:v>
                </c:pt>
                <c:pt idx="968">
                  <c:v>38</c:v>
                </c:pt>
                <c:pt idx="969">
                  <c:v>36</c:v>
                </c:pt>
                <c:pt idx="970">
                  <c:v>58</c:v>
                </c:pt>
                <c:pt idx="971">
                  <c:v>43</c:v>
                </c:pt>
                <c:pt idx="972">
                  <c:v>47</c:v>
                </c:pt>
                <c:pt idx="973">
                  <c:v>#N/A</c:v>
                </c:pt>
                <c:pt idx="974">
                  <c:v>36</c:v>
                </c:pt>
                <c:pt idx="975">
                  <c:v>34</c:v>
                </c:pt>
                <c:pt idx="976">
                  <c:v>39</c:v>
                </c:pt>
                <c:pt idx="977">
                  <c:v>56</c:v>
                </c:pt>
                <c:pt idx="978">
                  <c:v>34</c:v>
                </c:pt>
                <c:pt idx="979">
                  <c:v>44</c:v>
                </c:pt>
                <c:pt idx="980">
                  <c:v>34</c:v>
                </c:pt>
                <c:pt idx="981">
                  <c:v>69</c:v>
                </c:pt>
                <c:pt idx="982">
                  <c:v>55</c:v>
                </c:pt>
                <c:pt idx="983">
                  <c:v>55</c:v>
                </c:pt>
                <c:pt idx="984">
                  <c:v>54</c:v>
                </c:pt>
                <c:pt idx="985">
                  <c:v>33</c:v>
                </c:pt>
                <c:pt idx="986">
                  <c:v>38</c:v>
                </c:pt>
                <c:pt idx="987">
                  <c:v>36</c:v>
                </c:pt>
                <c:pt idx="988">
                  <c:v>58</c:v>
                </c:pt>
                <c:pt idx="989">
                  <c:v>53</c:v>
                </c:pt>
                <c:pt idx="990">
                  <c:v>52</c:v>
                </c:pt>
                <c:pt idx="991">
                  <c:v>#N/A</c:v>
                </c:pt>
                <c:pt idx="992">
                  <c:v>36</c:v>
                </c:pt>
                <c:pt idx="993">
                  <c:v>46</c:v>
                </c:pt>
                <c:pt idx="994">
                  <c:v>49</c:v>
                </c:pt>
                <c:pt idx="995">
                  <c:v>33</c:v>
                </c:pt>
                <c:pt idx="996">
                  <c:v>32</c:v>
                </c:pt>
                <c:pt idx="997">
                  <c:v>27</c:v>
                </c:pt>
                <c:pt idx="998">
                  <c:v>46</c:v>
                </c:pt>
                <c:pt idx="999">
                  <c:v>27</c:v>
                </c:pt>
                <c:pt idx="1000">
                  <c:v>27</c:v>
                </c:pt>
                <c:pt idx="1001">
                  <c:v>32</c:v>
                </c:pt>
                <c:pt idx="1002">
                  <c:v>30</c:v>
                </c:pt>
                <c:pt idx="1003">
                  <c:v>41</c:v>
                </c:pt>
                <c:pt idx="1004">
                  <c:v>28</c:v>
                </c:pt>
                <c:pt idx="1005">
                  <c:v>22</c:v>
                </c:pt>
                <c:pt idx="1006">
                  <c:v>41</c:v>
                </c:pt>
                <c:pt idx="1007">
                  <c:v>19</c:v>
                </c:pt>
                <c:pt idx="1008">
                  <c:v>70</c:v>
                </c:pt>
                <c:pt idx="1009">
                  <c:v>38</c:v>
                </c:pt>
                <c:pt idx="1010">
                  <c:v>15</c:v>
                </c:pt>
                <c:pt idx="1011">
                  <c:v>23</c:v>
                </c:pt>
                <c:pt idx="1012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BF-4407-8F96-09603866D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221664"/>
        <c:axId val="1357222912"/>
      </c:scatterChart>
      <c:valAx>
        <c:axId val="135722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000" b="0" i="0" u="none" strike="noStrike" baseline="0">
                    <a:solidFill>
                      <a:schemeClr val="accent5"/>
                    </a:solidFill>
                  </a:rPr>
                  <a:t>Math Score</a:t>
                </a:r>
                <a:endParaRPr lang="en-AU" baseline="0">
                  <a:solidFill>
                    <a:schemeClr val="accent5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222912"/>
        <c:crosses val="autoZero"/>
        <c:crossBetween val="midCat"/>
      </c:valAx>
      <c:valAx>
        <c:axId val="13572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92D05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000" b="0" i="0" u="none" strike="noStrike" baseline="0">
                    <a:solidFill>
                      <a:srgbClr val="92D050"/>
                    </a:solidFill>
                  </a:rPr>
                  <a:t>Writing Score</a:t>
                </a:r>
                <a:endParaRPr lang="en-AU" baseline="0">
                  <a:solidFill>
                    <a:srgbClr val="92D05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92D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221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[Joon_Choi_StudentsPerformance_data.xlsx]PassFail Outcomes!PivotTable2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Pass/Fail Outcomes by Test Preparation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'PassFail Outcomes'!$B$1:$B$2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'PassFail Outcomes'!$A$3:$A$5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'PassFail Outcomes'!$B$3:$B$5</c:f>
              <c:numCache>
                <c:formatCode>0.00%</c:formatCode>
                <c:ptCount val="2"/>
                <c:pt idx="0">
                  <c:v>5.2486187845303865E-2</c:v>
                </c:pt>
                <c:pt idx="1">
                  <c:v>0.13056835637480799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2D-4F82-9D57-AC633090B598}"/>
            </c:ext>
          </c:extLst>
        </c:ser>
        <c:ser>
          <c:idx val="1"/>
          <c:order val="1"/>
          <c:tx>
            <c:strRef>
              <c:f>'PassFail Outcomes'!$C$1:$C$2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'PassFail Outcomes'!$A$3:$A$5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'PassFail Outcomes'!$C$3:$C$5</c:f>
              <c:numCache>
                <c:formatCode>0.00%</c:formatCode>
                <c:ptCount val="2"/>
                <c:pt idx="0">
                  <c:v>0.9475138121546961</c:v>
                </c:pt>
                <c:pt idx="1">
                  <c:v>0.86943164362519199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2D-4F82-9D57-AC633090B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101681647"/>
        <c:axId val="2101687887"/>
      </c:barChart>
      <c:catAx>
        <c:axId val="210168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687887"/>
        <c:crosses val="autoZero"/>
        <c:auto val="1"/>
        <c:lblAlgn val="ctr"/>
        <c:lblOffset val="100"/>
        <c:noMultiLvlLbl val="0"/>
      </c:catAx>
      <c:valAx>
        <c:axId val="210168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68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[Joon_Choi_StudentsPerformance_data.xlsx]PassFail Outcomes!PivotTable3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Pass/Fail Outcomes by Test Prep Course and Gender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8.8714938030006477E-2"/>
              <c:y val="-1.309328743924156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9.3933463796477448E-2"/>
              <c:y val="-4.364429146413962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9.393346379647749E-2"/>
              <c:y val="-1.6002722005374065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9.9151989562948559E-2"/>
              <c:y val="4.364429146413882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'PassFail Outcomes'!$B$21:$B$22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E7-495B-9185-71E0B1010FA5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FE7-495B-9185-71E0B1010FA5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FE7-495B-9185-71E0B1010FA5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FE7-495B-9185-71E0B1010FA5}"/>
              </c:ext>
            </c:extLst>
          </c:dPt>
          <c:dLbls>
            <c:dLbl>
              <c:idx val="0"/>
              <c:layout>
                <c:manualLayout>
                  <c:x val="8.8714938030006477E-2"/>
                  <c:y val="-1.30932874392415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E7-495B-9185-71E0B1010FA5}"/>
                </c:ext>
              </c:extLst>
            </c:dLbl>
            <c:dLbl>
              <c:idx val="1"/>
              <c:layout>
                <c:manualLayout>
                  <c:x val="9.3933463796477448E-2"/>
                  <c:y val="-4.364429146413962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FE7-495B-9185-71E0B1010FA5}"/>
                </c:ext>
              </c:extLst>
            </c:dLbl>
            <c:dLbl>
              <c:idx val="2"/>
              <c:layout>
                <c:manualLayout>
                  <c:x val="9.393346379647749E-2"/>
                  <c:y val="-1.6002722005374065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E7-495B-9185-71E0B1010FA5}"/>
                </c:ext>
              </c:extLst>
            </c:dLbl>
            <c:dLbl>
              <c:idx val="3"/>
              <c:layout>
                <c:manualLayout>
                  <c:x val="9.9151989562948559E-2"/>
                  <c:y val="4.364429146413882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FE7-495B-9185-71E0B1010F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'PassFail Outcomes'!$A$23:$A$29</c:f>
              <c:multiLvlStrCache>
                <c:ptCount val="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</c:lvl>
                <c:lvl>
                  <c:pt idx="0">
                    <c:v>completed</c:v>
                  </c:pt>
                  <c:pt idx="2">
                    <c:v>none</c:v>
                  </c:pt>
                </c:lvl>
              </c:multiLvlStrCache>
            </c:multiLvlStrRef>
          </c:cat>
          <c:val>
            <c:numRef>
              <c:f>'PassFail Outcomes'!$B$23:$B$29</c:f>
              <c:numCache>
                <c:formatCode>0.00%</c:formatCode>
                <c:ptCount val="4"/>
                <c:pt idx="0">
                  <c:v>3.2258064516129031E-2</c:v>
                </c:pt>
                <c:pt idx="1">
                  <c:v>7.3863636363636367E-2</c:v>
                </c:pt>
                <c:pt idx="2">
                  <c:v>0.10089020771513353</c:v>
                </c:pt>
                <c:pt idx="3">
                  <c:v>0.16242038216560509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7-495B-9185-71E0B1010FA5}"/>
            </c:ext>
          </c:extLst>
        </c:ser>
        <c:ser>
          <c:idx val="1"/>
          <c:order val="1"/>
          <c:tx>
            <c:strRef>
              <c:f>'PassFail Outcomes'!$C$21:$C$22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'PassFail Outcomes'!$A$23:$A$29</c:f>
              <c:multiLvlStrCache>
                <c:ptCount val="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</c:lvl>
                <c:lvl>
                  <c:pt idx="0">
                    <c:v>completed</c:v>
                  </c:pt>
                  <c:pt idx="2">
                    <c:v>none</c:v>
                  </c:pt>
                </c:lvl>
              </c:multiLvlStrCache>
            </c:multiLvlStrRef>
          </c:cat>
          <c:val>
            <c:numRef>
              <c:f>'PassFail Outcomes'!$C$23:$C$29</c:f>
              <c:numCache>
                <c:formatCode>0.00%</c:formatCode>
                <c:ptCount val="4"/>
                <c:pt idx="0">
                  <c:v>0.967741935483871</c:v>
                </c:pt>
                <c:pt idx="1">
                  <c:v>0.92613636363636365</c:v>
                </c:pt>
                <c:pt idx="2">
                  <c:v>0.89910979228486643</c:v>
                </c:pt>
                <c:pt idx="3">
                  <c:v>0.83757961783439494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E7-495B-9185-71E0B1010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6537983"/>
        <c:axId val="836540063"/>
      </c:barChart>
      <c:catAx>
        <c:axId val="83653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540063"/>
        <c:crosses val="autoZero"/>
        <c:auto val="1"/>
        <c:lblAlgn val="ctr"/>
        <c:lblOffset val="100"/>
        <c:noMultiLvlLbl val="0"/>
      </c:catAx>
      <c:valAx>
        <c:axId val="83654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53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8608235614383819"/>
          <c:y val="0.81386344012581169"/>
          <c:w val="0.15138367977975356"/>
          <c:h val="0.119636781293372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[Joon_Choi_StudentsPerformance_data.xlsx]PassFailStacked!PivotTable6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Pass vs Fail Outcomes by Subject</a:t>
            </a:r>
            <a:endParaRPr lang="en-A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PassFailStacked!$G$3:$G$4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PassFailStacked!$F$5:$F$8</c:f>
              <c:strCache>
                <c:ptCount val="3"/>
                <c:pt idx="0">
                  <c:v>Math</c:v>
                </c:pt>
                <c:pt idx="1">
                  <c:v>Reading</c:v>
                </c:pt>
                <c:pt idx="2">
                  <c:v>Writing</c:v>
                </c:pt>
              </c:strCache>
            </c:strRef>
          </c:cat>
          <c:val>
            <c:numRef>
              <c:f>PassFailStacked!$G$5:$G$8</c:f>
              <c:numCache>
                <c:formatCode>0.00%</c:formatCode>
                <c:ptCount val="3"/>
                <c:pt idx="0">
                  <c:v>0.13228035538005922</c:v>
                </c:pt>
                <c:pt idx="1">
                  <c:v>8.7857847976307996E-2</c:v>
                </c:pt>
                <c:pt idx="2">
                  <c:v>0.1125370187561698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62-49C3-BA5F-DE829BA5E921}"/>
            </c:ext>
          </c:extLst>
        </c:ser>
        <c:ser>
          <c:idx val="1"/>
          <c:order val="1"/>
          <c:tx>
            <c:strRef>
              <c:f>PassFailStacked!$H$3:$H$4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PassFailStacked!$F$5:$F$8</c:f>
              <c:strCache>
                <c:ptCount val="3"/>
                <c:pt idx="0">
                  <c:v>Math</c:v>
                </c:pt>
                <c:pt idx="1">
                  <c:v>Reading</c:v>
                </c:pt>
                <c:pt idx="2">
                  <c:v>Writing</c:v>
                </c:pt>
              </c:strCache>
            </c:strRef>
          </c:cat>
          <c:val>
            <c:numRef>
              <c:f>PassFailStacked!$H$5:$H$8</c:f>
              <c:numCache>
                <c:formatCode>0.00%</c:formatCode>
                <c:ptCount val="3"/>
                <c:pt idx="0">
                  <c:v>0.86771964461994078</c:v>
                </c:pt>
                <c:pt idx="1">
                  <c:v>0.91214215202369198</c:v>
                </c:pt>
                <c:pt idx="2">
                  <c:v>0.88746298124383016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62-49C3-BA5F-DE829BA5E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2452511"/>
        <c:axId val="762451679"/>
      </c:barChart>
      <c:catAx>
        <c:axId val="76245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451679"/>
        <c:crosses val="autoZero"/>
        <c:auto val="1"/>
        <c:lblAlgn val="ctr"/>
        <c:lblOffset val="100"/>
        <c:noMultiLvlLbl val="0"/>
      </c:catAx>
      <c:valAx>
        <c:axId val="76245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45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[Joon_Choi_StudentsPerformance_data.xlsx]Outliers!PivotTable5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Normal vs Outlier Students (Math Scores)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 w="12700">
            <a:solidFill>
              <a:schemeClr val="accent2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Outliers!$B$15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2BA-45B7-B00C-86E3439A1443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 w="12700"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5F-4A71-AFD7-4CBA7C341E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Outliers!$A$16:$A$18</c:f>
              <c:strCache>
                <c:ptCount val="2"/>
                <c:pt idx="0">
                  <c:v>Normal</c:v>
                </c:pt>
                <c:pt idx="1">
                  <c:v>Outlier</c:v>
                </c:pt>
              </c:strCache>
            </c:strRef>
          </c:cat>
          <c:val>
            <c:numRef>
              <c:f>Outliers!$B$16:$B$18</c:f>
              <c:numCache>
                <c:formatCode>0.00%</c:formatCode>
                <c:ptCount val="2"/>
                <c:pt idx="0">
                  <c:v>0.99506416584402768</c:v>
                </c:pt>
                <c:pt idx="1">
                  <c:v>4.9358341559723592E-3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BA-45B7-B00C-86E3439A1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98345967"/>
        <c:axId val="798334735"/>
      </c:barChart>
      <c:catAx>
        <c:axId val="798345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334735"/>
        <c:crosses val="autoZero"/>
        <c:auto val="1"/>
        <c:lblAlgn val="ctr"/>
        <c:lblOffset val="100"/>
        <c:noMultiLvlLbl val="0"/>
      </c:catAx>
      <c:valAx>
        <c:axId val="79833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34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[Joon_Choi_StudentsPerformance_data.xlsx]Top10_Students!PivotTable3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Top 10 Students by Race (Count of Students)</a:t>
            </a:r>
            <a:endParaRPr lang="en-US"/>
          </a:p>
        </c:rich>
      </c:tx>
      <c:layout>
        <c:manualLayout>
          <c:xMode val="edge"/>
          <c:yMode val="edge"/>
          <c:x val="0.22495822397200352"/>
          <c:y val="0.124434995076164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rgbClr val="FFC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Top10_Students!$B$15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D00-44C2-92AF-B92DEE2F681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D00-44C2-92AF-B92DEE2F68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Top10_Students!$A$16:$A$19</c:f>
              <c:strCache>
                <c:ptCount val="3"/>
                <c:pt idx="0">
                  <c:v>group C</c:v>
                </c:pt>
                <c:pt idx="1">
                  <c:v>group D</c:v>
                </c:pt>
                <c:pt idx="2">
                  <c:v>group E</c:v>
                </c:pt>
              </c:strCache>
            </c:strRef>
          </c:cat>
          <c:val>
            <c:numRef>
              <c:f>Top10_Students!$B$16:$B$19</c:f>
              <c:numCache>
                <c:formatCode>0.00%</c:formatCode>
                <c:ptCount val="3"/>
                <c:pt idx="0">
                  <c:v>0.1</c:v>
                </c:pt>
                <c:pt idx="1">
                  <c:v>0.3</c:v>
                </c:pt>
                <c:pt idx="2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0-44C2-92AF-B92DEE2F6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2955631"/>
        <c:axId val="542956047"/>
      </c:barChart>
      <c:catAx>
        <c:axId val="542955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56047"/>
        <c:crosses val="autoZero"/>
        <c:auto val="1"/>
        <c:lblAlgn val="ctr"/>
        <c:lblOffset val="100"/>
        <c:noMultiLvlLbl val="0"/>
      </c:catAx>
      <c:valAx>
        <c:axId val="54295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5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[Joon_Choi_StudentsPerformance_data.xlsx]Top10_Students!PivotTable1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Top10</a:t>
            </a:r>
            <a:r>
              <a:rPr lang="en-US" baseline="0"/>
              <a:t> Students by Parental Education (Count of Students)</a:t>
            </a:r>
            <a:endParaRPr lang="en-US"/>
          </a:p>
        </c:rich>
      </c:tx>
      <c:layout>
        <c:manualLayout>
          <c:xMode val="edge"/>
          <c:yMode val="edge"/>
          <c:x val="0.18883390612085091"/>
          <c:y val="0.110243521367895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</c:pivotFmt>
      <c:pivotFmt>
        <c:idx val="2"/>
        <c:spPr>
          <a:solidFill>
            <a:srgbClr val="7030A0"/>
          </a:solidFill>
          <a:ln>
            <a:noFill/>
          </a:ln>
          <a:effectLst/>
        </c:spPr>
      </c:pivotFmt>
      <c:pivotFmt>
        <c:idx val="3"/>
        <c:spPr>
          <a:solidFill>
            <a:srgbClr val="FFFF00"/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Top10_Students!$B$30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7FB-4CE2-9FFC-5D2FDB75074D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7FB-4CE2-9FFC-5D2FDB75074D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7FB-4CE2-9FFC-5D2FDB75074D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7FB-4CE2-9FFC-5D2FDB7507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Top10_Students!$A$31:$A$36</c:f>
              <c:strCache>
                <c:ptCount val="5"/>
                <c:pt idx="0">
                  <c:v>Associate's Degree</c:v>
                </c:pt>
                <c:pt idx="1">
                  <c:v>Bachelor's Degree</c:v>
                </c:pt>
                <c:pt idx="2">
                  <c:v>Master's Degree</c:v>
                </c:pt>
                <c:pt idx="3">
                  <c:v>Some College</c:v>
                </c:pt>
                <c:pt idx="4">
                  <c:v>Some High School</c:v>
                </c:pt>
              </c:strCache>
            </c:strRef>
          </c:cat>
          <c:val>
            <c:numRef>
              <c:f>Top10_Students!$B$31:$B$36</c:f>
              <c:numCache>
                <c:formatCode>0.00%</c:formatCode>
                <c:ptCount val="5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0.2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B-4CE2-9FFC-5D2FDB750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3993999"/>
        <c:axId val="754008559"/>
      </c:barChart>
      <c:catAx>
        <c:axId val="753993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008559"/>
        <c:crosses val="autoZero"/>
        <c:auto val="1"/>
        <c:lblAlgn val="ctr"/>
        <c:lblOffset val="100"/>
        <c:noMultiLvlLbl val="0"/>
      </c:catAx>
      <c:valAx>
        <c:axId val="75400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99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[Joon_Choi_StudentsPerformance_data.xlsx]Top10_Students!PivotTable4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Top10</a:t>
            </a:r>
            <a:r>
              <a:rPr lang="en-US" baseline="0"/>
              <a:t> Student by Test Preparation (Count of Students)</a:t>
            </a:r>
            <a:endParaRPr lang="en-US"/>
          </a:p>
        </c:rich>
      </c:tx>
      <c:layout>
        <c:manualLayout>
          <c:xMode val="edge"/>
          <c:yMode val="edge"/>
          <c:x val="0.13762952736405717"/>
          <c:y val="0.14216596419423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Top10_Students!$B$49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C74-4EBD-AF6C-1903F97AF03C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C74-4EBD-AF6C-1903F97AF0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Top10_Students!$A$50:$A$52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Top10_Students!$B$50:$B$52</c:f>
              <c:numCache>
                <c:formatCode>0.00%</c:formatCode>
                <c:ptCount val="2"/>
                <c:pt idx="0">
                  <c:v>0.7</c:v>
                </c:pt>
                <c:pt idx="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4-4EBD-AF6C-1903F97AF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4001071"/>
        <c:axId val="753997327"/>
      </c:barChart>
      <c:catAx>
        <c:axId val="754001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997327"/>
        <c:crosses val="autoZero"/>
        <c:auto val="1"/>
        <c:lblAlgn val="ctr"/>
        <c:lblOffset val="100"/>
        <c:noMultiLvlLbl val="0"/>
      </c:catAx>
      <c:valAx>
        <c:axId val="753997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00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[Joon_Choi_StudentsPerformance_data.xlsx]Pass vs Fail Outcomes!Pass vs Fail Outcomes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Overall Pass vs Fail Outcomes</a:t>
            </a:r>
            <a:endParaRPr lang="en-US"/>
          </a:p>
        </c:rich>
      </c:tx>
      <c:layout>
        <c:manualLayout>
          <c:xMode val="edge"/>
          <c:yMode val="edge"/>
          <c:x val="0.29357306899137608"/>
          <c:y val="9.34304853684334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267A81B-2191-4B98-A10C-25410533E71D}" type="PERCENTAGE">
                  <a:rPr lang="en-US"/>
                  <a:pPr>
                    <a:defRPr/>
                  </a:pPr>
                  <a:t>[PERCENTAGE]</a:t>
                </a:fld>
                <a:endParaRPr lang="en-A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284524981252343"/>
          <c:y val="0.23815685352763741"/>
          <c:w val="0.4952770552118485"/>
          <c:h val="0.66234065891017357"/>
        </c:manualLayout>
      </c:layout>
      <c:pieChart>
        <c:varyColors val="1"/>
        <c:ser>
          <c:idx val="0"/>
          <c:order val="0"/>
          <c:tx>
            <c:strRef>
              <c:f>'Pass vs Fail Outcomes'!$B$1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9A-4615-897E-EDB7FF8230A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19A-4615-897E-EDB7FF8230A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267A81B-2191-4B98-A10C-25410533E71D}" type="PERCENTAGE">
                      <a:rPr lang="en-US"/>
                      <a:pPr/>
                      <a:t>[PERCENTAGE]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19A-4615-897E-EDB7FF8230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'Pass vs Fail Outcomes'!$A$2:$A$4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'Pass vs Fail Outcomes'!$B$2:$B$4</c:f>
              <c:numCache>
                <c:formatCode>General</c:formatCode>
                <c:ptCount val="2"/>
                <c:pt idx="0">
                  <c:v>104</c:v>
                </c:pt>
                <c:pt idx="1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9A-4615-897E-EDB7FF823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[Joon_Choi_StudentsPerformance_data.xlsx]Pass vs Fail Outcomes!PivotTable2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Pass/Fail Outcomes in Math by Gender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-0.26403662228788571"/>
              <c:y val="-5.011102255514276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-0.2193786970658518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'Pass vs Fail Outcomes'!$B$15:$B$16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'Pass vs Fail Outcomes'!$A$17:$A$19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'Pass vs Fail Outcomes'!$B$17:$B$19</c:f>
              <c:numCache>
                <c:formatCode>0.00%</c:formatCode>
                <c:ptCount val="2"/>
                <c:pt idx="0">
                  <c:v>0.16443594646271512</c:v>
                </c:pt>
                <c:pt idx="1">
                  <c:v>9.7959183673469383E-2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5-4666-8EE4-F88EF1B88E04}"/>
            </c:ext>
          </c:extLst>
        </c:ser>
        <c:ser>
          <c:idx val="1"/>
          <c:order val="1"/>
          <c:tx>
            <c:strRef>
              <c:f>'Pass vs Fail Outcomes'!$C$15:$C$16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AB2-4840-8B13-02767A402034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B2-4840-8B13-02767A402034}"/>
              </c:ext>
            </c:extLst>
          </c:dPt>
          <c:dLbls>
            <c:dLbl>
              <c:idx val="0"/>
              <c:layout>
                <c:manualLayout>
                  <c:x val="-0.21937869706585184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B2-4840-8B13-02767A402034}"/>
                </c:ext>
              </c:extLst>
            </c:dLbl>
            <c:dLbl>
              <c:idx val="1"/>
              <c:layout>
                <c:manualLayout>
                  <c:x val="-0.26403662228788571"/>
                  <c:y val="-5.0111022555142767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B2-4840-8B13-02767A4020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'Pass vs Fail Outcomes'!$A$17:$A$19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'Pass vs Fail Outcomes'!$C$17:$C$19</c:f>
              <c:numCache>
                <c:formatCode>0.00%</c:formatCode>
                <c:ptCount val="2"/>
                <c:pt idx="0">
                  <c:v>0.83556405353728491</c:v>
                </c:pt>
                <c:pt idx="1">
                  <c:v>0.90204081632653066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C5-4666-8EE4-F88EF1B88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5938928"/>
        <c:axId val="1085933104"/>
      </c:barChart>
      <c:catAx>
        <c:axId val="108593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933104"/>
        <c:crosses val="autoZero"/>
        <c:auto val="1"/>
        <c:lblAlgn val="ctr"/>
        <c:lblOffset val="100"/>
        <c:noMultiLvlLbl val="0"/>
      </c:catAx>
      <c:valAx>
        <c:axId val="1085933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93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[Joon_Choi_StudentsPerformance_data.xlsx]Pass vs Fail Outcomes!PivotTable3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Pass/Fail Outcomes in Reading by Gender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-0.24718106296750431"/>
              <c:y val="5.374175942057024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-0.28286261590659517"/>
              <c:y val="5.37417594205707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'Pass vs Fail Outcomes'!$B$30:$B$31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'Pass vs Fail Outcomes'!$A$32:$A$34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'Pass vs Fail Outcomes'!$B$32:$B$34</c:f>
              <c:numCache>
                <c:formatCode>0.00%</c:formatCode>
                <c:ptCount val="2"/>
                <c:pt idx="0">
                  <c:v>5.5449330783938815E-2</c:v>
                </c:pt>
                <c:pt idx="1">
                  <c:v>0.12244897959183673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F-46E6-9352-ABB6AB2F26F3}"/>
            </c:ext>
          </c:extLst>
        </c:ser>
        <c:ser>
          <c:idx val="1"/>
          <c:order val="1"/>
          <c:tx>
            <c:strRef>
              <c:f>'Pass vs Fail Outcomes'!$C$30:$C$31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F49-4126-8250-D936E9AAB8E0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49-4126-8250-D936E9AAB8E0}"/>
              </c:ext>
            </c:extLst>
          </c:dPt>
          <c:dLbls>
            <c:dLbl>
              <c:idx val="0"/>
              <c:layout>
                <c:manualLayout>
                  <c:x val="-0.28286261590659517"/>
                  <c:y val="5.37417594205707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F49-4126-8250-D936E9AAB8E0}"/>
                </c:ext>
              </c:extLst>
            </c:dLbl>
            <c:dLbl>
              <c:idx val="1"/>
              <c:layout>
                <c:manualLayout>
                  <c:x val="-0.24718106296750431"/>
                  <c:y val="5.374175942057024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49-4126-8250-D936E9AAB8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'Pass vs Fail Outcomes'!$A$32:$A$34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'Pass vs Fail Outcomes'!$C$32:$C$34</c:f>
              <c:numCache>
                <c:formatCode>0.00%</c:formatCode>
                <c:ptCount val="2"/>
                <c:pt idx="0">
                  <c:v>0.94455066921606123</c:v>
                </c:pt>
                <c:pt idx="1">
                  <c:v>0.87755102040816324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8F-46E6-9352-ABB6AB2F2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5997168"/>
        <c:axId val="975993008"/>
      </c:barChart>
      <c:catAx>
        <c:axId val="975997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993008"/>
        <c:crosses val="autoZero"/>
        <c:auto val="1"/>
        <c:lblAlgn val="ctr"/>
        <c:lblOffset val="100"/>
        <c:noMultiLvlLbl val="0"/>
      </c:catAx>
      <c:valAx>
        <c:axId val="97599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99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681644098304285"/>
          <c:y val="0.33205636706552644"/>
          <c:w val="0.12844466028540627"/>
          <c:h val="0.323954056296820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[Joon_Choi_StudentsPerformance_data.xlsx]Pass vs Fail Outcomes!PivotTable5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Pass/Fail Outcomes in Writing by Gender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-0.25459383202099745"/>
              <c:y val="-5.309968357605881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-0.28986614173228348"/>
              <c:y val="5.30996835760578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'Pass vs Fail Outcomes'!$B$46:$B$47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'Pass vs Fail Outcomes'!$A$48:$A$50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'Pass vs Fail Outcomes'!$B$48:$B$50</c:f>
              <c:numCache>
                <c:formatCode>0.00%</c:formatCode>
                <c:ptCount val="2"/>
                <c:pt idx="0">
                  <c:v>6.1185468451242828E-2</c:v>
                </c:pt>
                <c:pt idx="1">
                  <c:v>0.16734693877551021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E-4082-A4EB-62CFBBF283DE}"/>
            </c:ext>
          </c:extLst>
        </c:ser>
        <c:ser>
          <c:idx val="1"/>
          <c:order val="1"/>
          <c:tx>
            <c:strRef>
              <c:f>'Pass vs Fail Outcomes'!$C$46:$C$47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AF4-40F0-89AE-55CEEDF2B193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AF4-40F0-89AE-55CEEDF2B193}"/>
              </c:ext>
            </c:extLst>
          </c:dPt>
          <c:dLbls>
            <c:dLbl>
              <c:idx val="0"/>
              <c:layout>
                <c:manualLayout>
                  <c:x val="-0.28986614173228348"/>
                  <c:y val="5.309968357605784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AF4-40F0-89AE-55CEEDF2B193}"/>
                </c:ext>
              </c:extLst>
            </c:dLbl>
            <c:dLbl>
              <c:idx val="1"/>
              <c:layout>
                <c:manualLayout>
                  <c:x val="-0.25459383202099745"/>
                  <c:y val="-5.309968357605881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AF4-40F0-89AE-55CEEDF2B1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'Pass vs Fail Outcomes'!$A$48:$A$50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'Pass vs Fail Outcomes'!$C$48:$C$50</c:f>
              <c:numCache>
                <c:formatCode>0.00%</c:formatCode>
                <c:ptCount val="2"/>
                <c:pt idx="0">
                  <c:v>0.93881453154875716</c:v>
                </c:pt>
                <c:pt idx="1">
                  <c:v>0.83265306122448979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CE-4082-A4EB-62CFBBF28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6000496"/>
        <c:axId val="976005072"/>
      </c:barChart>
      <c:catAx>
        <c:axId val="976000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05072"/>
        <c:crosses val="autoZero"/>
        <c:auto val="1"/>
        <c:lblAlgn val="ctr"/>
        <c:lblOffset val="100"/>
        <c:noMultiLvlLbl val="0"/>
      </c:catAx>
      <c:valAx>
        <c:axId val="97600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0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[Joon_Choi_StudentsPerformance_data.xlsx]Distribution!PivotTable2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Distribution of Math Scores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Distribution!$B$1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0BB-4CF8-8971-54C48B2EFDF8}"/>
              </c:ext>
            </c:extLst>
          </c:dPt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BB-4CF8-8971-54C48B2EFD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Distribution!$A$2:$A$12</c:f>
              <c:strCache>
                <c:ptCount val="10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  <c:pt idx="8">
                  <c:v>80-89</c:v>
                </c:pt>
                <c:pt idx="9">
                  <c:v>90-100</c:v>
                </c:pt>
              </c:strCache>
            </c:strRef>
          </c:cat>
          <c:val>
            <c:numRef>
              <c:f>Distribution!$B$2:$B$12</c:f>
              <c:numCache>
                <c:formatCode>0</c:formatCode>
                <c:ptCount val="10"/>
                <c:pt idx="0">
                  <c:v>24</c:v>
                </c:pt>
                <c:pt idx="1">
                  <c:v>2</c:v>
                </c:pt>
                <c:pt idx="2">
                  <c:v>9</c:v>
                </c:pt>
                <c:pt idx="3">
                  <c:v>27</c:v>
                </c:pt>
                <c:pt idx="4">
                  <c:v>94</c:v>
                </c:pt>
                <c:pt idx="5">
                  <c:v>184</c:v>
                </c:pt>
                <c:pt idx="6">
                  <c:v>262</c:v>
                </c:pt>
                <c:pt idx="7">
                  <c:v>215</c:v>
                </c:pt>
                <c:pt idx="8">
                  <c:v>138</c:v>
                </c:pt>
                <c:pt idx="9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7E-412C-ACEB-8750AF6AF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5297503"/>
        <c:axId val="955280031"/>
      </c:barChart>
      <c:catAx>
        <c:axId val="95529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280031"/>
        <c:crosses val="autoZero"/>
        <c:auto val="1"/>
        <c:lblAlgn val="ctr"/>
        <c:lblOffset val="100"/>
        <c:noMultiLvlLbl val="0"/>
      </c:catAx>
      <c:valAx>
        <c:axId val="95528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29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[Joon_Choi_StudentsPerformance_data.xlsx]Distribution!PivotTable3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Distribution of Reading Scores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Distribution!$B$17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694-4F29-B9D8-07B7B586CD1E}"/>
              </c:ext>
            </c:extLst>
          </c:dPt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694-4F29-B9D8-07B7B586CD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Distribution!$A$18:$A$28</c:f>
              <c:strCache>
                <c:ptCount val="10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  <c:pt idx="8">
                  <c:v>80-89</c:v>
                </c:pt>
                <c:pt idx="9">
                  <c:v>90-100</c:v>
                </c:pt>
              </c:strCache>
            </c:strRef>
          </c:cat>
          <c:val>
            <c:numRef>
              <c:f>Distribution!$B$18:$B$28</c:f>
              <c:numCache>
                <c:formatCode>0</c:formatCode>
                <c:ptCount val="10"/>
                <c:pt idx="0">
                  <c:v>22</c:v>
                </c:pt>
                <c:pt idx="1">
                  <c:v>1</c:v>
                </c:pt>
                <c:pt idx="2">
                  <c:v>7</c:v>
                </c:pt>
                <c:pt idx="3">
                  <c:v>18</c:v>
                </c:pt>
                <c:pt idx="4">
                  <c:v>63</c:v>
                </c:pt>
                <c:pt idx="5">
                  <c:v>165</c:v>
                </c:pt>
                <c:pt idx="6">
                  <c:v>228</c:v>
                </c:pt>
                <c:pt idx="7">
                  <c:v>264</c:v>
                </c:pt>
                <c:pt idx="8">
                  <c:v>166</c:v>
                </c:pt>
                <c:pt idx="9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2-4E23-B5B4-4B4F49205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397887"/>
        <c:axId val="1078394975"/>
      </c:barChart>
      <c:catAx>
        <c:axId val="107839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394975"/>
        <c:crosses val="autoZero"/>
        <c:auto val="1"/>
        <c:lblAlgn val="ctr"/>
        <c:lblOffset val="100"/>
        <c:noMultiLvlLbl val="0"/>
      </c:catAx>
      <c:valAx>
        <c:axId val="107839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39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[Joon_Choi_StudentsPerformance_data.xlsx]Distribution!PivotTable4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Distribution of Writing Scores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Distribution!$B$33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E1C-4BA1-8BD8-93C5931078D0}"/>
              </c:ext>
            </c:extLst>
          </c:dPt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1C-4BA1-8BD8-93C5931078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Distribution!$A$34:$A$44</c:f>
              <c:strCache>
                <c:ptCount val="10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  <c:pt idx="8">
                  <c:v>80-89</c:v>
                </c:pt>
                <c:pt idx="9">
                  <c:v>90-100</c:v>
                </c:pt>
              </c:strCache>
            </c:strRef>
          </c:cat>
          <c:val>
            <c:numRef>
              <c:f>Distribution!$B$34:$B$44</c:f>
              <c:numCache>
                <c:formatCode>0</c:formatCode>
                <c:ptCount val="10"/>
                <c:pt idx="0">
                  <c:v>22</c:v>
                </c:pt>
                <c:pt idx="1">
                  <c:v>3</c:v>
                </c:pt>
                <c:pt idx="2">
                  <c:v>6</c:v>
                </c:pt>
                <c:pt idx="3">
                  <c:v>23</c:v>
                </c:pt>
                <c:pt idx="4">
                  <c:v>82</c:v>
                </c:pt>
                <c:pt idx="5">
                  <c:v>167</c:v>
                </c:pt>
                <c:pt idx="6">
                  <c:v>228</c:v>
                </c:pt>
                <c:pt idx="7">
                  <c:v>251</c:v>
                </c:pt>
                <c:pt idx="8">
                  <c:v>153</c:v>
                </c:pt>
                <c:pt idx="9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D-4492-BCC0-148305188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175951"/>
        <c:axId val="1078176367"/>
      </c:barChart>
      <c:catAx>
        <c:axId val="107817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176367"/>
        <c:crosses val="autoZero"/>
        <c:auto val="1"/>
        <c:lblAlgn val="ctr"/>
        <c:lblOffset val="100"/>
        <c:noMultiLvlLbl val="0"/>
      </c:catAx>
      <c:valAx>
        <c:axId val="107817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175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[Joon_Choi_StudentsPerformance_data.xlsx]Distribution!PivotTable5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Distribution of Overall Average Scores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Distribution!$B$49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1E3-49E3-AC7C-EC353ABE3DD1}"/>
              </c:ext>
            </c:extLst>
          </c:dPt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E3-49E3-AC7C-EC353ABE3D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Distribution!$A$50:$A$60</c:f>
              <c:strCache>
                <c:ptCount val="10"/>
                <c:pt idx="0">
                  <c:v>0-10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50-60</c:v>
                </c:pt>
                <c:pt idx="6">
                  <c:v>60-70</c:v>
                </c:pt>
                <c:pt idx="7">
                  <c:v>70-80</c:v>
                </c:pt>
                <c:pt idx="8">
                  <c:v>80-90</c:v>
                </c:pt>
                <c:pt idx="9">
                  <c:v>90-100</c:v>
                </c:pt>
              </c:strCache>
            </c:strRef>
          </c:cat>
          <c:val>
            <c:numRef>
              <c:f>Distribution!$B$50:$B$60</c:f>
              <c:numCache>
                <c:formatCode>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7</c:v>
                </c:pt>
                <c:pt idx="3">
                  <c:v>22</c:v>
                </c:pt>
                <c:pt idx="4">
                  <c:v>73</c:v>
                </c:pt>
                <c:pt idx="5">
                  <c:v>185</c:v>
                </c:pt>
                <c:pt idx="6">
                  <c:v>254</c:v>
                </c:pt>
                <c:pt idx="7">
                  <c:v>269</c:v>
                </c:pt>
                <c:pt idx="8">
                  <c:v>148</c:v>
                </c:pt>
                <c:pt idx="9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E-4F94-A8F6-22107E277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5693359"/>
        <c:axId val="895694607"/>
      </c:barChart>
      <c:catAx>
        <c:axId val="89569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694607"/>
        <c:crosses val="autoZero"/>
        <c:auto val="1"/>
        <c:lblAlgn val="ctr"/>
        <c:lblOffset val="100"/>
        <c:noMultiLvlLbl val="0"/>
      </c:catAx>
      <c:valAx>
        <c:axId val="89569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69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[Joon_Choi_StudentsPerformance_data.xlsx]Subject Differences!PivotTable1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Average Scores by Subject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'Subject Differences'!$A$3</c:f>
              <c:strCache>
                <c:ptCount val="1"/>
                <c:pt idx="0">
                  <c:v>Avg Math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'Subject Differences'!$A$4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'Subject Differences'!$A$4</c:f>
              <c:numCache>
                <c:formatCode>0.00</c:formatCode>
                <c:ptCount val="1"/>
                <c:pt idx="0">
                  <c:v>66.240161453077704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22-4FB1-9453-77AA27EEF3EA}"/>
            </c:ext>
          </c:extLst>
        </c:ser>
        <c:ser>
          <c:idx val="1"/>
          <c:order val="1"/>
          <c:tx>
            <c:strRef>
              <c:f>'Subject Differences'!$B$3</c:f>
              <c:strCache>
                <c:ptCount val="1"/>
                <c:pt idx="0">
                  <c:v>Avg Reading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'Subject Differences'!$A$4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'Subject Differences'!$B$4</c:f>
              <c:numCache>
                <c:formatCode>0.00</c:formatCode>
                <c:ptCount val="1"/>
                <c:pt idx="0">
                  <c:v>69.134207870837542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22-4FB1-9453-77AA27EEF3EA}"/>
            </c:ext>
          </c:extLst>
        </c:ser>
        <c:ser>
          <c:idx val="2"/>
          <c:order val="2"/>
          <c:tx>
            <c:strRef>
              <c:f>'Subject Differences'!$C$3</c:f>
              <c:strCache>
                <c:ptCount val="1"/>
                <c:pt idx="0">
                  <c:v>Avg Writing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'Subject Differences'!$A$4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'Subject Differences'!$C$4</c:f>
              <c:numCache>
                <c:formatCode>0.00</c:formatCode>
                <c:ptCount val="1"/>
                <c:pt idx="0">
                  <c:v>67.938446014127138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22-4FB1-9453-77AA27EEF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3954591"/>
        <c:axId val="953942943"/>
      </c:barChart>
      <c:catAx>
        <c:axId val="95395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942943"/>
        <c:crosses val="autoZero"/>
        <c:auto val="1"/>
        <c:lblAlgn val="ctr"/>
        <c:lblOffset val="100"/>
        <c:noMultiLvlLbl val="0"/>
      </c:catAx>
      <c:valAx>
        <c:axId val="953942943"/>
        <c:scaling>
          <c:orientation val="minMax"/>
          <c:max val="75"/>
          <c:min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95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[Joon_Choi_StudentsPerformance_data.xlsx]Subject Differences!PivotTable4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Subject Score Differences (Overall)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'Subject Differences'!$A$22</c:f>
              <c:strCache>
                <c:ptCount val="1"/>
                <c:pt idx="0">
                  <c:v>Avg Reading - Math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'Subject Differences'!$A$23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'Subject Differences'!$A$23</c:f>
              <c:numCache>
                <c:formatCode>0.00</c:formatCode>
                <c:ptCount val="1"/>
                <c:pt idx="0">
                  <c:v>3.0701030927835053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5-4932-B8C8-2299D3861ACB}"/>
            </c:ext>
          </c:extLst>
        </c:ser>
        <c:ser>
          <c:idx val="1"/>
          <c:order val="1"/>
          <c:tx>
            <c:strRef>
              <c:f>'Subject Differences'!$B$22</c:f>
              <c:strCache>
                <c:ptCount val="1"/>
                <c:pt idx="0">
                  <c:v>Avg Writing - Reading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'Subject Differences'!$A$23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'Subject Differences'!$B$23</c:f>
              <c:numCache>
                <c:formatCode>0.00</c:formatCode>
                <c:ptCount val="1"/>
                <c:pt idx="0">
                  <c:v>-1.1135190918472653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5-4932-B8C8-2299D3861ACB}"/>
            </c:ext>
          </c:extLst>
        </c:ser>
        <c:ser>
          <c:idx val="2"/>
          <c:order val="2"/>
          <c:tx>
            <c:strRef>
              <c:f>'Subject Differences'!$C$22</c:f>
              <c:strCache>
                <c:ptCount val="1"/>
                <c:pt idx="0">
                  <c:v>Avg Writing - Math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'Subject Differences'!$A$23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'Subject Differences'!$C$23</c:f>
              <c:numCache>
                <c:formatCode>0.00</c:formatCode>
                <c:ptCount val="1"/>
                <c:pt idx="0">
                  <c:v>1.9669762641898865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55-4932-B8C8-2299D3861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755007"/>
        <c:axId val="851752511"/>
      </c:barChart>
      <c:catAx>
        <c:axId val="8517550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51752511"/>
        <c:crosses val="autoZero"/>
        <c:auto val="1"/>
        <c:lblAlgn val="ctr"/>
        <c:lblOffset val="100"/>
        <c:noMultiLvlLbl val="0"/>
      </c:catAx>
      <c:valAx>
        <c:axId val="851752511"/>
        <c:scaling>
          <c:orientation val="minMax"/>
          <c:max val="5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75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542475940507444"/>
          <c:y val="0.59403834937299493"/>
          <c:w val="0.26790857392825895"/>
          <c:h val="0.282514344789817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[Joon_Choi_StudentsPerformance_data.xlsx]Test Prep Course!Pivot_TestPrep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Impact of Test Preparation Course on Student Scores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tx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'Test Prep Course'!$B$1</c:f>
              <c:strCache>
                <c:ptCount val="1"/>
                <c:pt idx="0">
                  <c:v>Avg Math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'Test Prep Course'!$A$2:$A$4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'Test Prep Course'!$B$2:$B$4</c:f>
              <c:numCache>
                <c:formatCode>0.00</c:formatCode>
                <c:ptCount val="2"/>
                <c:pt idx="0">
                  <c:v>69.627450980392155</c:v>
                </c:pt>
                <c:pt idx="1">
                  <c:v>64.33280757097792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FA-4A1D-B9B7-303E73A0E37C}"/>
            </c:ext>
          </c:extLst>
        </c:ser>
        <c:ser>
          <c:idx val="1"/>
          <c:order val="1"/>
          <c:tx>
            <c:strRef>
              <c:f>'Test Prep Course'!$C$1</c:f>
              <c:strCache>
                <c:ptCount val="1"/>
                <c:pt idx="0">
                  <c:v>Avg Reading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'Test Prep Course'!$A$2:$A$4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'Test Prep Course'!$C$2:$C$4</c:f>
              <c:numCache>
                <c:formatCode>0.00</c:formatCode>
                <c:ptCount val="2"/>
                <c:pt idx="0">
                  <c:v>74.017094017094024</c:v>
                </c:pt>
                <c:pt idx="1">
                  <c:v>66.456249999999997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FA-4A1D-B9B7-303E73A0E37C}"/>
            </c:ext>
          </c:extLst>
        </c:ser>
        <c:ser>
          <c:idx val="2"/>
          <c:order val="2"/>
          <c:tx>
            <c:strRef>
              <c:f>'Test Prep Course'!$D$1</c:f>
              <c:strCache>
                <c:ptCount val="1"/>
                <c:pt idx="0">
                  <c:v>Avg Writing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'Test Prep Course'!$A$2:$A$4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'Test Prep Course'!$D$2:$D$4</c:f>
              <c:numCache>
                <c:formatCode>0.00</c:formatCode>
                <c:ptCount val="2"/>
                <c:pt idx="0">
                  <c:v>74.13960113960114</c:v>
                </c:pt>
                <c:pt idx="1">
                  <c:v>64.537499999999994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FA-4A1D-B9B7-303E73A0E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70603152"/>
        <c:axId val="670619952"/>
      </c:barChart>
      <c:lineChart>
        <c:grouping val="standard"/>
        <c:varyColors val="0"/>
        <c:ser>
          <c:idx val="3"/>
          <c:order val="3"/>
          <c:tx>
            <c:strRef>
              <c:f>'Test Prep Course'!$E$1</c:f>
              <c:strCache>
                <c:ptCount val="1"/>
                <c:pt idx="0">
                  <c:v>Avg Average Score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'Test Prep Course'!$A$2:$A$4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'Test Prep Course'!$E$2:$E$4</c:f>
              <c:numCache>
                <c:formatCode>0.00</c:formatCode>
                <c:ptCount val="2"/>
                <c:pt idx="0">
                  <c:v>72.576427255985266</c:v>
                </c:pt>
                <c:pt idx="1">
                  <c:v>65.102662570404448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27-470E-82B9-D9B7E840D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520559"/>
        <c:axId val="841516399"/>
      </c:lineChart>
      <c:catAx>
        <c:axId val="670603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619952"/>
        <c:crosses val="autoZero"/>
        <c:auto val="1"/>
        <c:lblAlgn val="ctr"/>
        <c:lblOffset val="100"/>
        <c:noMultiLvlLbl val="0"/>
      </c:catAx>
      <c:valAx>
        <c:axId val="670619952"/>
        <c:scaling>
          <c:orientation val="minMax"/>
          <c:max val="75"/>
          <c:min val="5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603152"/>
        <c:crosses val="autoZero"/>
        <c:crossBetween val="between"/>
      </c:valAx>
      <c:valAx>
        <c:axId val="841516399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520559"/>
        <c:crosses val="max"/>
        <c:crossBetween val="between"/>
      </c:valAx>
      <c:catAx>
        <c:axId val="8415205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15163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44191216399674"/>
          <c:y val="0.36590604026845636"/>
          <c:w val="0.22094776676622319"/>
          <c:h val="0.353601789709172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[Joon_Choi_StudentsPerformance_data.xlsx]Lunch!Pivot_Lunch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Pass/Fail Outcomes by Lunch Type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Lunch!$B$1:$B$2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Lunch!$A$3:$A$5</c:f>
              <c:strCache>
                <c:ptCount val="2"/>
                <c:pt idx="0">
                  <c:v>free/reduced</c:v>
                </c:pt>
                <c:pt idx="1">
                  <c:v>standard</c:v>
                </c:pt>
              </c:strCache>
            </c:strRef>
          </c:cat>
          <c:val>
            <c:numRef>
              <c:f>Lunch!$B$3:$B$5</c:f>
              <c:numCache>
                <c:formatCode>0.00%</c:formatCode>
                <c:ptCount val="2"/>
                <c:pt idx="0">
                  <c:v>0.17222222222222222</c:v>
                </c:pt>
                <c:pt idx="1">
                  <c:v>6.4318529862174581E-2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8-4C65-839A-FEDC82B64395}"/>
            </c:ext>
          </c:extLst>
        </c:ser>
        <c:ser>
          <c:idx val="1"/>
          <c:order val="1"/>
          <c:tx>
            <c:strRef>
              <c:f>Lunch!$C$1:$C$2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Lunch!$A$3:$A$5</c:f>
              <c:strCache>
                <c:ptCount val="2"/>
                <c:pt idx="0">
                  <c:v>free/reduced</c:v>
                </c:pt>
                <c:pt idx="1">
                  <c:v>standard</c:v>
                </c:pt>
              </c:strCache>
            </c:strRef>
          </c:cat>
          <c:val>
            <c:numRef>
              <c:f>Lunch!$C$3:$C$5</c:f>
              <c:numCache>
                <c:formatCode>0.00%</c:formatCode>
                <c:ptCount val="2"/>
                <c:pt idx="0">
                  <c:v>0.82777777777777772</c:v>
                </c:pt>
                <c:pt idx="1">
                  <c:v>0.93568147013782543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A8-4C65-839A-FEDC82B64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65977088"/>
        <c:axId val="865960768"/>
      </c:barChart>
      <c:catAx>
        <c:axId val="86597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960768"/>
        <c:crosses val="autoZero"/>
        <c:auto val="1"/>
        <c:lblAlgn val="ctr"/>
        <c:lblOffset val="100"/>
        <c:noMultiLvlLbl val="0"/>
      </c:catAx>
      <c:valAx>
        <c:axId val="86596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97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[Joon_Choi_StudentsPerformance_data.xlsx]Parental level of Education!Pivot_ParentalEdu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Student Performance by Parental Education Level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tx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'Parental level of Education'!$B$1</c:f>
              <c:strCache>
                <c:ptCount val="1"/>
                <c:pt idx="0">
                  <c:v>Avg Math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'Parental level of Education'!$A$2:$A$8</c:f>
              <c:strCache>
                <c:ptCount val="6"/>
                <c:pt idx="0">
                  <c:v>Some High School</c:v>
                </c:pt>
                <c:pt idx="1">
                  <c:v>High School</c:v>
                </c:pt>
                <c:pt idx="2">
                  <c:v>Some College</c:v>
                </c:pt>
                <c:pt idx="3">
                  <c:v>Associate's Degree</c:v>
                </c:pt>
                <c:pt idx="4">
                  <c:v>Bachelor's Degree</c:v>
                </c:pt>
                <c:pt idx="5">
                  <c:v>Master's Degree</c:v>
                </c:pt>
              </c:strCache>
            </c:strRef>
          </c:cat>
          <c:val>
            <c:numRef>
              <c:f>'Parental level of Education'!$B$2:$B$8</c:f>
              <c:numCache>
                <c:formatCode>0.00</c:formatCode>
                <c:ptCount val="6"/>
                <c:pt idx="0">
                  <c:v>63.49431818181818</c:v>
                </c:pt>
                <c:pt idx="1">
                  <c:v>62.036458333333336</c:v>
                </c:pt>
                <c:pt idx="2">
                  <c:v>67.278761061946909</c:v>
                </c:pt>
                <c:pt idx="3">
                  <c:v>68.266968325791851</c:v>
                </c:pt>
                <c:pt idx="4">
                  <c:v>69.666666666666671</c:v>
                </c:pt>
                <c:pt idx="5">
                  <c:v>69.745762711864401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EA-4CE5-8102-EB8AACC2FD65}"/>
            </c:ext>
          </c:extLst>
        </c:ser>
        <c:ser>
          <c:idx val="1"/>
          <c:order val="1"/>
          <c:tx>
            <c:strRef>
              <c:f>'Parental level of Education'!$C$1</c:f>
              <c:strCache>
                <c:ptCount val="1"/>
                <c:pt idx="0">
                  <c:v>Avg Reading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'Parental level of Education'!$A$2:$A$8</c:f>
              <c:strCache>
                <c:ptCount val="6"/>
                <c:pt idx="0">
                  <c:v>Some High School</c:v>
                </c:pt>
                <c:pt idx="1">
                  <c:v>High School</c:v>
                </c:pt>
                <c:pt idx="2">
                  <c:v>Some College</c:v>
                </c:pt>
                <c:pt idx="3">
                  <c:v>Associate's Degree</c:v>
                </c:pt>
                <c:pt idx="4">
                  <c:v>Bachelor's Degree</c:v>
                </c:pt>
                <c:pt idx="5">
                  <c:v>Master's Degree</c:v>
                </c:pt>
              </c:strCache>
            </c:strRef>
          </c:cat>
          <c:val>
            <c:numRef>
              <c:f>'Parental level of Education'!$C$2:$C$8</c:f>
              <c:numCache>
                <c:formatCode>0.00</c:formatCode>
                <c:ptCount val="6"/>
                <c:pt idx="0">
                  <c:v>66.977142857142852</c:v>
                </c:pt>
                <c:pt idx="1">
                  <c:v>64.765306122448976</c:v>
                </c:pt>
                <c:pt idx="2">
                  <c:v>69.346666666666664</c:v>
                </c:pt>
                <c:pt idx="3">
                  <c:v>70.894977168949765</c:v>
                </c:pt>
                <c:pt idx="4">
                  <c:v>72.82905982905983</c:v>
                </c:pt>
                <c:pt idx="5">
                  <c:v>75.372881355932208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EA-4CE5-8102-EB8AACC2FD65}"/>
            </c:ext>
          </c:extLst>
        </c:ser>
        <c:ser>
          <c:idx val="2"/>
          <c:order val="2"/>
          <c:tx>
            <c:strRef>
              <c:f>'Parental level of Education'!$D$1</c:f>
              <c:strCache>
                <c:ptCount val="1"/>
                <c:pt idx="0">
                  <c:v>Avg Writing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'Parental level of Education'!$A$2:$A$8</c:f>
              <c:strCache>
                <c:ptCount val="6"/>
                <c:pt idx="0">
                  <c:v>Some High School</c:v>
                </c:pt>
                <c:pt idx="1">
                  <c:v>High School</c:v>
                </c:pt>
                <c:pt idx="2">
                  <c:v>Some College</c:v>
                </c:pt>
                <c:pt idx="3">
                  <c:v>Associate's Degree</c:v>
                </c:pt>
                <c:pt idx="4">
                  <c:v>Bachelor's Degree</c:v>
                </c:pt>
                <c:pt idx="5">
                  <c:v>Master's Degree</c:v>
                </c:pt>
              </c:strCache>
            </c:strRef>
          </c:cat>
          <c:val>
            <c:numRef>
              <c:f>'Parental level of Education'!$D$2:$D$8</c:f>
              <c:numCache>
                <c:formatCode>0.00</c:formatCode>
                <c:ptCount val="6"/>
                <c:pt idx="0">
                  <c:v>64.926966292134836</c:v>
                </c:pt>
                <c:pt idx="1">
                  <c:v>62.169230769230772</c:v>
                </c:pt>
                <c:pt idx="2">
                  <c:v>68.678571428571431</c:v>
                </c:pt>
                <c:pt idx="3">
                  <c:v>69.872727272727275</c:v>
                </c:pt>
                <c:pt idx="4">
                  <c:v>73.5</c:v>
                </c:pt>
                <c:pt idx="5">
                  <c:v>75.258620689655174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EA-4CE5-8102-EB8AACC2F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51105376"/>
        <c:axId val="851102976"/>
      </c:barChart>
      <c:lineChart>
        <c:grouping val="standard"/>
        <c:varyColors val="0"/>
        <c:ser>
          <c:idx val="3"/>
          <c:order val="3"/>
          <c:tx>
            <c:strRef>
              <c:f>'Parental level of Education'!$E$1</c:f>
              <c:strCache>
                <c:ptCount val="1"/>
                <c:pt idx="0">
                  <c:v>Avg Average Score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'Parental level of Education'!$A$2:$A$8</c:f>
              <c:strCache>
                <c:ptCount val="6"/>
                <c:pt idx="0">
                  <c:v>Some High School</c:v>
                </c:pt>
                <c:pt idx="1">
                  <c:v>High School</c:v>
                </c:pt>
                <c:pt idx="2">
                  <c:v>Some College</c:v>
                </c:pt>
                <c:pt idx="3">
                  <c:v>Associate's Degree</c:v>
                </c:pt>
                <c:pt idx="4">
                  <c:v>Bachelor's Degree</c:v>
                </c:pt>
                <c:pt idx="5">
                  <c:v>Master's Degree</c:v>
                </c:pt>
              </c:strCache>
            </c:strRef>
          </c:cat>
          <c:val>
            <c:numRef>
              <c:f>'Parental level of Education'!$E$2:$E$8</c:f>
              <c:numCache>
                <c:formatCode>0.00</c:formatCode>
                <c:ptCount val="6"/>
                <c:pt idx="0">
                  <c:v>65.175925925925895</c:v>
                </c:pt>
                <c:pt idx="1">
                  <c:v>63.020100502512541</c:v>
                </c:pt>
                <c:pt idx="2">
                  <c:v>68.461426491994203</c:v>
                </c:pt>
                <c:pt idx="3">
                  <c:v>69.687315634218223</c:v>
                </c:pt>
                <c:pt idx="4">
                  <c:v>71.798611111111072</c:v>
                </c:pt>
                <c:pt idx="5">
                  <c:v>73.542372881355945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B8-444A-8E17-3FD46F8E4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1105376"/>
        <c:axId val="851102976"/>
      </c:lineChart>
      <c:catAx>
        <c:axId val="85110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102976"/>
        <c:crosses val="autoZero"/>
        <c:auto val="1"/>
        <c:lblAlgn val="ctr"/>
        <c:lblOffset val="100"/>
        <c:noMultiLvlLbl val="0"/>
      </c:catAx>
      <c:valAx>
        <c:axId val="85110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10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552843446313732"/>
          <c:y val="0.55970121381886095"/>
          <c:w val="0.25264424442509442"/>
          <c:h val="0.30636788048552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[Joon_Choi_StudentsPerformance_data.xlsx]Race - Ethnicity!Pivot_Race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Average Student Scores by Race/Ethnicity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tx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'Race - Ethnicity'!$B$1</c:f>
              <c:strCache>
                <c:ptCount val="1"/>
                <c:pt idx="0">
                  <c:v>Avg Math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'Race - Ethnicity'!$A$2:$A$7</c:f>
              <c:strCache>
                <c:ptCount val="5"/>
                <c:pt idx="0">
                  <c:v>group A</c:v>
                </c:pt>
                <c:pt idx="1">
                  <c:v>group B</c:v>
                </c:pt>
                <c:pt idx="2">
                  <c:v>group C</c:v>
                </c:pt>
                <c:pt idx="3">
                  <c:v>group D</c:v>
                </c:pt>
                <c:pt idx="4">
                  <c:v>group E</c:v>
                </c:pt>
              </c:strCache>
            </c:strRef>
          </c:cat>
          <c:val>
            <c:numRef>
              <c:f>'Race - Ethnicity'!$B$2:$B$7</c:f>
              <c:numCache>
                <c:formatCode>0.00</c:formatCode>
                <c:ptCount val="5"/>
                <c:pt idx="0">
                  <c:v>61.321839080459768</c:v>
                </c:pt>
                <c:pt idx="1">
                  <c:v>63.567567567567565</c:v>
                </c:pt>
                <c:pt idx="2">
                  <c:v>64.566037735849051</c:v>
                </c:pt>
                <c:pt idx="3">
                  <c:v>67.60687022900764</c:v>
                </c:pt>
                <c:pt idx="4">
                  <c:v>74.129496402877692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E-45EC-90EC-F275F544E9A9}"/>
            </c:ext>
          </c:extLst>
        </c:ser>
        <c:ser>
          <c:idx val="1"/>
          <c:order val="1"/>
          <c:tx>
            <c:strRef>
              <c:f>'Race - Ethnicity'!$C$1</c:f>
              <c:strCache>
                <c:ptCount val="1"/>
                <c:pt idx="0">
                  <c:v>Avg Reading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'Race - Ethnicity'!$A$2:$A$7</c:f>
              <c:strCache>
                <c:ptCount val="5"/>
                <c:pt idx="0">
                  <c:v>group A</c:v>
                </c:pt>
                <c:pt idx="1">
                  <c:v>group B</c:v>
                </c:pt>
                <c:pt idx="2">
                  <c:v>group C</c:v>
                </c:pt>
                <c:pt idx="3">
                  <c:v>group D</c:v>
                </c:pt>
                <c:pt idx="4">
                  <c:v>group E</c:v>
                </c:pt>
              </c:strCache>
            </c:strRef>
          </c:cat>
          <c:val>
            <c:numRef>
              <c:f>'Race - Ethnicity'!$C$2:$C$7</c:f>
              <c:numCache>
                <c:formatCode>0.00</c:formatCode>
                <c:ptCount val="5"/>
                <c:pt idx="0">
                  <c:v>65.023255813953483</c:v>
                </c:pt>
                <c:pt idx="1">
                  <c:v>67.354497354497354</c:v>
                </c:pt>
                <c:pt idx="2">
                  <c:v>68.971608832807576</c:v>
                </c:pt>
                <c:pt idx="3">
                  <c:v>69.961832061068705</c:v>
                </c:pt>
                <c:pt idx="4">
                  <c:v>72.96350364963503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BE-45EC-90EC-F275F544E9A9}"/>
            </c:ext>
          </c:extLst>
        </c:ser>
        <c:ser>
          <c:idx val="2"/>
          <c:order val="2"/>
          <c:tx>
            <c:strRef>
              <c:f>'Race - Ethnicity'!$D$1</c:f>
              <c:strCache>
                <c:ptCount val="1"/>
                <c:pt idx="0">
                  <c:v>Avg Writing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'Race - Ethnicity'!$A$2:$A$7</c:f>
              <c:strCache>
                <c:ptCount val="5"/>
                <c:pt idx="0">
                  <c:v>group A</c:v>
                </c:pt>
                <c:pt idx="1">
                  <c:v>group B</c:v>
                </c:pt>
                <c:pt idx="2">
                  <c:v>group C</c:v>
                </c:pt>
                <c:pt idx="3">
                  <c:v>group D</c:v>
                </c:pt>
                <c:pt idx="4">
                  <c:v>group E</c:v>
                </c:pt>
              </c:strCache>
            </c:strRef>
          </c:cat>
          <c:val>
            <c:numRef>
              <c:f>'Race - Ethnicity'!$D$2:$D$7</c:f>
              <c:numCache>
                <c:formatCode>0.00</c:formatCode>
                <c:ptCount val="5"/>
                <c:pt idx="0">
                  <c:v>62.5</c:v>
                </c:pt>
                <c:pt idx="1">
                  <c:v>65.534759358288767</c:v>
                </c:pt>
                <c:pt idx="2">
                  <c:v>67.774603174603172</c:v>
                </c:pt>
                <c:pt idx="3">
                  <c:v>69.900383141762447</c:v>
                </c:pt>
                <c:pt idx="4">
                  <c:v>71.405797101449281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BE-45EC-90EC-F275F544E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5999168"/>
        <c:axId val="865993408"/>
      </c:barChart>
      <c:lineChart>
        <c:grouping val="standard"/>
        <c:varyColors val="0"/>
        <c:ser>
          <c:idx val="3"/>
          <c:order val="3"/>
          <c:tx>
            <c:strRef>
              <c:f>'Race - Ethnicity'!$E$1</c:f>
              <c:strCache>
                <c:ptCount val="1"/>
                <c:pt idx="0">
                  <c:v>Avg Average Score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'Race - Ethnicity'!$A$2:$A$7</c:f>
              <c:strCache>
                <c:ptCount val="5"/>
                <c:pt idx="0">
                  <c:v>group A</c:v>
                </c:pt>
                <c:pt idx="1">
                  <c:v>group B</c:v>
                </c:pt>
                <c:pt idx="2">
                  <c:v>group C</c:v>
                </c:pt>
                <c:pt idx="3">
                  <c:v>group D</c:v>
                </c:pt>
                <c:pt idx="4">
                  <c:v>group E</c:v>
                </c:pt>
              </c:strCache>
            </c:strRef>
          </c:cat>
          <c:val>
            <c:numRef>
              <c:f>'Race - Ethnicity'!$E$2:$E$7</c:f>
              <c:numCache>
                <c:formatCode>0.00</c:formatCode>
                <c:ptCount val="5"/>
                <c:pt idx="0">
                  <c:v>63.093406593406584</c:v>
                </c:pt>
                <c:pt idx="1">
                  <c:v>65.5642361111111</c:v>
                </c:pt>
                <c:pt idx="2">
                  <c:v>67.146026831785335</c:v>
                </c:pt>
                <c:pt idx="3">
                  <c:v>69.059523809523853</c:v>
                </c:pt>
                <c:pt idx="4">
                  <c:v>72.813238770685587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8D-4056-8B68-F3A886E90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999168"/>
        <c:axId val="865993408"/>
      </c:lineChart>
      <c:catAx>
        <c:axId val="86599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993408"/>
        <c:crosses val="autoZero"/>
        <c:auto val="1"/>
        <c:lblAlgn val="ctr"/>
        <c:lblOffset val="100"/>
        <c:noMultiLvlLbl val="0"/>
      </c:catAx>
      <c:valAx>
        <c:axId val="8659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99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[Joon_Choi_StudentsPerformance_data.xlsx]Gender!Pivot_Gender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Subject Scores vs. Overall Average by Gender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tx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Gender!$B$1</c:f>
              <c:strCache>
                <c:ptCount val="1"/>
                <c:pt idx="0">
                  <c:v>Avg Math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Gender!$A$2:$A$4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Gender!$B$2:$B$4</c:f>
              <c:numCache>
                <c:formatCode>0.00</c:formatCode>
                <c:ptCount val="2"/>
                <c:pt idx="0">
                  <c:v>63.752436647173489</c:v>
                </c:pt>
                <c:pt idx="1">
                  <c:v>68.910041841004187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A-40B6-9B20-A6AFD9D2329C}"/>
            </c:ext>
          </c:extLst>
        </c:ser>
        <c:ser>
          <c:idx val="1"/>
          <c:order val="1"/>
          <c:tx>
            <c:strRef>
              <c:f>Gender!$C$1</c:f>
              <c:strCache>
                <c:ptCount val="1"/>
                <c:pt idx="0">
                  <c:v>Avg Reading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Gender!$A$2:$A$4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Gender!$C$2:$C$4</c:f>
              <c:numCache>
                <c:formatCode>0.00</c:formatCode>
                <c:ptCount val="2"/>
                <c:pt idx="0">
                  <c:v>72.551656920077974</c:v>
                </c:pt>
                <c:pt idx="1">
                  <c:v>65.46652719665272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6A-40B6-9B20-A6AFD9D2329C}"/>
            </c:ext>
          </c:extLst>
        </c:ser>
        <c:ser>
          <c:idx val="2"/>
          <c:order val="2"/>
          <c:tx>
            <c:strRef>
              <c:f>Gender!$D$1</c:f>
              <c:strCache>
                <c:ptCount val="1"/>
                <c:pt idx="0">
                  <c:v>Avg Writing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Gender!$A$2:$A$4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Gender!$D$2:$D$4</c:f>
              <c:numCache>
                <c:formatCode>0.00</c:formatCode>
                <c:ptCount val="2"/>
                <c:pt idx="0">
                  <c:v>72.307992202729039</c:v>
                </c:pt>
                <c:pt idx="1">
                  <c:v>63.2489539748954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6A-40B6-9B20-A6AFD9D23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5960288"/>
        <c:axId val="865955968"/>
      </c:barChart>
      <c:lineChart>
        <c:grouping val="standard"/>
        <c:varyColors val="0"/>
        <c:ser>
          <c:idx val="3"/>
          <c:order val="3"/>
          <c:tx>
            <c:strRef>
              <c:f>Gender!$E$1</c:f>
              <c:strCache>
                <c:ptCount val="1"/>
                <c:pt idx="0">
                  <c:v>Avg Average Score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Gender!$A$2:$A$4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Gender!$E$2:$E$4</c:f>
              <c:numCache>
                <c:formatCode>0.00</c:formatCode>
                <c:ptCount val="2"/>
                <c:pt idx="0">
                  <c:v>69.535691523263239</c:v>
                </c:pt>
                <c:pt idx="1">
                  <c:v>65.892517006802706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4C-4606-AF6F-E52F10F2B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960288"/>
        <c:axId val="865955968"/>
      </c:lineChart>
      <c:catAx>
        <c:axId val="865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955968"/>
        <c:crosses val="autoZero"/>
        <c:auto val="1"/>
        <c:lblAlgn val="ctr"/>
        <c:lblOffset val="100"/>
        <c:noMultiLvlLbl val="0"/>
      </c:catAx>
      <c:valAx>
        <c:axId val="86595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96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0</xdr:row>
      <xdr:rowOff>38100</xdr:rowOff>
    </xdr:from>
    <xdr:to>
      <xdr:col>35</xdr:col>
      <xdr:colOff>350520</xdr:colOff>
      <xdr:row>13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526763-C6D8-4859-8F2C-445849306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24</xdr:col>
      <xdr:colOff>15240</xdr:colOff>
      <xdr:row>14</xdr:row>
      <xdr:rowOff>7620</xdr:rowOff>
    </xdr:from>
    <xdr:ext cx="2887980" cy="35052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D957A66-6D2C-4EF6-AEDC-A6902159D39A}"/>
            </a:ext>
          </a:extLst>
        </xdr:cNvPr>
        <xdr:cNvSpPr txBox="1"/>
      </xdr:nvSpPr>
      <xdr:spPr>
        <a:xfrm>
          <a:off x="25069800" y="2567940"/>
          <a:ext cx="2887980" cy="3505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1200" b="1"/>
            <a:t>Correlation Matrix of Subject Scores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703F00-6B9C-4691-BEC0-0FA2CB9CC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342900</xdr:colOff>
      <xdr:row>1</xdr:row>
      <xdr:rowOff>152400</xdr:rowOff>
    </xdr:from>
    <xdr:to>
      <xdr:col>21</xdr:col>
      <xdr:colOff>38100</xdr:colOff>
      <xdr:row>16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41D91C-56ED-4800-9EC5-439B57B840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17</xdr:row>
      <xdr:rowOff>175260</xdr:rowOff>
    </xdr:from>
    <xdr:to>
      <xdr:col>13</xdr:col>
      <xdr:colOff>304800</xdr:colOff>
      <xdr:row>32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94C63F-7174-45FC-B869-DBD42D177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0</xdr:row>
      <xdr:rowOff>3175</xdr:rowOff>
    </xdr:from>
    <xdr:to>
      <xdr:col>12</xdr:col>
      <xdr:colOff>295275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EDE6C4-B183-FA4A-6662-AD62FD4E9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600074</xdr:colOff>
      <xdr:row>19</xdr:row>
      <xdr:rowOff>158115</xdr:rowOff>
    </xdr:from>
    <xdr:to>
      <xdr:col>12</xdr:col>
      <xdr:colOff>590549</xdr:colOff>
      <xdr:row>37</xdr:row>
      <xdr:rowOff>62864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93A23D-6127-4614-89EC-82DE57702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</xdr:colOff>
      <xdr:row>9</xdr:row>
      <xdr:rowOff>9526</xdr:rowOff>
    </xdr:from>
    <xdr:to>
      <xdr:col>12</xdr:col>
      <xdr:colOff>542925</xdr:colOff>
      <xdr:row>29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DEADC0-31E6-4ECE-8CD6-4B20549D43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0</xdr:rowOff>
    </xdr:from>
    <xdr:to>
      <xdr:col>9</xdr:col>
      <xdr:colOff>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2D581C-91A5-4427-AF81-AA01F6FA0D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13</xdr:row>
      <xdr:rowOff>163830</xdr:rowOff>
    </xdr:from>
    <xdr:to>
      <xdr:col>7</xdr:col>
      <xdr:colOff>83820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2AD784-4339-4B2E-B18A-085E63AE55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28</xdr:row>
      <xdr:rowOff>179070</xdr:rowOff>
    </xdr:from>
    <xdr:to>
      <xdr:col>8</xdr:col>
      <xdr:colOff>807720</xdr:colOff>
      <xdr:row>43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33523C-CB07-4E56-8CF3-2E6A1845D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47</xdr:row>
      <xdr:rowOff>179070</xdr:rowOff>
    </xdr:from>
    <xdr:to>
      <xdr:col>7</xdr:col>
      <xdr:colOff>624840</xdr:colOff>
      <xdr:row>60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71F5A8-5C66-40A8-A6BF-B522A57C6E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0</xdr:rowOff>
    </xdr:from>
    <xdr:to>
      <xdr:col>11</xdr:col>
      <xdr:colOff>590550</xdr:colOff>
      <xdr:row>10</xdr:row>
      <xdr:rowOff>144780</xdr:rowOff>
    </xdr:to>
    <xdr:graphicFrame macro="">
      <xdr:nvGraphicFramePr>
        <xdr:cNvPr id="2" name="Pass vs Fail Outcomes">
          <a:extLst>
            <a:ext uri="{FF2B5EF4-FFF2-40B4-BE49-F238E27FC236}">
              <a16:creationId xmlns:a16="http://schemas.microsoft.com/office/drawing/2014/main" id="{166B1678-01B2-43E8-A2C1-058F61DEF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596264</xdr:colOff>
      <xdr:row>10</xdr:row>
      <xdr:rowOff>159067</xdr:rowOff>
    </xdr:from>
    <xdr:to>
      <xdr:col>12</xdr:col>
      <xdr:colOff>495300</xdr:colOff>
      <xdr:row>23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A029D6-E9EC-41B1-BD1D-B0F2E5364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600075</xdr:colOff>
      <xdr:row>29</xdr:row>
      <xdr:rowOff>14287</xdr:rowOff>
    </xdr:from>
    <xdr:to>
      <xdr:col>12</xdr:col>
      <xdr:colOff>533401</xdr:colOff>
      <xdr:row>42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5F59DD-75CE-4097-B17B-AC9F0BFBFD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1904</xdr:colOff>
      <xdr:row>43</xdr:row>
      <xdr:rowOff>44767</xdr:rowOff>
    </xdr:from>
    <xdr:to>
      <xdr:col>12</xdr:col>
      <xdr:colOff>556259</xdr:colOff>
      <xdr:row>56</xdr:row>
      <xdr:rowOff>59055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19E904-4580-4E3B-992F-C12F8CEA4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11</xdr:col>
      <xdr:colOff>304800</xdr:colOff>
      <xdr:row>12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BD70AC-C990-45BE-8BE9-51BE4BDC0E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577215</xdr:colOff>
      <xdr:row>13</xdr:row>
      <xdr:rowOff>3810</xdr:rowOff>
    </xdr:from>
    <xdr:to>
      <xdr:col>11</xdr:col>
      <xdr:colOff>272415</xdr:colOff>
      <xdr:row>25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EDA33A-966F-489D-AF28-37F743257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590550</xdr:colOff>
      <xdr:row>32</xdr:row>
      <xdr:rowOff>0</xdr:rowOff>
    </xdr:from>
    <xdr:to>
      <xdr:col>11</xdr:col>
      <xdr:colOff>285750</xdr:colOff>
      <xdr:row>44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8F255E-6F2F-4767-9C18-DB45F1481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584835</xdr:colOff>
      <xdr:row>44</xdr:row>
      <xdr:rowOff>171450</xdr:rowOff>
    </xdr:from>
    <xdr:to>
      <xdr:col>11</xdr:col>
      <xdr:colOff>280035</xdr:colOff>
      <xdr:row>56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6FA120-528F-4503-814A-FBA7685F4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</xdr:colOff>
      <xdr:row>5</xdr:row>
      <xdr:rowOff>7619</xdr:rowOff>
    </xdr:from>
    <xdr:to>
      <xdr:col>8</xdr:col>
      <xdr:colOff>85725</xdr:colOff>
      <xdr:row>20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D0BA3D-478D-46B2-BBCE-4C0710F56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5</xdr:row>
      <xdr:rowOff>14287</xdr:rowOff>
    </xdr:from>
    <xdr:to>
      <xdr:col>16</xdr:col>
      <xdr:colOff>314325</xdr:colOff>
      <xdr:row>20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9DE928-65D1-490A-BF2C-7607ED183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</xdr:colOff>
      <xdr:row>0</xdr:row>
      <xdr:rowOff>0</xdr:rowOff>
    </xdr:from>
    <xdr:to>
      <xdr:col>15</xdr:col>
      <xdr:colOff>419100</xdr:colOff>
      <xdr:row>14</xdr:row>
      <xdr:rowOff>171450</xdr:rowOff>
    </xdr:to>
    <xdr:graphicFrame macro="">
      <xdr:nvGraphicFramePr>
        <xdr:cNvPr id="2" name="Chart_TestPrep">
          <a:extLst>
            <a:ext uri="{FF2B5EF4-FFF2-40B4-BE49-F238E27FC236}">
              <a16:creationId xmlns:a16="http://schemas.microsoft.com/office/drawing/2014/main" id="{971AB248-CAA8-B8F7-15F7-6A1DC686B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1089660</xdr:colOff>
      <xdr:row>0</xdr:row>
      <xdr:rowOff>155575</xdr:rowOff>
    </xdr:from>
    <xdr:to>
      <xdr:col>8</xdr:col>
      <xdr:colOff>236219</xdr:colOff>
      <xdr:row>15</xdr:row>
      <xdr:rowOff>147955</xdr:rowOff>
    </xdr:to>
    <xdr:graphicFrame macro="">
      <xdr:nvGraphicFramePr>
        <xdr:cNvPr id="2" name="Chart_Lunch">
          <a:extLst>
            <a:ext uri="{FF2B5EF4-FFF2-40B4-BE49-F238E27FC236}">
              <a16:creationId xmlns:a16="http://schemas.microsoft.com/office/drawing/2014/main" id="{E58E7B7A-E420-E411-D4CC-787620DAC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3174</xdr:colOff>
      <xdr:row>0</xdr:row>
      <xdr:rowOff>180974</xdr:rowOff>
    </xdr:from>
    <xdr:to>
      <xdr:col>14</xdr:col>
      <xdr:colOff>495299</xdr:colOff>
      <xdr:row>18</xdr:row>
      <xdr:rowOff>152399</xdr:rowOff>
    </xdr:to>
    <xdr:graphicFrame macro="">
      <xdr:nvGraphicFramePr>
        <xdr:cNvPr id="2" name="Chart_ParentalEdu">
          <a:extLst>
            <a:ext uri="{FF2B5EF4-FFF2-40B4-BE49-F238E27FC236}">
              <a16:creationId xmlns:a16="http://schemas.microsoft.com/office/drawing/2014/main" id="{EDC57862-E96E-F3A5-26E8-694059560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12699</xdr:colOff>
      <xdr:row>0</xdr:row>
      <xdr:rowOff>104775</xdr:rowOff>
    </xdr:from>
    <xdr:to>
      <xdr:col>15</xdr:col>
      <xdr:colOff>257175</xdr:colOff>
      <xdr:row>20</xdr:row>
      <xdr:rowOff>38099</xdr:rowOff>
    </xdr:to>
    <xdr:graphicFrame macro="">
      <xdr:nvGraphicFramePr>
        <xdr:cNvPr id="2" name="Chart_Race">
          <a:extLst>
            <a:ext uri="{FF2B5EF4-FFF2-40B4-BE49-F238E27FC236}">
              <a16:creationId xmlns:a16="http://schemas.microsoft.com/office/drawing/2014/main" id="{176E7DF6-2D71-DBB3-B55D-E1AD51206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19050</xdr:rowOff>
    </xdr:from>
    <xdr:to>
      <xdr:col>6</xdr:col>
      <xdr:colOff>460375</xdr:colOff>
      <xdr:row>22</xdr:row>
      <xdr:rowOff>161924</xdr:rowOff>
    </xdr:to>
    <xdr:graphicFrame macro="">
      <xdr:nvGraphicFramePr>
        <xdr:cNvPr id="2" name="Chart_Gender">
          <a:extLst>
            <a:ext uri="{FF2B5EF4-FFF2-40B4-BE49-F238E27FC236}">
              <a16:creationId xmlns:a16="http://schemas.microsoft.com/office/drawing/2014/main" id="{58432C8E-4D87-0A83-EF7E-DE8969CD8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on choi" refreshedDate="45899.868776157404" createdVersion="8" refreshedVersion="8" minRefreshableVersion="3" recordCount="10" xr:uid="{8EA27605-E9BA-4AC0-B534-C79A37293756}">
  <cacheSource type="worksheet">
    <worksheetSource name="Top10_Students"/>
  </cacheSource>
  <cacheFields count="9">
    <cacheField name="Gender" numFmtId="49">
      <sharedItems/>
    </cacheField>
    <cacheField name="Race/Ethnicity" numFmtId="49">
      <sharedItems count="3">
        <s v="group E"/>
        <s v="group D"/>
        <s v="group C"/>
      </sharedItems>
    </cacheField>
    <cacheField name="Parental Level of Education" numFmtId="49">
      <sharedItems count="5">
        <s v="Bachelor's Degree"/>
        <s v="Associate's Degree"/>
        <s v="Some High School"/>
        <s v="Some College"/>
        <s v="Master's Degree"/>
      </sharedItems>
    </cacheField>
    <cacheField name="Test Preparation Course" numFmtId="49">
      <sharedItems count="2">
        <s v="none"/>
        <s v="completed"/>
      </sharedItems>
    </cacheField>
    <cacheField name="Math Score" numFmtId="1">
      <sharedItems containsSemiMixedTypes="0" containsString="0" containsNumber="1" containsInteger="1" minValue="94" maxValue="100"/>
    </cacheField>
    <cacheField name="Reading Score" numFmtId="1">
      <sharedItems containsSemiMixedTypes="0" containsString="0" containsNumber="1" containsInteger="1" minValue="97" maxValue="100"/>
    </cacheField>
    <cacheField name="Writing Score" numFmtId="1">
      <sharedItems containsSemiMixedTypes="0" containsString="0" containsNumber="1" containsInteger="1" minValue="93" maxValue="100"/>
    </cacheField>
    <cacheField name="Average Score" numFmtId="1">
      <sharedItems containsSemiMixedTypes="0" containsString="0" containsNumber="1" minValue="97.666666666666671" maxValue="100"/>
    </cacheField>
    <cacheField name="Total Score" numFmtId="1">
      <sharedItems containsSemiMixedTypes="0" containsString="0" containsNumber="1" containsInteger="1" minValue="293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n" refreshedDate="45900.633873263891" createdVersion="7" refreshedVersion="7" minRefreshableVersion="3" recordCount="1013" xr:uid="{44E006F7-E505-4DC7-B58C-4DE55DF341A2}">
  <cacheSource type="worksheet">
    <worksheetSource name="Student­­Performance"/>
  </cacheSource>
  <cacheFields count="22">
    <cacheField name="Gender" numFmtId="49">
      <sharedItems count="2">
        <s v="female"/>
        <s v="male"/>
      </sharedItems>
    </cacheField>
    <cacheField name="Race/Ethnicity" numFmtId="49">
      <sharedItems count="5">
        <s v="group E"/>
        <s v="group D"/>
        <s v="group C"/>
        <s v="group B"/>
        <s v="group A"/>
      </sharedItems>
    </cacheField>
    <cacheField name="Parental Level of Education" numFmtId="49">
      <sharedItems count="6">
        <s v="Bachelor's Degree"/>
        <s v="Associate's Degree"/>
        <s v="Some High School"/>
        <s v="Some College"/>
        <s v="Master's Degree"/>
        <s v="High School"/>
      </sharedItems>
    </cacheField>
    <cacheField name="Lunch" numFmtId="49">
      <sharedItems count="2">
        <s v="standard"/>
        <s v="free/reduced"/>
      </sharedItems>
    </cacheField>
    <cacheField name="Test Preparation Course" numFmtId="49">
      <sharedItems count="2">
        <s v="none"/>
        <s v="completed"/>
      </sharedItems>
    </cacheField>
    <cacheField name="Math Score" numFmtId="1">
      <sharedItems containsMixedTypes="1" containsNumber="1" containsInteger="1" minValue="0" maxValue="100" count="81">
        <n v="100"/>
        <n v="99"/>
        <n v="97"/>
        <n v="98"/>
        <n v="96"/>
        <n v="94"/>
        <n v="93"/>
        <n v="92"/>
        <n v="89"/>
        <n v="87"/>
        <n v="88"/>
        <n v="91"/>
        <n v="90"/>
        <n v="95"/>
        <n v="82"/>
        <n v="81"/>
        <n v="83"/>
        <n v="84"/>
        <n v="85"/>
        <n v="77"/>
        <n v="86"/>
        <n v="78"/>
        <n v="79"/>
        <n v="80"/>
        <n v="76"/>
        <n v="75"/>
        <n v="74"/>
        <n v="73"/>
        <n v="70"/>
        <n v="71"/>
        <n v="69"/>
        <n v="67"/>
        <n v="72"/>
        <n v="61"/>
        <n v="64"/>
        <n v="65"/>
        <n v="66"/>
        <n v="68"/>
        <n v="59"/>
        <n v="63"/>
        <n v="62"/>
        <n v="57"/>
        <n v="58"/>
        <n v="60"/>
        <n v="56"/>
        <n v="55"/>
        <n v="52"/>
        <n v="53"/>
        <n v="50"/>
        <n v="45"/>
        <n v="54"/>
        <s v="None"/>
        <n v="51"/>
        <n v="48"/>
        <n v="46"/>
        <n v="47"/>
        <n v="49"/>
        <n v="44"/>
        <n v="40"/>
        <n v="43"/>
        <n v="42"/>
        <n v="39"/>
        <n v="35"/>
        <n v="37"/>
        <n v="38"/>
        <n v="41"/>
        <n v="36"/>
        <n v="32"/>
        <n v="34"/>
        <n v="33"/>
        <n v="29"/>
        <n v="23"/>
        <n v="27"/>
        <n v="22"/>
        <n v="24"/>
        <n v="19"/>
        <n v="18"/>
        <n v="30"/>
        <n v="28"/>
        <n v="8"/>
        <n v="0"/>
      </sharedItems>
    </cacheField>
    <cacheField name="Reading Score" numFmtId="1">
      <sharedItems containsMixedTypes="1" containsNumber="1" containsInteger="1" minValue="17" maxValue="100"/>
    </cacheField>
    <cacheField name="Writing Score" numFmtId="1">
      <sharedItems containsMixedTypes="1" containsNumber="1" containsInteger="1" minValue="10" maxValue="100"/>
    </cacheField>
    <cacheField name="Average Score" numFmtId="1">
      <sharedItems containsSemiMixedTypes="0" containsString="0" containsNumber="1" minValue="9" maxValue="100" count="221">
        <n v="100"/>
        <n v="99.666666666666671"/>
        <n v="99"/>
        <n v="98.666666666666671"/>
        <n v="97.666666666666671"/>
        <n v="97.333333333333329"/>
        <n v="97"/>
        <n v="96.666666666666671"/>
        <n v="96.333333333333329"/>
        <n v="96"/>
        <n v="95.666666666666671"/>
        <n v="94"/>
        <n v="93.666666666666671"/>
        <n v="93.333333333333329"/>
        <n v="93"/>
        <n v="92.666666666666671"/>
        <n v="92.333333333333329"/>
        <n v="92"/>
        <n v="91.666666666666671"/>
        <n v="91.333333333333329"/>
        <n v="91"/>
        <n v="90.666666666666671"/>
        <n v="90.333333333333329"/>
        <n v="90"/>
        <n v="89.666666666666671"/>
        <n v="89.333333333333329"/>
        <n v="89"/>
        <n v="88.666666666666671"/>
        <n v="88.333333333333329"/>
        <n v="88"/>
        <n v="87.666666666666671"/>
        <n v="87.333333333333329"/>
        <n v="87"/>
        <n v="86.666666666666671"/>
        <n v="86.333333333333329"/>
        <n v="86"/>
        <n v="85.666666666666671"/>
        <n v="85.333333333333329"/>
        <n v="85"/>
        <n v="84.666666666666671"/>
        <n v="84.333333333333329"/>
        <n v="84"/>
        <n v="83.666666666666671"/>
        <n v="83.333333333333329"/>
        <n v="83"/>
        <n v="82.666666666666671"/>
        <n v="82.333333333333329"/>
        <n v="82"/>
        <n v="81.666666666666671"/>
        <n v="81.333333333333329"/>
        <n v="81"/>
        <n v="80.666666666666671"/>
        <n v="80.333333333333329"/>
        <n v="80"/>
        <n v="79.666666666666671"/>
        <n v="79.333333333333329"/>
        <n v="79"/>
        <n v="78.666666666666671"/>
        <n v="78.333333333333329"/>
        <n v="78"/>
        <n v="77.666666666666671"/>
        <n v="77.333333333333329"/>
        <n v="77"/>
        <n v="76.666666666666671"/>
        <n v="76.333333333333329"/>
        <n v="76"/>
        <n v="75.666666666666671"/>
        <n v="75.333333333333329"/>
        <n v="75"/>
        <n v="74.666666666666671"/>
        <n v="74.333333333333329"/>
        <n v="74"/>
        <n v="73.666666666666671"/>
        <n v="73.333333333333329"/>
        <n v="73"/>
        <n v="72.666666666666671"/>
        <n v="72.333333333333329"/>
        <n v="72"/>
        <n v="71.666666666666671"/>
        <n v="71.333333333333329"/>
        <n v="71"/>
        <n v="70.666666666666671"/>
        <n v="70.333333333333329"/>
        <n v="70"/>
        <n v="69.666666666666671"/>
        <n v="69.333333333333329"/>
        <n v="69"/>
        <n v="68.666666666666671"/>
        <n v="68.333333333333329"/>
        <n v="68"/>
        <n v="67.666666666666671"/>
        <n v="67.333333333333329"/>
        <n v="67"/>
        <n v="66.666666666666671"/>
        <n v="66.333333333333329"/>
        <n v="66"/>
        <n v="65.666666666666671"/>
        <n v="65.333333333333329"/>
        <n v="65"/>
        <n v="64.666666666666671"/>
        <n v="64.333333333333329"/>
        <n v="64"/>
        <n v="63.666666666666664"/>
        <n v="63.333333333333336"/>
        <n v="63"/>
        <n v="94.5"/>
        <n v="62.666666666666664"/>
        <n v="62.333333333333336"/>
        <n v="93.5"/>
        <n v="62"/>
        <n v="61.666666666666664"/>
        <n v="61.333333333333336"/>
        <n v="61"/>
        <n v="60.666666666666664"/>
        <n v="60.333333333333336"/>
        <n v="60"/>
        <n v="59.666666666666664"/>
        <n v="59.333333333333336"/>
        <n v="59"/>
        <n v="58.666666666666664"/>
        <n v="58.333333333333336"/>
        <n v="58"/>
        <n v="57.666666666666664"/>
        <n v="86.5"/>
        <n v="57.333333333333336"/>
        <n v="57"/>
        <n v="85.5"/>
        <n v="56.666666666666664"/>
        <n v="56.333333333333336"/>
        <n v="56"/>
        <n v="55.666666666666664"/>
        <n v="55.333333333333336"/>
        <n v="55"/>
        <n v="82.5"/>
        <n v="54.666666666666664"/>
        <n v="54.333333333333336"/>
        <n v="54"/>
        <n v="53.666666666666664"/>
        <n v="80.5"/>
        <n v="53.333333333333336"/>
        <n v="53"/>
        <n v="79.5"/>
        <n v="52.666666666666664"/>
        <n v="78.5"/>
        <n v="52.333333333333336"/>
        <n v="52"/>
        <n v="51.666666666666664"/>
        <n v="77.5"/>
        <n v="51.333333333333336"/>
        <n v="51"/>
        <n v="50.666666666666664"/>
        <n v="50.333333333333336"/>
        <n v="75.5"/>
        <n v="50"/>
        <n v="49.666666666666664"/>
        <n v="74.5"/>
        <n v="49.333333333333336"/>
        <n v="49"/>
        <n v="48.666666666666664"/>
        <n v="72.5"/>
        <n v="48.333333333333336"/>
        <n v="48"/>
        <n v="47.666666666666664"/>
        <n v="71.5"/>
        <n v="47.333333333333336"/>
        <n v="47"/>
        <n v="46.666666666666664"/>
        <n v="46.333333333333336"/>
        <n v="69.5"/>
        <n v="46"/>
        <n v="45.666666666666664"/>
        <n v="45.333333333333336"/>
        <n v="45"/>
        <n v="67.5"/>
        <n v="44.666666666666664"/>
        <n v="66.5"/>
        <n v="44.333333333333336"/>
        <n v="44"/>
        <n v="43.666666666666664"/>
        <n v="43.333333333333336"/>
        <n v="43"/>
        <n v="63.5"/>
        <n v="42.333333333333336"/>
        <n v="42"/>
        <n v="62.5"/>
        <n v="41.333333333333336"/>
        <n v="41"/>
        <n v="61.5"/>
        <n v="40.666666666666664"/>
        <n v="40"/>
        <n v="39.666666666666664"/>
        <n v="39.333333333333336"/>
        <n v="39"/>
        <n v="58.5"/>
        <n v="38.666666666666664"/>
        <n v="38.333333333333336"/>
        <n v="38"/>
        <n v="37.666666666666664"/>
        <n v="37.333333333333336"/>
        <n v="55.5"/>
        <n v="52.5"/>
        <n v="34.666666666666664"/>
        <n v="34.333333333333336"/>
        <n v="50.5"/>
        <n v="32.333333333333336"/>
        <n v="48.5"/>
        <n v="31.333333333333332"/>
        <n v="31"/>
        <n v="30.666666666666668"/>
        <n v="45.5"/>
        <n v="30"/>
        <n v="29.666666666666668"/>
        <n v="29.333333333333332"/>
        <n v="41.5"/>
        <n v="26"/>
        <n v="37.5"/>
        <n v="23.333333333333332"/>
        <n v="34.5"/>
        <n v="23"/>
        <n v="18.333333333333332"/>
        <n v="9"/>
      </sharedItems>
      <fieldGroup base="8">
        <rangePr autoStart="0" startNum="0" endNum="100" groupInterval="10"/>
        <groupItems count="12">
          <s v="&lt;0"/>
          <s v="0-10"/>
          <s v="10-20"/>
          <s v="20-30"/>
          <s v="30-40"/>
          <s v="40-50"/>
          <s v="50-60"/>
          <s v="60-70"/>
          <s v="70-80"/>
          <s v="80-90"/>
          <s v="90-100"/>
          <s v="&gt;100"/>
        </groupItems>
      </fieldGroup>
    </cacheField>
    <cacheField name="Pass/Fail" numFmtId="49">
      <sharedItems count="2">
        <s v="Pass"/>
        <s v="Fail"/>
      </sharedItems>
    </cacheField>
    <cacheField name="Reading - Math " numFmtId="1">
      <sharedItems containsMixedTypes="1" containsNumber="1" containsInteger="1" minValue="-22" maxValue="28" count="51">
        <n v="0"/>
        <n v="1"/>
        <n v="3"/>
        <n v="2"/>
        <n v="4"/>
        <n v="-3"/>
        <n v="5"/>
        <n v="7"/>
        <n v="8"/>
        <n v="-8"/>
        <n v="11"/>
        <n v="13"/>
        <n v="-6"/>
        <n v="-4"/>
        <n v="15"/>
        <n v="-11"/>
        <n v="-12"/>
        <n v="16"/>
        <n v="-7"/>
        <n v="-2"/>
        <n v="10"/>
        <n v="20"/>
        <n v="-15"/>
        <n v="-9"/>
        <n v="-10"/>
        <n v="17"/>
        <n v="6"/>
        <n v="12"/>
        <n v="-1"/>
        <n v="-5"/>
        <n v="9"/>
        <n v="-14"/>
        <n v="18"/>
        <n v="14"/>
        <n v="-13"/>
        <n v="19"/>
        <n v="-18"/>
        <n v="-17"/>
        <n v="22"/>
        <n v="-21"/>
        <n v="25"/>
        <n v="21"/>
        <n v="26"/>
        <n v="-19"/>
        <n v="-16"/>
        <n v="23"/>
        <n v="-20"/>
        <n v="24"/>
        <n v="28"/>
        <s v=""/>
        <n v="-22"/>
      </sharedItems>
    </cacheField>
    <cacheField name="Writing - Reading" numFmtId="1">
      <sharedItems containsMixedTypes="1" containsNumber="1" containsInteger="1" minValue="-14" maxValue="14" count="30">
        <n v="0"/>
        <n v="-1"/>
        <n v="2"/>
        <n v="-7"/>
        <n v="1"/>
        <n v="3"/>
        <n v="5"/>
        <n v="-3"/>
        <n v="-5"/>
        <n v="-10"/>
        <n v="-4"/>
        <n v="-2"/>
        <n v="4"/>
        <n v="6"/>
        <n v="12"/>
        <n v="-9"/>
        <n v="-6"/>
        <n v="8"/>
        <n v="9"/>
        <n v="-8"/>
        <n v="7"/>
        <n v="-12"/>
        <n v="-11"/>
        <n v="-13"/>
        <n v="14"/>
        <n v="11"/>
        <n v="10"/>
        <s v=""/>
        <n v="13"/>
        <n v="-14"/>
      </sharedItems>
    </cacheField>
    <cacheField name="Writing - Math" numFmtId="1">
      <sharedItems containsMixedTypes="1" containsNumber="1" containsInteger="1" minValue="-23" maxValue="27" count="51">
        <n v="0"/>
        <n v="1"/>
        <n v="3"/>
        <n v="4"/>
        <n v="-1"/>
        <n v="-7"/>
        <n v="6"/>
        <n v="7"/>
        <n v="8"/>
        <n v="-3"/>
        <n v="5"/>
        <n v="11"/>
        <n v="2"/>
        <n v="13"/>
        <n v="-9"/>
        <n v="-14"/>
        <n v="-6"/>
        <n v="-4"/>
        <n v="14"/>
        <n v="-8"/>
        <n v="15"/>
        <n v="-2"/>
        <n v="12"/>
        <n v="10"/>
        <n v="17"/>
        <n v="-18"/>
        <n v="-15"/>
        <n v="18"/>
        <n v="-10"/>
        <n v="21"/>
        <n v="-5"/>
        <n v="-12"/>
        <n v="-11"/>
        <n v="9"/>
        <n v="16"/>
        <n v="-13"/>
        <n v="-23"/>
        <n v="19"/>
        <n v="26"/>
        <n v="-21"/>
        <n v="-17"/>
        <n v="-16"/>
        <n v="22"/>
        <n v="23"/>
        <n v="20"/>
        <n v="-20"/>
        <n v="24"/>
        <s v=""/>
        <n v="25"/>
        <n v="-19"/>
        <n v="27"/>
      </sharedItems>
    </cacheField>
    <cacheField name="Math Score Clean" numFmtId="1">
      <sharedItems containsSemiMixedTypes="0" containsString="0" containsNumber="1" containsInteger="1" minValue="0" maxValue="100" count="80">
        <n v="100"/>
        <n v="99"/>
        <n v="97"/>
        <n v="98"/>
        <n v="96"/>
        <n v="94"/>
        <n v="93"/>
        <n v="92"/>
        <n v="89"/>
        <n v="87"/>
        <n v="88"/>
        <n v="91"/>
        <n v="90"/>
        <n v="95"/>
        <n v="82"/>
        <n v="81"/>
        <n v="83"/>
        <n v="84"/>
        <n v="85"/>
        <n v="77"/>
        <n v="86"/>
        <n v="78"/>
        <n v="79"/>
        <n v="80"/>
        <n v="76"/>
        <n v="75"/>
        <n v="74"/>
        <n v="73"/>
        <n v="70"/>
        <n v="71"/>
        <n v="69"/>
        <n v="67"/>
        <n v="72"/>
        <n v="61"/>
        <n v="64"/>
        <n v="65"/>
        <n v="66"/>
        <n v="68"/>
        <n v="59"/>
        <n v="63"/>
        <n v="62"/>
        <n v="57"/>
        <n v="58"/>
        <n v="60"/>
        <n v="56"/>
        <n v="55"/>
        <n v="52"/>
        <n v="53"/>
        <n v="50"/>
        <n v="45"/>
        <n v="54"/>
        <n v="0"/>
        <n v="51"/>
        <n v="48"/>
        <n v="46"/>
        <n v="47"/>
        <n v="49"/>
        <n v="44"/>
        <n v="40"/>
        <n v="43"/>
        <n v="42"/>
        <n v="39"/>
        <n v="35"/>
        <n v="37"/>
        <n v="38"/>
        <n v="41"/>
        <n v="36"/>
        <n v="32"/>
        <n v="34"/>
        <n v="33"/>
        <n v="29"/>
        <n v="23"/>
        <n v="27"/>
        <n v="22"/>
        <n v="24"/>
        <n v="19"/>
        <n v="18"/>
        <n v="30"/>
        <n v="28"/>
        <n v="8"/>
      </sharedItems>
      <fieldGroup base="13">
        <rangePr startNum="0" endNum="100" groupInterval="10"/>
        <groupItems count="12">
          <s v="&lt;0"/>
          <s v="0-9"/>
          <s v="10-19"/>
          <s v="20-29"/>
          <s v="30-39"/>
          <s v="40-49"/>
          <s v="50-59"/>
          <s v="60-69"/>
          <s v="70-79"/>
          <s v="80-89"/>
          <s v="90-100"/>
          <s v="&gt;100"/>
        </groupItems>
      </fieldGroup>
    </cacheField>
    <cacheField name="Reading Score Clean" numFmtId="1">
      <sharedItems containsSemiMixedTypes="0" containsString="0" containsNumber="1" containsInteger="1" minValue="0" maxValue="100" count="73">
        <n v="100"/>
        <n v="97"/>
        <n v="99"/>
        <n v="96"/>
        <n v="92"/>
        <n v="93"/>
        <n v="95"/>
        <n v="90"/>
        <n v="89"/>
        <n v="94"/>
        <n v="87"/>
        <n v="86"/>
        <n v="82"/>
        <n v="84"/>
        <n v="91"/>
        <n v="85"/>
        <n v="88"/>
        <n v="81"/>
        <n v="83"/>
        <n v="79"/>
        <n v="78"/>
        <n v="80"/>
        <n v="73"/>
        <n v="77"/>
        <n v="74"/>
        <n v="76"/>
        <n v="75"/>
        <n v="72"/>
        <n v="71"/>
        <n v="68"/>
        <n v="66"/>
        <n v="70"/>
        <n v="67"/>
        <n v="69"/>
        <n v="64"/>
        <n v="65"/>
        <n v="62"/>
        <n v="63"/>
        <n v="60"/>
        <n v="61"/>
        <n v="58"/>
        <n v="57"/>
        <n v="59"/>
        <n v="56"/>
        <n v="54"/>
        <n v="55"/>
        <n v="51"/>
        <n v="53"/>
        <n v="0"/>
        <n v="49"/>
        <n v="47"/>
        <n v="52"/>
        <n v="50"/>
        <n v="48"/>
        <n v="44"/>
        <n v="43"/>
        <n v="46"/>
        <n v="42"/>
        <n v="41"/>
        <n v="45"/>
        <n v="37"/>
        <n v="39"/>
        <n v="31"/>
        <n v="34"/>
        <n v="40"/>
        <n v="29"/>
        <n v="28"/>
        <n v="38"/>
        <n v="32"/>
        <n v="26"/>
        <n v="23"/>
        <n v="24"/>
        <n v="17"/>
      </sharedItems>
      <fieldGroup base="14">
        <rangePr startNum="0" endNum="100" groupInterval="10"/>
        <groupItems count="12">
          <s v="&lt;0"/>
          <s v="0-9"/>
          <s v="10-19"/>
          <s v="20-29"/>
          <s v="30-39"/>
          <s v="40-49"/>
          <s v="50-59"/>
          <s v="60-69"/>
          <s v="70-79"/>
          <s v="80-89"/>
          <s v="90-100"/>
          <s v="&gt;100"/>
        </groupItems>
      </fieldGroup>
    </cacheField>
    <cacheField name="Writing Score Clean" numFmtId="1">
      <sharedItems containsSemiMixedTypes="0" containsString="0" containsNumber="1" containsInteger="1" minValue="0" maxValue="100" count="78">
        <n v="100"/>
        <n v="99"/>
        <n v="93"/>
        <n v="96"/>
        <n v="97"/>
        <n v="95"/>
        <n v="90"/>
        <n v="86"/>
        <n v="91"/>
        <n v="94"/>
        <n v="92"/>
        <n v="98"/>
        <n v="88"/>
        <n v="81"/>
        <n v="87"/>
        <n v="82"/>
        <n v="89"/>
        <n v="83"/>
        <n v="85"/>
        <n v="84"/>
        <n v="78"/>
        <n v="79"/>
        <n v="75"/>
        <n v="77"/>
        <n v="80"/>
        <n v="76"/>
        <n v="73"/>
        <n v="74"/>
        <n v="71"/>
        <n v="69"/>
        <n v="72"/>
        <n v="70"/>
        <n v="68"/>
        <n v="65"/>
        <n v="64"/>
        <n v="67"/>
        <n v="66"/>
        <n v="61"/>
        <n v="62"/>
        <n v="63"/>
        <n v="59"/>
        <n v="60"/>
        <n v="57"/>
        <n v="58"/>
        <n v="0"/>
        <n v="54"/>
        <n v="50"/>
        <n v="56"/>
        <n v="53"/>
        <n v="55"/>
        <n v="51"/>
        <n v="52"/>
        <n v="49"/>
        <n v="48"/>
        <n v="47"/>
        <n v="46"/>
        <n v="43"/>
        <n v="44"/>
        <n v="45"/>
        <n v="42"/>
        <n v="41"/>
        <n v="40"/>
        <n v="37"/>
        <n v="38"/>
        <n v="39"/>
        <n v="35"/>
        <n v="36"/>
        <n v="34"/>
        <n v="33"/>
        <n v="32"/>
        <n v="27"/>
        <n v="30"/>
        <n v="28"/>
        <n v="22"/>
        <n v="19"/>
        <n v="15"/>
        <n v="23"/>
        <n v="10"/>
      </sharedItems>
      <fieldGroup base="15">
        <rangePr startNum="0" endNum="100" groupInterval="10"/>
        <groupItems count="12">
          <s v="&lt;0"/>
          <s v="0-9"/>
          <s v="10-19"/>
          <s v="20-29"/>
          <s v="30-39"/>
          <s v="40-49"/>
          <s v="50-59"/>
          <s v="60-69"/>
          <s v="70-79"/>
          <s v="80-89"/>
          <s v="90-100"/>
          <s v="&gt;100"/>
        </groupItems>
      </fieldGroup>
    </cacheField>
    <cacheField name="Math Pass" numFmtId="1">
      <sharedItems count="2">
        <s v="Pass"/>
        <s v="Fail"/>
      </sharedItems>
    </cacheField>
    <cacheField name="Reading Pass" numFmtId="1">
      <sharedItems count="2">
        <s v="Pass"/>
        <s v="Fail"/>
      </sharedItems>
    </cacheField>
    <cacheField name="Writing Pass " numFmtId="1">
      <sharedItems count="2">
        <s v="Pass"/>
        <s v="Fail"/>
      </sharedItems>
    </cacheField>
    <cacheField name="Total Score" numFmtId="1">
      <sharedItems containsSemiMixedTypes="0" containsString="0" containsNumber="1" containsInteger="1" minValue="27" maxValue="300"/>
    </cacheField>
    <cacheField name="Score Range" numFmtId="1">
      <sharedItems containsSemiMixedTypes="0" containsString="0" containsNumber="1" containsInteger="1" minValue="0" maxValue="28"/>
    </cacheField>
    <cacheField name="Outliers" numFmtId="1">
      <sharedItems count="2">
        <s v="Normal"/>
        <s v="Outli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n" refreshedDate="45900.75436215278" createdVersion="7" refreshedVersion="7" minRefreshableVersion="3" recordCount="3039" xr:uid="{D077EDC5-F63E-4105-93EA-6C90702DC26C}">
  <cacheSource type="worksheet">
    <worksheetSource name="PassFailStacked"/>
  </cacheSource>
  <cacheFields count="2">
    <cacheField name="Subject " numFmtId="0">
      <sharedItems count="3">
        <s v="Math"/>
        <s v="Reading"/>
        <s v="Writing"/>
      </sharedItems>
    </cacheField>
    <cacheField name="Pass/Fail" numFmtId="0">
      <sharedItems count="2">
        <s v="Pass"/>
        <s v="F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female"/>
    <x v="0"/>
    <x v="0"/>
    <x v="0"/>
    <n v="100"/>
    <n v="100"/>
    <n v="100"/>
    <n v="100"/>
    <n v="300"/>
  </r>
  <r>
    <s v="male"/>
    <x v="0"/>
    <x v="0"/>
    <x v="1"/>
    <n v="100"/>
    <n v="100"/>
    <n v="100"/>
    <n v="100"/>
    <n v="300"/>
  </r>
  <r>
    <s v="female"/>
    <x v="0"/>
    <x v="1"/>
    <x v="0"/>
    <n v="100"/>
    <n v="100"/>
    <n v="100"/>
    <n v="100"/>
    <n v="300"/>
  </r>
  <r>
    <s v="female"/>
    <x v="0"/>
    <x v="0"/>
    <x v="1"/>
    <n v="99"/>
    <n v="100"/>
    <n v="100"/>
    <n v="99.666666666666671"/>
    <n v="299"/>
  </r>
  <r>
    <s v="female"/>
    <x v="1"/>
    <x v="2"/>
    <x v="1"/>
    <n v="97"/>
    <n v="100"/>
    <n v="100"/>
    <n v="99"/>
    <n v="297"/>
  </r>
  <r>
    <s v="female"/>
    <x v="1"/>
    <x v="3"/>
    <x v="0"/>
    <n v="98"/>
    <n v="100"/>
    <n v="99"/>
    <n v="99"/>
    <n v="297"/>
  </r>
  <r>
    <s v="female"/>
    <x v="2"/>
    <x v="0"/>
    <x v="1"/>
    <n v="96"/>
    <n v="100"/>
    <n v="100"/>
    <n v="98.666666666666671"/>
    <n v="296"/>
  </r>
  <r>
    <s v="male"/>
    <x v="1"/>
    <x v="3"/>
    <x v="1"/>
    <n v="100"/>
    <n v="97"/>
    <n v="99"/>
    <n v="98.666666666666671"/>
    <n v="296"/>
  </r>
  <r>
    <s v="male"/>
    <x v="0"/>
    <x v="1"/>
    <x v="1"/>
    <n v="100"/>
    <n v="100"/>
    <n v="93"/>
    <n v="97.666666666666671"/>
    <n v="293"/>
  </r>
  <r>
    <s v="female"/>
    <x v="0"/>
    <x v="4"/>
    <x v="1"/>
    <n v="94"/>
    <n v="99"/>
    <n v="100"/>
    <n v="97.666666666666671"/>
    <n v="2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3">
  <r>
    <x v="0"/>
    <x v="0"/>
    <x v="0"/>
    <x v="0"/>
    <x v="0"/>
    <x v="0"/>
    <n v="100"/>
    <n v="100"/>
    <x v="0"/>
    <x v="0"/>
    <x v="0"/>
    <x v="0"/>
    <x v="0"/>
    <x v="0"/>
    <x v="0"/>
    <x v="0"/>
    <x v="0"/>
    <x v="0"/>
    <x v="0"/>
    <n v="300"/>
    <n v="0"/>
    <x v="0"/>
  </r>
  <r>
    <x v="1"/>
    <x v="0"/>
    <x v="0"/>
    <x v="0"/>
    <x v="1"/>
    <x v="0"/>
    <n v="100"/>
    <n v="100"/>
    <x v="0"/>
    <x v="0"/>
    <x v="0"/>
    <x v="0"/>
    <x v="0"/>
    <x v="0"/>
    <x v="0"/>
    <x v="0"/>
    <x v="0"/>
    <x v="0"/>
    <x v="0"/>
    <n v="300"/>
    <n v="0"/>
    <x v="0"/>
  </r>
  <r>
    <x v="0"/>
    <x v="0"/>
    <x v="1"/>
    <x v="0"/>
    <x v="0"/>
    <x v="0"/>
    <n v="100"/>
    <n v="100"/>
    <x v="0"/>
    <x v="0"/>
    <x v="0"/>
    <x v="0"/>
    <x v="0"/>
    <x v="0"/>
    <x v="0"/>
    <x v="0"/>
    <x v="0"/>
    <x v="0"/>
    <x v="0"/>
    <n v="300"/>
    <n v="0"/>
    <x v="0"/>
  </r>
  <r>
    <x v="0"/>
    <x v="0"/>
    <x v="0"/>
    <x v="0"/>
    <x v="1"/>
    <x v="1"/>
    <n v="100"/>
    <n v="100"/>
    <x v="1"/>
    <x v="0"/>
    <x v="1"/>
    <x v="0"/>
    <x v="1"/>
    <x v="1"/>
    <x v="0"/>
    <x v="0"/>
    <x v="0"/>
    <x v="0"/>
    <x v="0"/>
    <n v="299"/>
    <n v="1"/>
    <x v="0"/>
  </r>
  <r>
    <x v="0"/>
    <x v="1"/>
    <x v="2"/>
    <x v="0"/>
    <x v="1"/>
    <x v="2"/>
    <n v="100"/>
    <n v="100"/>
    <x v="2"/>
    <x v="0"/>
    <x v="2"/>
    <x v="0"/>
    <x v="2"/>
    <x v="2"/>
    <x v="0"/>
    <x v="0"/>
    <x v="0"/>
    <x v="0"/>
    <x v="0"/>
    <n v="297"/>
    <n v="3"/>
    <x v="0"/>
  </r>
  <r>
    <x v="0"/>
    <x v="1"/>
    <x v="3"/>
    <x v="0"/>
    <x v="0"/>
    <x v="3"/>
    <n v="100"/>
    <n v="99"/>
    <x v="2"/>
    <x v="0"/>
    <x v="3"/>
    <x v="1"/>
    <x v="1"/>
    <x v="3"/>
    <x v="0"/>
    <x v="1"/>
    <x v="0"/>
    <x v="0"/>
    <x v="0"/>
    <n v="297"/>
    <n v="2"/>
    <x v="0"/>
  </r>
  <r>
    <x v="0"/>
    <x v="2"/>
    <x v="0"/>
    <x v="0"/>
    <x v="1"/>
    <x v="4"/>
    <n v="100"/>
    <n v="100"/>
    <x v="3"/>
    <x v="0"/>
    <x v="4"/>
    <x v="0"/>
    <x v="3"/>
    <x v="4"/>
    <x v="0"/>
    <x v="0"/>
    <x v="0"/>
    <x v="0"/>
    <x v="0"/>
    <n v="296"/>
    <n v="4"/>
    <x v="0"/>
  </r>
  <r>
    <x v="1"/>
    <x v="1"/>
    <x v="3"/>
    <x v="0"/>
    <x v="1"/>
    <x v="0"/>
    <n v="97"/>
    <n v="99"/>
    <x v="3"/>
    <x v="0"/>
    <x v="5"/>
    <x v="2"/>
    <x v="4"/>
    <x v="0"/>
    <x v="1"/>
    <x v="1"/>
    <x v="0"/>
    <x v="0"/>
    <x v="0"/>
    <n v="296"/>
    <n v="3"/>
    <x v="0"/>
  </r>
  <r>
    <x v="1"/>
    <x v="0"/>
    <x v="1"/>
    <x v="1"/>
    <x v="1"/>
    <x v="0"/>
    <n v="100"/>
    <n v="93"/>
    <x v="4"/>
    <x v="0"/>
    <x v="0"/>
    <x v="3"/>
    <x v="5"/>
    <x v="0"/>
    <x v="0"/>
    <x v="2"/>
    <x v="0"/>
    <x v="0"/>
    <x v="0"/>
    <n v="293"/>
    <n v="7"/>
    <x v="0"/>
  </r>
  <r>
    <x v="0"/>
    <x v="0"/>
    <x v="4"/>
    <x v="0"/>
    <x v="1"/>
    <x v="5"/>
    <n v="99"/>
    <n v="100"/>
    <x v="4"/>
    <x v="0"/>
    <x v="6"/>
    <x v="4"/>
    <x v="6"/>
    <x v="5"/>
    <x v="2"/>
    <x v="0"/>
    <x v="0"/>
    <x v="0"/>
    <x v="0"/>
    <n v="293"/>
    <n v="6"/>
    <x v="0"/>
  </r>
  <r>
    <x v="0"/>
    <x v="1"/>
    <x v="0"/>
    <x v="1"/>
    <x v="1"/>
    <x v="6"/>
    <n v="100"/>
    <n v="100"/>
    <x v="4"/>
    <x v="0"/>
    <x v="7"/>
    <x v="0"/>
    <x v="7"/>
    <x v="6"/>
    <x v="0"/>
    <x v="0"/>
    <x v="0"/>
    <x v="0"/>
    <x v="0"/>
    <n v="293"/>
    <n v="7"/>
    <x v="0"/>
  </r>
  <r>
    <x v="0"/>
    <x v="0"/>
    <x v="0"/>
    <x v="1"/>
    <x v="1"/>
    <x v="7"/>
    <n v="100"/>
    <n v="100"/>
    <x v="5"/>
    <x v="0"/>
    <x v="8"/>
    <x v="0"/>
    <x v="8"/>
    <x v="7"/>
    <x v="0"/>
    <x v="0"/>
    <x v="0"/>
    <x v="0"/>
    <x v="0"/>
    <n v="292"/>
    <n v="8"/>
    <x v="0"/>
  </r>
  <r>
    <x v="0"/>
    <x v="1"/>
    <x v="4"/>
    <x v="0"/>
    <x v="0"/>
    <x v="7"/>
    <n v="100"/>
    <n v="100"/>
    <x v="5"/>
    <x v="0"/>
    <x v="8"/>
    <x v="0"/>
    <x v="8"/>
    <x v="7"/>
    <x v="0"/>
    <x v="0"/>
    <x v="0"/>
    <x v="0"/>
    <x v="0"/>
    <n v="292"/>
    <n v="8"/>
    <x v="0"/>
  </r>
  <r>
    <x v="0"/>
    <x v="2"/>
    <x v="0"/>
    <x v="0"/>
    <x v="1"/>
    <x v="7"/>
    <n v="100"/>
    <n v="99"/>
    <x v="6"/>
    <x v="0"/>
    <x v="8"/>
    <x v="1"/>
    <x v="7"/>
    <x v="7"/>
    <x v="0"/>
    <x v="1"/>
    <x v="0"/>
    <x v="0"/>
    <x v="0"/>
    <n v="291"/>
    <n v="8"/>
    <x v="0"/>
  </r>
  <r>
    <x v="0"/>
    <x v="2"/>
    <x v="1"/>
    <x v="0"/>
    <x v="1"/>
    <x v="4"/>
    <n v="96"/>
    <n v="99"/>
    <x v="6"/>
    <x v="0"/>
    <x v="0"/>
    <x v="5"/>
    <x v="2"/>
    <x v="4"/>
    <x v="3"/>
    <x v="1"/>
    <x v="0"/>
    <x v="0"/>
    <x v="0"/>
    <n v="291"/>
    <n v="3"/>
    <x v="0"/>
  </r>
  <r>
    <x v="0"/>
    <x v="3"/>
    <x v="0"/>
    <x v="0"/>
    <x v="0"/>
    <x v="2"/>
    <n v="97"/>
    <n v="96"/>
    <x v="7"/>
    <x v="0"/>
    <x v="0"/>
    <x v="1"/>
    <x v="4"/>
    <x v="2"/>
    <x v="1"/>
    <x v="3"/>
    <x v="0"/>
    <x v="0"/>
    <x v="0"/>
    <n v="290"/>
    <n v="1"/>
    <x v="0"/>
  </r>
  <r>
    <x v="0"/>
    <x v="0"/>
    <x v="3"/>
    <x v="0"/>
    <x v="0"/>
    <x v="0"/>
    <n v="92"/>
    <n v="97"/>
    <x v="8"/>
    <x v="0"/>
    <x v="9"/>
    <x v="6"/>
    <x v="9"/>
    <x v="0"/>
    <x v="4"/>
    <x v="4"/>
    <x v="0"/>
    <x v="0"/>
    <x v="0"/>
    <n v="289"/>
    <n v="8"/>
    <x v="0"/>
  </r>
  <r>
    <x v="0"/>
    <x v="4"/>
    <x v="2"/>
    <x v="0"/>
    <x v="1"/>
    <x v="7"/>
    <n v="100"/>
    <n v="97"/>
    <x v="8"/>
    <x v="0"/>
    <x v="8"/>
    <x v="7"/>
    <x v="10"/>
    <x v="7"/>
    <x v="0"/>
    <x v="4"/>
    <x v="0"/>
    <x v="0"/>
    <x v="0"/>
    <n v="289"/>
    <n v="8"/>
    <x v="0"/>
  </r>
  <r>
    <x v="0"/>
    <x v="1"/>
    <x v="0"/>
    <x v="0"/>
    <x v="0"/>
    <x v="8"/>
    <n v="100"/>
    <n v="100"/>
    <x v="8"/>
    <x v="0"/>
    <x v="10"/>
    <x v="0"/>
    <x v="11"/>
    <x v="8"/>
    <x v="0"/>
    <x v="0"/>
    <x v="0"/>
    <x v="0"/>
    <x v="0"/>
    <n v="289"/>
    <n v="11"/>
    <x v="0"/>
  </r>
  <r>
    <x v="0"/>
    <x v="0"/>
    <x v="1"/>
    <x v="0"/>
    <x v="1"/>
    <x v="6"/>
    <n v="100"/>
    <n v="95"/>
    <x v="9"/>
    <x v="0"/>
    <x v="7"/>
    <x v="8"/>
    <x v="12"/>
    <x v="6"/>
    <x v="0"/>
    <x v="5"/>
    <x v="0"/>
    <x v="0"/>
    <x v="0"/>
    <n v="288"/>
    <n v="7"/>
    <x v="0"/>
  </r>
  <r>
    <x v="0"/>
    <x v="1"/>
    <x v="4"/>
    <x v="0"/>
    <x v="0"/>
    <x v="9"/>
    <n v="100"/>
    <n v="100"/>
    <x v="10"/>
    <x v="0"/>
    <x v="11"/>
    <x v="0"/>
    <x v="13"/>
    <x v="9"/>
    <x v="0"/>
    <x v="0"/>
    <x v="0"/>
    <x v="0"/>
    <x v="0"/>
    <n v="287"/>
    <n v="13"/>
    <x v="0"/>
  </r>
  <r>
    <x v="0"/>
    <x v="0"/>
    <x v="5"/>
    <x v="0"/>
    <x v="0"/>
    <x v="1"/>
    <n v="93"/>
    <n v="90"/>
    <x v="11"/>
    <x v="0"/>
    <x v="12"/>
    <x v="7"/>
    <x v="14"/>
    <x v="1"/>
    <x v="5"/>
    <x v="6"/>
    <x v="0"/>
    <x v="0"/>
    <x v="0"/>
    <n v="282"/>
    <n v="9"/>
    <x v="0"/>
  </r>
  <r>
    <x v="1"/>
    <x v="2"/>
    <x v="1"/>
    <x v="0"/>
    <x v="1"/>
    <x v="9"/>
    <n v="100"/>
    <n v="95"/>
    <x v="11"/>
    <x v="0"/>
    <x v="11"/>
    <x v="8"/>
    <x v="8"/>
    <x v="9"/>
    <x v="0"/>
    <x v="5"/>
    <x v="0"/>
    <x v="0"/>
    <x v="0"/>
    <n v="282"/>
    <n v="13"/>
    <x v="0"/>
  </r>
  <r>
    <x v="1"/>
    <x v="4"/>
    <x v="3"/>
    <x v="0"/>
    <x v="1"/>
    <x v="0"/>
    <n v="96"/>
    <n v="86"/>
    <x v="11"/>
    <x v="0"/>
    <x v="13"/>
    <x v="9"/>
    <x v="15"/>
    <x v="0"/>
    <x v="3"/>
    <x v="7"/>
    <x v="0"/>
    <x v="0"/>
    <x v="0"/>
    <n v="282"/>
    <n v="14"/>
    <x v="0"/>
  </r>
  <r>
    <x v="0"/>
    <x v="0"/>
    <x v="4"/>
    <x v="0"/>
    <x v="1"/>
    <x v="10"/>
    <n v="99"/>
    <n v="95"/>
    <x v="11"/>
    <x v="0"/>
    <x v="10"/>
    <x v="10"/>
    <x v="7"/>
    <x v="10"/>
    <x v="2"/>
    <x v="5"/>
    <x v="0"/>
    <x v="0"/>
    <x v="0"/>
    <n v="282"/>
    <n v="11"/>
    <x v="0"/>
  </r>
  <r>
    <x v="1"/>
    <x v="2"/>
    <x v="1"/>
    <x v="0"/>
    <x v="0"/>
    <x v="2"/>
    <n v="93"/>
    <n v="91"/>
    <x v="12"/>
    <x v="0"/>
    <x v="13"/>
    <x v="11"/>
    <x v="16"/>
    <x v="2"/>
    <x v="5"/>
    <x v="8"/>
    <x v="0"/>
    <x v="0"/>
    <x v="0"/>
    <n v="281"/>
    <n v="6"/>
    <x v="0"/>
  </r>
  <r>
    <x v="0"/>
    <x v="2"/>
    <x v="1"/>
    <x v="0"/>
    <x v="0"/>
    <x v="11"/>
    <n v="95"/>
    <n v="94"/>
    <x v="13"/>
    <x v="0"/>
    <x v="4"/>
    <x v="1"/>
    <x v="2"/>
    <x v="11"/>
    <x v="6"/>
    <x v="9"/>
    <x v="0"/>
    <x v="0"/>
    <x v="0"/>
    <n v="280"/>
    <n v="4"/>
    <x v="0"/>
  </r>
  <r>
    <x v="1"/>
    <x v="4"/>
    <x v="0"/>
    <x v="0"/>
    <x v="0"/>
    <x v="11"/>
    <n v="96"/>
    <n v="92"/>
    <x v="14"/>
    <x v="0"/>
    <x v="6"/>
    <x v="10"/>
    <x v="1"/>
    <x v="11"/>
    <x v="3"/>
    <x v="10"/>
    <x v="0"/>
    <x v="0"/>
    <x v="0"/>
    <n v="279"/>
    <n v="5"/>
    <x v="0"/>
  </r>
  <r>
    <x v="0"/>
    <x v="3"/>
    <x v="4"/>
    <x v="0"/>
    <x v="0"/>
    <x v="12"/>
    <n v="95"/>
    <n v="93"/>
    <x v="15"/>
    <x v="0"/>
    <x v="6"/>
    <x v="11"/>
    <x v="2"/>
    <x v="12"/>
    <x v="6"/>
    <x v="2"/>
    <x v="0"/>
    <x v="0"/>
    <x v="0"/>
    <n v="278"/>
    <n v="5"/>
    <x v="0"/>
  </r>
  <r>
    <x v="1"/>
    <x v="2"/>
    <x v="0"/>
    <x v="0"/>
    <x v="1"/>
    <x v="4"/>
    <n v="90"/>
    <n v="92"/>
    <x v="15"/>
    <x v="0"/>
    <x v="12"/>
    <x v="2"/>
    <x v="17"/>
    <x v="4"/>
    <x v="7"/>
    <x v="10"/>
    <x v="0"/>
    <x v="0"/>
    <x v="0"/>
    <n v="278"/>
    <n v="6"/>
    <x v="0"/>
  </r>
  <r>
    <x v="1"/>
    <x v="3"/>
    <x v="3"/>
    <x v="0"/>
    <x v="1"/>
    <x v="11"/>
    <n v="96"/>
    <n v="91"/>
    <x v="15"/>
    <x v="0"/>
    <x v="6"/>
    <x v="8"/>
    <x v="0"/>
    <x v="11"/>
    <x v="3"/>
    <x v="8"/>
    <x v="0"/>
    <x v="0"/>
    <x v="0"/>
    <n v="278"/>
    <n v="5"/>
    <x v="0"/>
  </r>
  <r>
    <x v="0"/>
    <x v="2"/>
    <x v="3"/>
    <x v="0"/>
    <x v="1"/>
    <x v="10"/>
    <n v="95"/>
    <n v="94"/>
    <x v="16"/>
    <x v="0"/>
    <x v="7"/>
    <x v="1"/>
    <x v="6"/>
    <x v="10"/>
    <x v="6"/>
    <x v="9"/>
    <x v="0"/>
    <x v="0"/>
    <x v="0"/>
    <n v="277"/>
    <n v="7"/>
    <x v="0"/>
  </r>
  <r>
    <x v="0"/>
    <x v="0"/>
    <x v="1"/>
    <x v="0"/>
    <x v="1"/>
    <x v="13"/>
    <n v="89"/>
    <n v="92"/>
    <x v="17"/>
    <x v="0"/>
    <x v="12"/>
    <x v="5"/>
    <x v="9"/>
    <x v="13"/>
    <x v="8"/>
    <x v="10"/>
    <x v="0"/>
    <x v="0"/>
    <x v="0"/>
    <n v="276"/>
    <n v="6"/>
    <x v="0"/>
  </r>
  <r>
    <x v="0"/>
    <x v="0"/>
    <x v="1"/>
    <x v="0"/>
    <x v="0"/>
    <x v="9"/>
    <n v="94"/>
    <n v="95"/>
    <x v="17"/>
    <x v="0"/>
    <x v="7"/>
    <x v="4"/>
    <x v="8"/>
    <x v="9"/>
    <x v="9"/>
    <x v="5"/>
    <x v="0"/>
    <x v="0"/>
    <x v="0"/>
    <n v="276"/>
    <n v="8"/>
    <x v="0"/>
  </r>
  <r>
    <x v="0"/>
    <x v="3"/>
    <x v="3"/>
    <x v="0"/>
    <x v="1"/>
    <x v="10"/>
    <n v="95"/>
    <n v="92"/>
    <x v="18"/>
    <x v="0"/>
    <x v="7"/>
    <x v="7"/>
    <x v="3"/>
    <x v="10"/>
    <x v="6"/>
    <x v="10"/>
    <x v="0"/>
    <x v="0"/>
    <x v="0"/>
    <n v="275"/>
    <n v="7"/>
    <x v="0"/>
  </r>
  <r>
    <x v="0"/>
    <x v="1"/>
    <x v="1"/>
    <x v="0"/>
    <x v="1"/>
    <x v="10"/>
    <n v="92"/>
    <n v="95"/>
    <x v="18"/>
    <x v="0"/>
    <x v="4"/>
    <x v="5"/>
    <x v="7"/>
    <x v="10"/>
    <x v="4"/>
    <x v="5"/>
    <x v="0"/>
    <x v="0"/>
    <x v="0"/>
    <n v="275"/>
    <n v="7"/>
    <x v="0"/>
  </r>
  <r>
    <x v="0"/>
    <x v="1"/>
    <x v="3"/>
    <x v="0"/>
    <x v="1"/>
    <x v="14"/>
    <n v="97"/>
    <n v="96"/>
    <x v="18"/>
    <x v="0"/>
    <x v="14"/>
    <x v="1"/>
    <x v="18"/>
    <x v="14"/>
    <x v="1"/>
    <x v="3"/>
    <x v="0"/>
    <x v="0"/>
    <x v="0"/>
    <n v="275"/>
    <n v="15"/>
    <x v="0"/>
  </r>
  <r>
    <x v="1"/>
    <x v="2"/>
    <x v="0"/>
    <x v="0"/>
    <x v="1"/>
    <x v="5"/>
    <n v="90"/>
    <n v="91"/>
    <x v="18"/>
    <x v="0"/>
    <x v="13"/>
    <x v="4"/>
    <x v="9"/>
    <x v="5"/>
    <x v="7"/>
    <x v="8"/>
    <x v="0"/>
    <x v="0"/>
    <x v="0"/>
    <n v="275"/>
    <n v="4"/>
    <x v="0"/>
  </r>
  <r>
    <x v="1"/>
    <x v="2"/>
    <x v="1"/>
    <x v="0"/>
    <x v="1"/>
    <x v="3"/>
    <n v="87"/>
    <n v="90"/>
    <x v="18"/>
    <x v="0"/>
    <x v="15"/>
    <x v="5"/>
    <x v="19"/>
    <x v="3"/>
    <x v="10"/>
    <x v="6"/>
    <x v="0"/>
    <x v="0"/>
    <x v="0"/>
    <n v="275"/>
    <n v="11"/>
    <x v="0"/>
  </r>
  <r>
    <x v="1"/>
    <x v="2"/>
    <x v="3"/>
    <x v="0"/>
    <x v="1"/>
    <x v="3"/>
    <n v="86"/>
    <n v="90"/>
    <x v="19"/>
    <x v="0"/>
    <x v="16"/>
    <x v="12"/>
    <x v="19"/>
    <x v="3"/>
    <x v="11"/>
    <x v="6"/>
    <x v="0"/>
    <x v="0"/>
    <x v="0"/>
    <n v="274"/>
    <n v="12"/>
    <x v="0"/>
  </r>
  <r>
    <x v="0"/>
    <x v="2"/>
    <x v="3"/>
    <x v="0"/>
    <x v="1"/>
    <x v="10"/>
    <n v="93"/>
    <n v="93"/>
    <x v="19"/>
    <x v="0"/>
    <x v="6"/>
    <x v="0"/>
    <x v="10"/>
    <x v="10"/>
    <x v="5"/>
    <x v="2"/>
    <x v="0"/>
    <x v="0"/>
    <x v="0"/>
    <n v="274"/>
    <n v="5"/>
    <x v="0"/>
  </r>
  <r>
    <x v="0"/>
    <x v="1"/>
    <x v="2"/>
    <x v="0"/>
    <x v="0"/>
    <x v="15"/>
    <n v="97"/>
    <n v="96"/>
    <x v="19"/>
    <x v="0"/>
    <x v="17"/>
    <x v="1"/>
    <x v="20"/>
    <x v="15"/>
    <x v="1"/>
    <x v="3"/>
    <x v="0"/>
    <x v="0"/>
    <x v="0"/>
    <n v="274"/>
    <n v="16"/>
    <x v="0"/>
  </r>
  <r>
    <x v="0"/>
    <x v="3"/>
    <x v="1"/>
    <x v="0"/>
    <x v="1"/>
    <x v="5"/>
    <n v="87"/>
    <n v="92"/>
    <x v="20"/>
    <x v="0"/>
    <x v="18"/>
    <x v="6"/>
    <x v="21"/>
    <x v="5"/>
    <x v="10"/>
    <x v="10"/>
    <x v="0"/>
    <x v="0"/>
    <x v="0"/>
    <n v="273"/>
    <n v="7"/>
    <x v="0"/>
  </r>
  <r>
    <x v="1"/>
    <x v="3"/>
    <x v="1"/>
    <x v="0"/>
    <x v="1"/>
    <x v="11"/>
    <n v="89"/>
    <n v="92"/>
    <x v="21"/>
    <x v="0"/>
    <x v="19"/>
    <x v="5"/>
    <x v="1"/>
    <x v="11"/>
    <x v="8"/>
    <x v="10"/>
    <x v="0"/>
    <x v="0"/>
    <x v="0"/>
    <n v="272"/>
    <n v="3"/>
    <x v="0"/>
  </r>
  <r>
    <x v="0"/>
    <x v="2"/>
    <x v="0"/>
    <x v="0"/>
    <x v="0"/>
    <x v="16"/>
    <n v="93"/>
    <n v="95"/>
    <x v="22"/>
    <x v="0"/>
    <x v="20"/>
    <x v="2"/>
    <x v="22"/>
    <x v="16"/>
    <x v="5"/>
    <x v="5"/>
    <x v="0"/>
    <x v="0"/>
    <x v="0"/>
    <n v="271"/>
    <n v="12"/>
    <x v="0"/>
  </r>
  <r>
    <x v="0"/>
    <x v="3"/>
    <x v="1"/>
    <x v="0"/>
    <x v="1"/>
    <x v="12"/>
    <n v="90"/>
    <n v="91"/>
    <x v="22"/>
    <x v="0"/>
    <x v="0"/>
    <x v="4"/>
    <x v="1"/>
    <x v="12"/>
    <x v="7"/>
    <x v="8"/>
    <x v="0"/>
    <x v="0"/>
    <x v="0"/>
    <n v="271"/>
    <n v="1"/>
    <x v="0"/>
  </r>
  <r>
    <x v="0"/>
    <x v="0"/>
    <x v="1"/>
    <x v="0"/>
    <x v="0"/>
    <x v="17"/>
    <n v="95"/>
    <n v="92"/>
    <x v="22"/>
    <x v="0"/>
    <x v="10"/>
    <x v="7"/>
    <x v="8"/>
    <x v="17"/>
    <x v="6"/>
    <x v="10"/>
    <x v="0"/>
    <x v="0"/>
    <x v="0"/>
    <n v="271"/>
    <n v="11"/>
    <x v="0"/>
  </r>
  <r>
    <x v="0"/>
    <x v="2"/>
    <x v="2"/>
    <x v="0"/>
    <x v="1"/>
    <x v="18"/>
    <n v="92"/>
    <n v="93"/>
    <x v="23"/>
    <x v="0"/>
    <x v="7"/>
    <x v="4"/>
    <x v="8"/>
    <x v="18"/>
    <x v="4"/>
    <x v="2"/>
    <x v="0"/>
    <x v="0"/>
    <x v="0"/>
    <n v="270"/>
    <n v="8"/>
    <x v="0"/>
  </r>
  <r>
    <x v="0"/>
    <x v="2"/>
    <x v="3"/>
    <x v="0"/>
    <x v="1"/>
    <x v="9"/>
    <n v="89"/>
    <n v="94"/>
    <x v="23"/>
    <x v="0"/>
    <x v="3"/>
    <x v="6"/>
    <x v="7"/>
    <x v="9"/>
    <x v="8"/>
    <x v="9"/>
    <x v="0"/>
    <x v="0"/>
    <x v="0"/>
    <n v="270"/>
    <n v="7"/>
    <x v="0"/>
  </r>
  <r>
    <x v="0"/>
    <x v="2"/>
    <x v="1"/>
    <x v="0"/>
    <x v="0"/>
    <x v="18"/>
    <n v="89"/>
    <n v="95"/>
    <x v="24"/>
    <x v="0"/>
    <x v="4"/>
    <x v="13"/>
    <x v="23"/>
    <x v="18"/>
    <x v="8"/>
    <x v="5"/>
    <x v="0"/>
    <x v="0"/>
    <x v="0"/>
    <n v="269"/>
    <n v="10"/>
    <x v="0"/>
  </r>
  <r>
    <x v="0"/>
    <x v="1"/>
    <x v="3"/>
    <x v="0"/>
    <x v="1"/>
    <x v="18"/>
    <n v="86"/>
    <n v="98"/>
    <x v="24"/>
    <x v="0"/>
    <x v="1"/>
    <x v="14"/>
    <x v="13"/>
    <x v="18"/>
    <x v="11"/>
    <x v="11"/>
    <x v="0"/>
    <x v="0"/>
    <x v="0"/>
    <n v="269"/>
    <n v="13"/>
    <x v="0"/>
  </r>
  <r>
    <x v="0"/>
    <x v="3"/>
    <x v="5"/>
    <x v="0"/>
    <x v="0"/>
    <x v="9"/>
    <n v="95"/>
    <n v="86"/>
    <x v="25"/>
    <x v="0"/>
    <x v="8"/>
    <x v="15"/>
    <x v="4"/>
    <x v="9"/>
    <x v="6"/>
    <x v="7"/>
    <x v="0"/>
    <x v="0"/>
    <x v="0"/>
    <n v="268"/>
    <n v="9"/>
    <x v="0"/>
  </r>
  <r>
    <x v="0"/>
    <x v="2"/>
    <x v="1"/>
    <x v="1"/>
    <x v="1"/>
    <x v="14"/>
    <n v="93"/>
    <n v="93"/>
    <x v="25"/>
    <x v="0"/>
    <x v="10"/>
    <x v="0"/>
    <x v="11"/>
    <x v="14"/>
    <x v="5"/>
    <x v="2"/>
    <x v="0"/>
    <x v="0"/>
    <x v="0"/>
    <n v="268"/>
    <n v="11"/>
    <x v="0"/>
  </r>
  <r>
    <x v="0"/>
    <x v="3"/>
    <x v="4"/>
    <x v="1"/>
    <x v="1"/>
    <x v="19"/>
    <n v="97"/>
    <n v="94"/>
    <x v="25"/>
    <x v="0"/>
    <x v="21"/>
    <x v="7"/>
    <x v="24"/>
    <x v="19"/>
    <x v="1"/>
    <x v="9"/>
    <x v="0"/>
    <x v="0"/>
    <x v="0"/>
    <n v="268"/>
    <n v="20"/>
    <x v="0"/>
  </r>
  <r>
    <x v="0"/>
    <x v="4"/>
    <x v="1"/>
    <x v="0"/>
    <x v="0"/>
    <x v="14"/>
    <n v="93"/>
    <n v="93"/>
    <x v="25"/>
    <x v="0"/>
    <x v="10"/>
    <x v="0"/>
    <x v="11"/>
    <x v="14"/>
    <x v="5"/>
    <x v="2"/>
    <x v="0"/>
    <x v="0"/>
    <x v="0"/>
    <n v="268"/>
    <n v="11"/>
    <x v="0"/>
  </r>
  <r>
    <x v="1"/>
    <x v="0"/>
    <x v="1"/>
    <x v="0"/>
    <x v="1"/>
    <x v="2"/>
    <n v="82"/>
    <n v="88"/>
    <x v="26"/>
    <x v="0"/>
    <x v="22"/>
    <x v="13"/>
    <x v="14"/>
    <x v="2"/>
    <x v="12"/>
    <x v="12"/>
    <x v="0"/>
    <x v="0"/>
    <x v="0"/>
    <n v="267"/>
    <n v="15"/>
    <x v="0"/>
  </r>
  <r>
    <x v="1"/>
    <x v="0"/>
    <x v="3"/>
    <x v="0"/>
    <x v="1"/>
    <x v="1"/>
    <n v="87"/>
    <n v="81"/>
    <x v="26"/>
    <x v="0"/>
    <x v="16"/>
    <x v="16"/>
    <x v="25"/>
    <x v="1"/>
    <x v="10"/>
    <x v="13"/>
    <x v="0"/>
    <x v="0"/>
    <x v="0"/>
    <n v="267"/>
    <n v="18"/>
    <x v="0"/>
  </r>
  <r>
    <x v="1"/>
    <x v="2"/>
    <x v="3"/>
    <x v="0"/>
    <x v="1"/>
    <x v="6"/>
    <n v="84"/>
    <n v="90"/>
    <x v="26"/>
    <x v="0"/>
    <x v="23"/>
    <x v="13"/>
    <x v="9"/>
    <x v="6"/>
    <x v="13"/>
    <x v="6"/>
    <x v="0"/>
    <x v="0"/>
    <x v="0"/>
    <n v="267"/>
    <n v="9"/>
    <x v="0"/>
  </r>
  <r>
    <x v="1"/>
    <x v="3"/>
    <x v="2"/>
    <x v="0"/>
    <x v="1"/>
    <x v="5"/>
    <n v="86"/>
    <n v="87"/>
    <x v="26"/>
    <x v="0"/>
    <x v="9"/>
    <x v="4"/>
    <x v="5"/>
    <x v="5"/>
    <x v="11"/>
    <x v="14"/>
    <x v="0"/>
    <x v="0"/>
    <x v="0"/>
    <n v="267"/>
    <n v="8"/>
    <x v="0"/>
  </r>
  <r>
    <x v="0"/>
    <x v="4"/>
    <x v="2"/>
    <x v="0"/>
    <x v="1"/>
    <x v="18"/>
    <n v="90"/>
    <n v="92"/>
    <x v="26"/>
    <x v="0"/>
    <x v="6"/>
    <x v="2"/>
    <x v="7"/>
    <x v="18"/>
    <x v="7"/>
    <x v="10"/>
    <x v="0"/>
    <x v="0"/>
    <x v="0"/>
    <n v="267"/>
    <n v="7"/>
    <x v="0"/>
  </r>
  <r>
    <x v="1"/>
    <x v="0"/>
    <x v="3"/>
    <x v="0"/>
    <x v="0"/>
    <x v="2"/>
    <n v="87"/>
    <n v="82"/>
    <x v="27"/>
    <x v="0"/>
    <x v="24"/>
    <x v="8"/>
    <x v="26"/>
    <x v="2"/>
    <x v="10"/>
    <x v="15"/>
    <x v="0"/>
    <x v="0"/>
    <x v="0"/>
    <n v="266"/>
    <n v="15"/>
    <x v="0"/>
  </r>
  <r>
    <x v="0"/>
    <x v="2"/>
    <x v="3"/>
    <x v="0"/>
    <x v="0"/>
    <x v="14"/>
    <n v="90"/>
    <n v="94"/>
    <x v="27"/>
    <x v="0"/>
    <x v="8"/>
    <x v="12"/>
    <x v="22"/>
    <x v="14"/>
    <x v="7"/>
    <x v="9"/>
    <x v="0"/>
    <x v="0"/>
    <x v="0"/>
    <n v="266"/>
    <n v="12"/>
    <x v="0"/>
  </r>
  <r>
    <x v="0"/>
    <x v="2"/>
    <x v="0"/>
    <x v="0"/>
    <x v="1"/>
    <x v="19"/>
    <n v="94"/>
    <n v="95"/>
    <x v="27"/>
    <x v="0"/>
    <x v="25"/>
    <x v="4"/>
    <x v="27"/>
    <x v="19"/>
    <x v="9"/>
    <x v="5"/>
    <x v="0"/>
    <x v="0"/>
    <x v="0"/>
    <n v="266"/>
    <n v="18"/>
    <x v="0"/>
  </r>
  <r>
    <x v="0"/>
    <x v="1"/>
    <x v="1"/>
    <x v="0"/>
    <x v="0"/>
    <x v="14"/>
    <n v="95"/>
    <n v="89"/>
    <x v="27"/>
    <x v="0"/>
    <x v="11"/>
    <x v="16"/>
    <x v="7"/>
    <x v="14"/>
    <x v="6"/>
    <x v="16"/>
    <x v="0"/>
    <x v="0"/>
    <x v="0"/>
    <n v="266"/>
    <n v="13"/>
    <x v="0"/>
  </r>
  <r>
    <x v="1"/>
    <x v="0"/>
    <x v="3"/>
    <x v="1"/>
    <x v="0"/>
    <x v="6"/>
    <n v="90"/>
    <n v="83"/>
    <x v="27"/>
    <x v="0"/>
    <x v="5"/>
    <x v="3"/>
    <x v="28"/>
    <x v="6"/>
    <x v="7"/>
    <x v="17"/>
    <x v="0"/>
    <x v="0"/>
    <x v="0"/>
    <n v="266"/>
    <n v="10"/>
    <x v="0"/>
  </r>
  <r>
    <x v="0"/>
    <x v="1"/>
    <x v="1"/>
    <x v="0"/>
    <x v="0"/>
    <x v="18"/>
    <n v="91"/>
    <n v="89"/>
    <x v="28"/>
    <x v="0"/>
    <x v="26"/>
    <x v="11"/>
    <x v="3"/>
    <x v="18"/>
    <x v="14"/>
    <x v="16"/>
    <x v="0"/>
    <x v="0"/>
    <x v="0"/>
    <n v="265"/>
    <n v="6"/>
    <x v="0"/>
  </r>
  <r>
    <x v="0"/>
    <x v="2"/>
    <x v="0"/>
    <x v="0"/>
    <x v="0"/>
    <x v="20"/>
    <n v="92"/>
    <n v="87"/>
    <x v="28"/>
    <x v="0"/>
    <x v="26"/>
    <x v="8"/>
    <x v="1"/>
    <x v="20"/>
    <x v="4"/>
    <x v="14"/>
    <x v="0"/>
    <x v="0"/>
    <x v="0"/>
    <n v="265"/>
    <n v="6"/>
    <x v="0"/>
  </r>
  <r>
    <x v="1"/>
    <x v="3"/>
    <x v="0"/>
    <x v="1"/>
    <x v="1"/>
    <x v="9"/>
    <n v="90"/>
    <n v="88"/>
    <x v="28"/>
    <x v="0"/>
    <x v="2"/>
    <x v="11"/>
    <x v="1"/>
    <x v="9"/>
    <x v="7"/>
    <x v="12"/>
    <x v="0"/>
    <x v="0"/>
    <x v="0"/>
    <n v="265"/>
    <n v="3"/>
    <x v="0"/>
  </r>
  <r>
    <x v="0"/>
    <x v="0"/>
    <x v="3"/>
    <x v="0"/>
    <x v="0"/>
    <x v="9"/>
    <n v="85"/>
    <n v="93"/>
    <x v="28"/>
    <x v="0"/>
    <x v="19"/>
    <x v="17"/>
    <x v="6"/>
    <x v="9"/>
    <x v="15"/>
    <x v="2"/>
    <x v="0"/>
    <x v="0"/>
    <x v="0"/>
    <n v="265"/>
    <n v="8"/>
    <x v="0"/>
  </r>
  <r>
    <x v="0"/>
    <x v="1"/>
    <x v="4"/>
    <x v="0"/>
    <x v="0"/>
    <x v="21"/>
    <n v="91"/>
    <n v="96"/>
    <x v="28"/>
    <x v="0"/>
    <x v="11"/>
    <x v="6"/>
    <x v="27"/>
    <x v="21"/>
    <x v="14"/>
    <x v="3"/>
    <x v="0"/>
    <x v="0"/>
    <x v="0"/>
    <n v="265"/>
    <n v="18"/>
    <x v="0"/>
  </r>
  <r>
    <x v="0"/>
    <x v="1"/>
    <x v="1"/>
    <x v="1"/>
    <x v="1"/>
    <x v="19"/>
    <n v="89"/>
    <n v="98"/>
    <x v="29"/>
    <x v="0"/>
    <x v="27"/>
    <x v="18"/>
    <x v="29"/>
    <x v="19"/>
    <x v="8"/>
    <x v="11"/>
    <x v="0"/>
    <x v="0"/>
    <x v="0"/>
    <n v="264"/>
    <n v="21"/>
    <x v="0"/>
  </r>
  <r>
    <x v="0"/>
    <x v="0"/>
    <x v="4"/>
    <x v="0"/>
    <x v="0"/>
    <x v="15"/>
    <n v="92"/>
    <n v="91"/>
    <x v="29"/>
    <x v="0"/>
    <x v="10"/>
    <x v="1"/>
    <x v="23"/>
    <x v="15"/>
    <x v="4"/>
    <x v="8"/>
    <x v="0"/>
    <x v="0"/>
    <x v="0"/>
    <n v="264"/>
    <n v="11"/>
    <x v="0"/>
  </r>
  <r>
    <x v="1"/>
    <x v="2"/>
    <x v="5"/>
    <x v="0"/>
    <x v="0"/>
    <x v="10"/>
    <n v="89"/>
    <n v="86"/>
    <x v="30"/>
    <x v="0"/>
    <x v="1"/>
    <x v="7"/>
    <x v="21"/>
    <x v="10"/>
    <x v="8"/>
    <x v="7"/>
    <x v="0"/>
    <x v="0"/>
    <x v="0"/>
    <n v="263"/>
    <n v="3"/>
    <x v="0"/>
  </r>
  <r>
    <x v="1"/>
    <x v="1"/>
    <x v="4"/>
    <x v="1"/>
    <x v="1"/>
    <x v="17"/>
    <n v="89"/>
    <n v="90"/>
    <x v="30"/>
    <x v="0"/>
    <x v="6"/>
    <x v="4"/>
    <x v="6"/>
    <x v="17"/>
    <x v="8"/>
    <x v="6"/>
    <x v="0"/>
    <x v="0"/>
    <x v="0"/>
    <n v="263"/>
    <n v="6"/>
    <x v="0"/>
  </r>
  <r>
    <x v="0"/>
    <x v="2"/>
    <x v="3"/>
    <x v="0"/>
    <x v="0"/>
    <x v="17"/>
    <n v="87"/>
    <n v="91"/>
    <x v="31"/>
    <x v="0"/>
    <x v="2"/>
    <x v="12"/>
    <x v="7"/>
    <x v="17"/>
    <x v="10"/>
    <x v="8"/>
    <x v="0"/>
    <x v="0"/>
    <x v="0"/>
    <n v="262"/>
    <n v="7"/>
    <x v="0"/>
  </r>
  <r>
    <x v="1"/>
    <x v="1"/>
    <x v="1"/>
    <x v="0"/>
    <x v="0"/>
    <x v="12"/>
    <n v="87"/>
    <n v="85"/>
    <x v="31"/>
    <x v="0"/>
    <x v="5"/>
    <x v="11"/>
    <x v="30"/>
    <x v="12"/>
    <x v="10"/>
    <x v="18"/>
    <x v="0"/>
    <x v="0"/>
    <x v="0"/>
    <n v="262"/>
    <n v="5"/>
    <x v="0"/>
  </r>
  <r>
    <x v="1"/>
    <x v="0"/>
    <x v="1"/>
    <x v="1"/>
    <x v="0"/>
    <x v="12"/>
    <n v="90"/>
    <n v="82"/>
    <x v="31"/>
    <x v="0"/>
    <x v="0"/>
    <x v="19"/>
    <x v="19"/>
    <x v="12"/>
    <x v="7"/>
    <x v="15"/>
    <x v="0"/>
    <x v="0"/>
    <x v="0"/>
    <n v="262"/>
    <n v="8"/>
    <x v="0"/>
  </r>
  <r>
    <x v="0"/>
    <x v="0"/>
    <x v="3"/>
    <x v="0"/>
    <x v="1"/>
    <x v="20"/>
    <n v="85"/>
    <n v="91"/>
    <x v="31"/>
    <x v="0"/>
    <x v="28"/>
    <x v="13"/>
    <x v="10"/>
    <x v="20"/>
    <x v="15"/>
    <x v="8"/>
    <x v="0"/>
    <x v="0"/>
    <x v="0"/>
    <n v="262"/>
    <n v="6"/>
    <x v="0"/>
  </r>
  <r>
    <x v="0"/>
    <x v="0"/>
    <x v="1"/>
    <x v="0"/>
    <x v="0"/>
    <x v="18"/>
    <n v="92"/>
    <n v="85"/>
    <x v="31"/>
    <x v="0"/>
    <x v="7"/>
    <x v="3"/>
    <x v="0"/>
    <x v="18"/>
    <x v="4"/>
    <x v="18"/>
    <x v="0"/>
    <x v="0"/>
    <x v="0"/>
    <n v="262"/>
    <n v="7"/>
    <x v="0"/>
  </r>
  <r>
    <x v="0"/>
    <x v="2"/>
    <x v="1"/>
    <x v="0"/>
    <x v="0"/>
    <x v="11"/>
    <n v="86"/>
    <n v="84"/>
    <x v="32"/>
    <x v="0"/>
    <x v="29"/>
    <x v="11"/>
    <x v="5"/>
    <x v="11"/>
    <x v="11"/>
    <x v="19"/>
    <x v="0"/>
    <x v="0"/>
    <x v="0"/>
    <n v="261"/>
    <n v="7"/>
    <x v="0"/>
  </r>
  <r>
    <x v="0"/>
    <x v="0"/>
    <x v="1"/>
    <x v="0"/>
    <x v="1"/>
    <x v="22"/>
    <n v="88"/>
    <n v="94"/>
    <x v="32"/>
    <x v="0"/>
    <x v="30"/>
    <x v="13"/>
    <x v="20"/>
    <x v="22"/>
    <x v="16"/>
    <x v="9"/>
    <x v="0"/>
    <x v="0"/>
    <x v="0"/>
    <n v="261"/>
    <n v="15"/>
    <x v="0"/>
  </r>
  <r>
    <x v="0"/>
    <x v="3"/>
    <x v="5"/>
    <x v="0"/>
    <x v="0"/>
    <x v="15"/>
    <n v="91"/>
    <n v="89"/>
    <x v="32"/>
    <x v="0"/>
    <x v="20"/>
    <x v="11"/>
    <x v="8"/>
    <x v="15"/>
    <x v="14"/>
    <x v="16"/>
    <x v="0"/>
    <x v="0"/>
    <x v="0"/>
    <n v="261"/>
    <n v="10"/>
    <x v="0"/>
  </r>
  <r>
    <x v="1"/>
    <x v="0"/>
    <x v="1"/>
    <x v="0"/>
    <x v="1"/>
    <x v="5"/>
    <n v="85"/>
    <n v="82"/>
    <x v="32"/>
    <x v="0"/>
    <x v="23"/>
    <x v="7"/>
    <x v="31"/>
    <x v="5"/>
    <x v="15"/>
    <x v="15"/>
    <x v="0"/>
    <x v="0"/>
    <x v="0"/>
    <n v="261"/>
    <n v="12"/>
    <x v="0"/>
  </r>
  <r>
    <x v="0"/>
    <x v="1"/>
    <x v="0"/>
    <x v="1"/>
    <x v="0"/>
    <x v="21"/>
    <n v="90"/>
    <n v="93"/>
    <x v="32"/>
    <x v="0"/>
    <x v="27"/>
    <x v="5"/>
    <x v="20"/>
    <x v="21"/>
    <x v="7"/>
    <x v="2"/>
    <x v="0"/>
    <x v="0"/>
    <x v="0"/>
    <n v="261"/>
    <n v="15"/>
    <x v="0"/>
  </r>
  <r>
    <x v="1"/>
    <x v="2"/>
    <x v="4"/>
    <x v="0"/>
    <x v="1"/>
    <x v="11"/>
    <n v="85"/>
    <n v="85"/>
    <x v="32"/>
    <x v="0"/>
    <x v="12"/>
    <x v="0"/>
    <x v="16"/>
    <x v="11"/>
    <x v="15"/>
    <x v="18"/>
    <x v="0"/>
    <x v="0"/>
    <x v="0"/>
    <n v="261"/>
    <n v="6"/>
    <x v="0"/>
  </r>
  <r>
    <x v="0"/>
    <x v="2"/>
    <x v="0"/>
    <x v="0"/>
    <x v="1"/>
    <x v="22"/>
    <n v="92"/>
    <n v="89"/>
    <x v="33"/>
    <x v="0"/>
    <x v="11"/>
    <x v="7"/>
    <x v="23"/>
    <x v="22"/>
    <x v="4"/>
    <x v="16"/>
    <x v="0"/>
    <x v="0"/>
    <x v="0"/>
    <n v="260"/>
    <n v="13"/>
    <x v="0"/>
  </r>
  <r>
    <x v="1"/>
    <x v="1"/>
    <x v="4"/>
    <x v="0"/>
    <x v="0"/>
    <x v="13"/>
    <n v="81"/>
    <n v="84"/>
    <x v="33"/>
    <x v="0"/>
    <x v="31"/>
    <x v="5"/>
    <x v="32"/>
    <x v="13"/>
    <x v="17"/>
    <x v="19"/>
    <x v="0"/>
    <x v="0"/>
    <x v="0"/>
    <n v="260"/>
    <n v="14"/>
    <x v="0"/>
  </r>
  <r>
    <x v="0"/>
    <x v="1"/>
    <x v="2"/>
    <x v="0"/>
    <x v="1"/>
    <x v="23"/>
    <n v="92"/>
    <n v="88"/>
    <x v="33"/>
    <x v="0"/>
    <x v="27"/>
    <x v="10"/>
    <x v="8"/>
    <x v="23"/>
    <x v="4"/>
    <x v="12"/>
    <x v="0"/>
    <x v="0"/>
    <x v="0"/>
    <n v="260"/>
    <n v="12"/>
    <x v="0"/>
  </r>
  <r>
    <x v="0"/>
    <x v="2"/>
    <x v="4"/>
    <x v="0"/>
    <x v="1"/>
    <x v="15"/>
    <n v="91"/>
    <n v="87"/>
    <x v="34"/>
    <x v="0"/>
    <x v="20"/>
    <x v="10"/>
    <x v="6"/>
    <x v="15"/>
    <x v="14"/>
    <x v="14"/>
    <x v="0"/>
    <x v="0"/>
    <x v="0"/>
    <n v="259"/>
    <n v="10"/>
    <x v="0"/>
  </r>
  <r>
    <x v="1"/>
    <x v="0"/>
    <x v="5"/>
    <x v="0"/>
    <x v="1"/>
    <x v="9"/>
    <n v="91"/>
    <n v="81"/>
    <x v="34"/>
    <x v="0"/>
    <x v="4"/>
    <x v="9"/>
    <x v="16"/>
    <x v="9"/>
    <x v="14"/>
    <x v="13"/>
    <x v="0"/>
    <x v="0"/>
    <x v="0"/>
    <n v="259"/>
    <n v="10"/>
    <x v="0"/>
  </r>
  <r>
    <x v="0"/>
    <x v="1"/>
    <x v="3"/>
    <x v="0"/>
    <x v="0"/>
    <x v="23"/>
    <n v="90"/>
    <n v="89"/>
    <x v="34"/>
    <x v="0"/>
    <x v="20"/>
    <x v="1"/>
    <x v="33"/>
    <x v="23"/>
    <x v="7"/>
    <x v="16"/>
    <x v="0"/>
    <x v="0"/>
    <x v="0"/>
    <n v="259"/>
    <n v="10"/>
    <x v="0"/>
  </r>
  <r>
    <x v="1"/>
    <x v="1"/>
    <x v="2"/>
    <x v="0"/>
    <x v="1"/>
    <x v="8"/>
    <n v="88"/>
    <n v="82"/>
    <x v="34"/>
    <x v="0"/>
    <x v="28"/>
    <x v="16"/>
    <x v="5"/>
    <x v="8"/>
    <x v="16"/>
    <x v="15"/>
    <x v="0"/>
    <x v="0"/>
    <x v="0"/>
    <n v="259"/>
    <n v="7"/>
    <x v="0"/>
  </r>
  <r>
    <x v="1"/>
    <x v="0"/>
    <x v="4"/>
    <x v="0"/>
    <x v="0"/>
    <x v="12"/>
    <n v="85"/>
    <n v="84"/>
    <x v="34"/>
    <x v="0"/>
    <x v="29"/>
    <x v="1"/>
    <x v="16"/>
    <x v="12"/>
    <x v="15"/>
    <x v="19"/>
    <x v="0"/>
    <x v="0"/>
    <x v="0"/>
    <n v="259"/>
    <n v="6"/>
    <x v="0"/>
  </r>
  <r>
    <x v="0"/>
    <x v="2"/>
    <x v="0"/>
    <x v="0"/>
    <x v="0"/>
    <x v="15"/>
    <n v="88"/>
    <n v="90"/>
    <x v="34"/>
    <x v="0"/>
    <x v="7"/>
    <x v="2"/>
    <x v="33"/>
    <x v="15"/>
    <x v="16"/>
    <x v="6"/>
    <x v="0"/>
    <x v="0"/>
    <x v="0"/>
    <n v="259"/>
    <n v="9"/>
    <x v="0"/>
  </r>
  <r>
    <x v="0"/>
    <x v="2"/>
    <x v="3"/>
    <x v="1"/>
    <x v="0"/>
    <x v="19"/>
    <n v="90"/>
    <n v="91"/>
    <x v="35"/>
    <x v="0"/>
    <x v="11"/>
    <x v="4"/>
    <x v="18"/>
    <x v="19"/>
    <x v="7"/>
    <x v="8"/>
    <x v="0"/>
    <x v="0"/>
    <x v="0"/>
    <n v="258"/>
    <n v="14"/>
    <x v="0"/>
  </r>
  <r>
    <x v="1"/>
    <x v="4"/>
    <x v="0"/>
    <x v="0"/>
    <x v="1"/>
    <x v="9"/>
    <n v="84"/>
    <n v="87"/>
    <x v="35"/>
    <x v="0"/>
    <x v="5"/>
    <x v="5"/>
    <x v="0"/>
    <x v="9"/>
    <x v="13"/>
    <x v="14"/>
    <x v="0"/>
    <x v="0"/>
    <x v="0"/>
    <n v="258"/>
    <n v="3"/>
    <x v="0"/>
  </r>
  <r>
    <x v="1"/>
    <x v="1"/>
    <x v="4"/>
    <x v="0"/>
    <x v="0"/>
    <x v="18"/>
    <n v="84"/>
    <n v="89"/>
    <x v="35"/>
    <x v="0"/>
    <x v="28"/>
    <x v="6"/>
    <x v="3"/>
    <x v="18"/>
    <x v="13"/>
    <x v="16"/>
    <x v="0"/>
    <x v="0"/>
    <x v="0"/>
    <n v="258"/>
    <n v="5"/>
    <x v="0"/>
  </r>
  <r>
    <x v="0"/>
    <x v="3"/>
    <x v="3"/>
    <x v="0"/>
    <x v="0"/>
    <x v="22"/>
    <n v="86"/>
    <n v="92"/>
    <x v="36"/>
    <x v="0"/>
    <x v="7"/>
    <x v="13"/>
    <x v="13"/>
    <x v="22"/>
    <x v="11"/>
    <x v="10"/>
    <x v="0"/>
    <x v="0"/>
    <x v="0"/>
    <n v="257"/>
    <n v="13"/>
    <x v="0"/>
  </r>
  <r>
    <x v="0"/>
    <x v="0"/>
    <x v="1"/>
    <x v="1"/>
    <x v="1"/>
    <x v="16"/>
    <n v="86"/>
    <n v="88"/>
    <x v="36"/>
    <x v="0"/>
    <x v="2"/>
    <x v="2"/>
    <x v="10"/>
    <x v="16"/>
    <x v="11"/>
    <x v="12"/>
    <x v="0"/>
    <x v="0"/>
    <x v="0"/>
    <n v="257"/>
    <n v="5"/>
    <x v="0"/>
  </r>
  <r>
    <x v="1"/>
    <x v="0"/>
    <x v="2"/>
    <x v="0"/>
    <x v="0"/>
    <x v="7"/>
    <n v="87"/>
    <n v="78"/>
    <x v="36"/>
    <x v="0"/>
    <x v="29"/>
    <x v="15"/>
    <x v="15"/>
    <x v="7"/>
    <x v="10"/>
    <x v="20"/>
    <x v="0"/>
    <x v="0"/>
    <x v="0"/>
    <n v="257"/>
    <n v="14"/>
    <x v="0"/>
  </r>
  <r>
    <x v="0"/>
    <x v="1"/>
    <x v="0"/>
    <x v="0"/>
    <x v="0"/>
    <x v="22"/>
    <n v="89"/>
    <n v="89"/>
    <x v="36"/>
    <x v="0"/>
    <x v="20"/>
    <x v="0"/>
    <x v="23"/>
    <x v="22"/>
    <x v="8"/>
    <x v="16"/>
    <x v="0"/>
    <x v="0"/>
    <x v="0"/>
    <n v="257"/>
    <n v="10"/>
    <x v="0"/>
  </r>
  <r>
    <x v="0"/>
    <x v="3"/>
    <x v="1"/>
    <x v="1"/>
    <x v="1"/>
    <x v="24"/>
    <n v="94"/>
    <n v="87"/>
    <x v="36"/>
    <x v="0"/>
    <x v="32"/>
    <x v="3"/>
    <x v="11"/>
    <x v="24"/>
    <x v="9"/>
    <x v="14"/>
    <x v="0"/>
    <x v="0"/>
    <x v="0"/>
    <n v="257"/>
    <n v="18"/>
    <x v="0"/>
  </r>
  <r>
    <x v="1"/>
    <x v="1"/>
    <x v="1"/>
    <x v="0"/>
    <x v="1"/>
    <x v="9"/>
    <n v="84"/>
    <n v="85"/>
    <x v="37"/>
    <x v="0"/>
    <x v="5"/>
    <x v="4"/>
    <x v="21"/>
    <x v="9"/>
    <x v="13"/>
    <x v="18"/>
    <x v="0"/>
    <x v="0"/>
    <x v="0"/>
    <n v="256"/>
    <n v="3"/>
    <x v="0"/>
  </r>
  <r>
    <x v="0"/>
    <x v="2"/>
    <x v="3"/>
    <x v="0"/>
    <x v="0"/>
    <x v="16"/>
    <n v="83"/>
    <n v="90"/>
    <x v="37"/>
    <x v="0"/>
    <x v="0"/>
    <x v="20"/>
    <x v="7"/>
    <x v="16"/>
    <x v="18"/>
    <x v="6"/>
    <x v="0"/>
    <x v="0"/>
    <x v="0"/>
    <n v="256"/>
    <n v="7"/>
    <x v="0"/>
  </r>
  <r>
    <x v="0"/>
    <x v="2"/>
    <x v="2"/>
    <x v="0"/>
    <x v="0"/>
    <x v="19"/>
    <n v="91"/>
    <n v="88"/>
    <x v="37"/>
    <x v="0"/>
    <x v="33"/>
    <x v="7"/>
    <x v="11"/>
    <x v="19"/>
    <x v="14"/>
    <x v="12"/>
    <x v="0"/>
    <x v="0"/>
    <x v="0"/>
    <n v="256"/>
    <n v="14"/>
    <x v="0"/>
  </r>
  <r>
    <x v="0"/>
    <x v="4"/>
    <x v="3"/>
    <x v="0"/>
    <x v="1"/>
    <x v="21"/>
    <n v="87"/>
    <n v="91"/>
    <x v="37"/>
    <x v="0"/>
    <x v="30"/>
    <x v="12"/>
    <x v="13"/>
    <x v="21"/>
    <x v="10"/>
    <x v="8"/>
    <x v="0"/>
    <x v="0"/>
    <x v="0"/>
    <n v="256"/>
    <n v="13"/>
    <x v="0"/>
  </r>
  <r>
    <x v="1"/>
    <x v="1"/>
    <x v="4"/>
    <x v="0"/>
    <x v="0"/>
    <x v="8"/>
    <n v="84"/>
    <n v="82"/>
    <x v="38"/>
    <x v="0"/>
    <x v="29"/>
    <x v="11"/>
    <x v="5"/>
    <x v="8"/>
    <x v="13"/>
    <x v="15"/>
    <x v="0"/>
    <x v="0"/>
    <x v="0"/>
    <n v="255"/>
    <n v="7"/>
    <x v="0"/>
  </r>
  <r>
    <x v="1"/>
    <x v="2"/>
    <x v="0"/>
    <x v="0"/>
    <x v="0"/>
    <x v="20"/>
    <n v="83"/>
    <n v="86"/>
    <x v="38"/>
    <x v="0"/>
    <x v="5"/>
    <x v="5"/>
    <x v="0"/>
    <x v="20"/>
    <x v="18"/>
    <x v="7"/>
    <x v="0"/>
    <x v="0"/>
    <x v="0"/>
    <n v="255"/>
    <n v="3"/>
    <x v="0"/>
  </r>
  <r>
    <x v="1"/>
    <x v="1"/>
    <x v="5"/>
    <x v="0"/>
    <x v="0"/>
    <x v="8"/>
    <n v="87"/>
    <n v="79"/>
    <x v="38"/>
    <x v="0"/>
    <x v="19"/>
    <x v="19"/>
    <x v="28"/>
    <x v="8"/>
    <x v="10"/>
    <x v="21"/>
    <x v="0"/>
    <x v="0"/>
    <x v="0"/>
    <n v="255"/>
    <n v="10"/>
    <x v="0"/>
  </r>
  <r>
    <x v="1"/>
    <x v="2"/>
    <x v="1"/>
    <x v="0"/>
    <x v="0"/>
    <x v="7"/>
    <n v="79"/>
    <n v="84"/>
    <x v="38"/>
    <x v="0"/>
    <x v="34"/>
    <x v="6"/>
    <x v="19"/>
    <x v="7"/>
    <x v="19"/>
    <x v="19"/>
    <x v="0"/>
    <x v="0"/>
    <x v="0"/>
    <n v="255"/>
    <n v="13"/>
    <x v="0"/>
  </r>
  <r>
    <x v="0"/>
    <x v="1"/>
    <x v="3"/>
    <x v="1"/>
    <x v="0"/>
    <x v="22"/>
    <n v="89"/>
    <n v="86"/>
    <x v="39"/>
    <x v="0"/>
    <x v="20"/>
    <x v="7"/>
    <x v="7"/>
    <x v="22"/>
    <x v="8"/>
    <x v="7"/>
    <x v="0"/>
    <x v="0"/>
    <x v="0"/>
    <n v="254"/>
    <n v="10"/>
    <x v="0"/>
  </r>
  <r>
    <x v="0"/>
    <x v="3"/>
    <x v="3"/>
    <x v="0"/>
    <x v="0"/>
    <x v="14"/>
    <n v="85"/>
    <n v="87"/>
    <x v="39"/>
    <x v="0"/>
    <x v="2"/>
    <x v="2"/>
    <x v="10"/>
    <x v="14"/>
    <x v="15"/>
    <x v="14"/>
    <x v="0"/>
    <x v="0"/>
    <x v="0"/>
    <n v="254"/>
    <n v="5"/>
    <x v="0"/>
  </r>
  <r>
    <x v="0"/>
    <x v="0"/>
    <x v="4"/>
    <x v="1"/>
    <x v="0"/>
    <x v="15"/>
    <n v="86"/>
    <n v="87"/>
    <x v="39"/>
    <x v="0"/>
    <x v="6"/>
    <x v="4"/>
    <x v="6"/>
    <x v="15"/>
    <x v="11"/>
    <x v="14"/>
    <x v="0"/>
    <x v="0"/>
    <x v="0"/>
    <n v="254"/>
    <n v="6"/>
    <x v="0"/>
  </r>
  <r>
    <x v="0"/>
    <x v="1"/>
    <x v="3"/>
    <x v="0"/>
    <x v="1"/>
    <x v="22"/>
    <n v="84"/>
    <n v="91"/>
    <x v="39"/>
    <x v="0"/>
    <x v="6"/>
    <x v="20"/>
    <x v="22"/>
    <x v="22"/>
    <x v="13"/>
    <x v="8"/>
    <x v="0"/>
    <x v="0"/>
    <x v="0"/>
    <n v="254"/>
    <n v="12"/>
    <x v="0"/>
  </r>
  <r>
    <x v="0"/>
    <x v="1"/>
    <x v="1"/>
    <x v="1"/>
    <x v="1"/>
    <x v="25"/>
    <n v="90"/>
    <n v="88"/>
    <x v="40"/>
    <x v="0"/>
    <x v="14"/>
    <x v="11"/>
    <x v="13"/>
    <x v="25"/>
    <x v="7"/>
    <x v="12"/>
    <x v="0"/>
    <x v="0"/>
    <x v="0"/>
    <n v="253"/>
    <n v="15"/>
    <x v="0"/>
  </r>
  <r>
    <x v="0"/>
    <x v="0"/>
    <x v="1"/>
    <x v="0"/>
    <x v="1"/>
    <x v="14"/>
    <n v="85"/>
    <n v="86"/>
    <x v="40"/>
    <x v="0"/>
    <x v="2"/>
    <x v="4"/>
    <x v="3"/>
    <x v="14"/>
    <x v="15"/>
    <x v="7"/>
    <x v="0"/>
    <x v="0"/>
    <x v="0"/>
    <n v="253"/>
    <n v="4"/>
    <x v="0"/>
  </r>
  <r>
    <x v="0"/>
    <x v="2"/>
    <x v="0"/>
    <x v="0"/>
    <x v="0"/>
    <x v="19"/>
    <n v="88"/>
    <n v="87"/>
    <x v="41"/>
    <x v="0"/>
    <x v="10"/>
    <x v="1"/>
    <x v="23"/>
    <x v="19"/>
    <x v="16"/>
    <x v="14"/>
    <x v="0"/>
    <x v="0"/>
    <x v="0"/>
    <n v="252"/>
    <n v="11"/>
    <x v="0"/>
  </r>
  <r>
    <x v="1"/>
    <x v="1"/>
    <x v="1"/>
    <x v="1"/>
    <x v="0"/>
    <x v="12"/>
    <n v="87"/>
    <n v="75"/>
    <x v="41"/>
    <x v="0"/>
    <x v="5"/>
    <x v="21"/>
    <x v="26"/>
    <x v="12"/>
    <x v="10"/>
    <x v="22"/>
    <x v="0"/>
    <x v="0"/>
    <x v="0"/>
    <n v="252"/>
    <n v="15"/>
    <x v="0"/>
  </r>
  <r>
    <x v="0"/>
    <x v="1"/>
    <x v="2"/>
    <x v="0"/>
    <x v="0"/>
    <x v="23"/>
    <n v="90"/>
    <n v="82"/>
    <x v="41"/>
    <x v="0"/>
    <x v="20"/>
    <x v="19"/>
    <x v="12"/>
    <x v="23"/>
    <x v="7"/>
    <x v="15"/>
    <x v="0"/>
    <x v="0"/>
    <x v="0"/>
    <n v="252"/>
    <n v="10"/>
    <x v="0"/>
  </r>
  <r>
    <x v="0"/>
    <x v="1"/>
    <x v="1"/>
    <x v="1"/>
    <x v="1"/>
    <x v="26"/>
    <n v="88"/>
    <n v="90"/>
    <x v="41"/>
    <x v="0"/>
    <x v="33"/>
    <x v="2"/>
    <x v="34"/>
    <x v="26"/>
    <x v="16"/>
    <x v="6"/>
    <x v="0"/>
    <x v="0"/>
    <x v="0"/>
    <n v="252"/>
    <n v="16"/>
    <x v="0"/>
  </r>
  <r>
    <x v="0"/>
    <x v="3"/>
    <x v="2"/>
    <x v="1"/>
    <x v="1"/>
    <x v="26"/>
    <n v="90"/>
    <n v="88"/>
    <x v="41"/>
    <x v="0"/>
    <x v="17"/>
    <x v="11"/>
    <x v="18"/>
    <x v="26"/>
    <x v="7"/>
    <x v="12"/>
    <x v="0"/>
    <x v="0"/>
    <x v="0"/>
    <n v="252"/>
    <n v="16"/>
    <x v="0"/>
  </r>
  <r>
    <x v="0"/>
    <x v="2"/>
    <x v="2"/>
    <x v="0"/>
    <x v="1"/>
    <x v="19"/>
    <n v="90"/>
    <n v="85"/>
    <x v="41"/>
    <x v="0"/>
    <x v="11"/>
    <x v="8"/>
    <x v="8"/>
    <x v="19"/>
    <x v="7"/>
    <x v="18"/>
    <x v="0"/>
    <x v="0"/>
    <x v="0"/>
    <n v="252"/>
    <n v="13"/>
    <x v="0"/>
  </r>
  <r>
    <x v="1"/>
    <x v="1"/>
    <x v="3"/>
    <x v="0"/>
    <x v="1"/>
    <x v="14"/>
    <n v="82"/>
    <n v="88"/>
    <x v="41"/>
    <x v="0"/>
    <x v="0"/>
    <x v="13"/>
    <x v="6"/>
    <x v="14"/>
    <x v="12"/>
    <x v="12"/>
    <x v="0"/>
    <x v="0"/>
    <x v="0"/>
    <n v="252"/>
    <n v="6"/>
    <x v="0"/>
  </r>
  <r>
    <x v="1"/>
    <x v="2"/>
    <x v="3"/>
    <x v="0"/>
    <x v="0"/>
    <x v="17"/>
    <n v="87"/>
    <n v="81"/>
    <x v="41"/>
    <x v="0"/>
    <x v="2"/>
    <x v="16"/>
    <x v="9"/>
    <x v="17"/>
    <x v="10"/>
    <x v="13"/>
    <x v="0"/>
    <x v="0"/>
    <x v="0"/>
    <n v="252"/>
    <n v="6"/>
    <x v="0"/>
  </r>
  <r>
    <x v="0"/>
    <x v="2"/>
    <x v="1"/>
    <x v="0"/>
    <x v="0"/>
    <x v="18"/>
    <n v="84"/>
    <n v="82"/>
    <x v="42"/>
    <x v="0"/>
    <x v="28"/>
    <x v="11"/>
    <x v="9"/>
    <x v="18"/>
    <x v="13"/>
    <x v="15"/>
    <x v="0"/>
    <x v="0"/>
    <x v="0"/>
    <n v="251"/>
    <n v="3"/>
    <x v="0"/>
  </r>
  <r>
    <x v="0"/>
    <x v="3"/>
    <x v="4"/>
    <x v="0"/>
    <x v="0"/>
    <x v="19"/>
    <n v="90"/>
    <n v="84"/>
    <x v="42"/>
    <x v="0"/>
    <x v="11"/>
    <x v="16"/>
    <x v="7"/>
    <x v="19"/>
    <x v="7"/>
    <x v="19"/>
    <x v="0"/>
    <x v="0"/>
    <x v="0"/>
    <n v="251"/>
    <n v="13"/>
    <x v="0"/>
  </r>
  <r>
    <x v="1"/>
    <x v="2"/>
    <x v="0"/>
    <x v="0"/>
    <x v="1"/>
    <x v="11"/>
    <n v="81"/>
    <n v="79"/>
    <x v="42"/>
    <x v="0"/>
    <x v="24"/>
    <x v="11"/>
    <x v="31"/>
    <x v="11"/>
    <x v="17"/>
    <x v="21"/>
    <x v="0"/>
    <x v="0"/>
    <x v="0"/>
    <n v="251"/>
    <n v="12"/>
    <x v="0"/>
  </r>
  <r>
    <x v="1"/>
    <x v="1"/>
    <x v="3"/>
    <x v="0"/>
    <x v="1"/>
    <x v="18"/>
    <n v="81"/>
    <n v="85"/>
    <x v="42"/>
    <x v="0"/>
    <x v="13"/>
    <x v="12"/>
    <x v="0"/>
    <x v="18"/>
    <x v="17"/>
    <x v="18"/>
    <x v="0"/>
    <x v="0"/>
    <x v="0"/>
    <n v="251"/>
    <n v="4"/>
    <x v="0"/>
  </r>
  <r>
    <x v="0"/>
    <x v="1"/>
    <x v="4"/>
    <x v="0"/>
    <x v="1"/>
    <x v="19"/>
    <n v="82"/>
    <n v="91"/>
    <x v="43"/>
    <x v="0"/>
    <x v="6"/>
    <x v="18"/>
    <x v="18"/>
    <x v="19"/>
    <x v="12"/>
    <x v="8"/>
    <x v="0"/>
    <x v="0"/>
    <x v="0"/>
    <n v="250"/>
    <n v="14"/>
    <x v="0"/>
  </r>
  <r>
    <x v="0"/>
    <x v="4"/>
    <x v="5"/>
    <x v="1"/>
    <x v="1"/>
    <x v="19"/>
    <n v="88"/>
    <n v="85"/>
    <x v="43"/>
    <x v="0"/>
    <x v="10"/>
    <x v="7"/>
    <x v="8"/>
    <x v="19"/>
    <x v="16"/>
    <x v="18"/>
    <x v="0"/>
    <x v="0"/>
    <x v="0"/>
    <n v="250"/>
    <n v="11"/>
    <x v="0"/>
  </r>
  <r>
    <x v="1"/>
    <x v="0"/>
    <x v="2"/>
    <x v="0"/>
    <x v="1"/>
    <x v="8"/>
    <n v="84"/>
    <n v="77"/>
    <x v="43"/>
    <x v="0"/>
    <x v="29"/>
    <x v="3"/>
    <x v="31"/>
    <x v="8"/>
    <x v="13"/>
    <x v="23"/>
    <x v="0"/>
    <x v="0"/>
    <x v="0"/>
    <n v="250"/>
    <n v="12"/>
    <x v="0"/>
  </r>
  <r>
    <x v="1"/>
    <x v="3"/>
    <x v="2"/>
    <x v="0"/>
    <x v="1"/>
    <x v="22"/>
    <n v="85"/>
    <n v="86"/>
    <x v="43"/>
    <x v="0"/>
    <x v="26"/>
    <x v="4"/>
    <x v="7"/>
    <x v="22"/>
    <x v="15"/>
    <x v="7"/>
    <x v="0"/>
    <x v="0"/>
    <x v="0"/>
    <n v="250"/>
    <n v="7"/>
    <x v="0"/>
  </r>
  <r>
    <x v="1"/>
    <x v="2"/>
    <x v="0"/>
    <x v="0"/>
    <x v="1"/>
    <x v="16"/>
    <n v="82"/>
    <n v="84"/>
    <x v="44"/>
    <x v="0"/>
    <x v="28"/>
    <x v="2"/>
    <x v="1"/>
    <x v="16"/>
    <x v="12"/>
    <x v="19"/>
    <x v="0"/>
    <x v="0"/>
    <x v="0"/>
    <n v="249"/>
    <n v="2"/>
    <x v="0"/>
  </r>
  <r>
    <x v="1"/>
    <x v="3"/>
    <x v="1"/>
    <x v="0"/>
    <x v="0"/>
    <x v="12"/>
    <n v="78"/>
    <n v="81"/>
    <x v="44"/>
    <x v="0"/>
    <x v="16"/>
    <x v="5"/>
    <x v="14"/>
    <x v="12"/>
    <x v="20"/>
    <x v="13"/>
    <x v="0"/>
    <x v="0"/>
    <x v="0"/>
    <n v="249"/>
    <n v="12"/>
    <x v="0"/>
  </r>
  <r>
    <x v="0"/>
    <x v="3"/>
    <x v="1"/>
    <x v="0"/>
    <x v="0"/>
    <x v="23"/>
    <n v="86"/>
    <n v="83"/>
    <x v="44"/>
    <x v="0"/>
    <x v="26"/>
    <x v="7"/>
    <x v="2"/>
    <x v="23"/>
    <x v="11"/>
    <x v="17"/>
    <x v="0"/>
    <x v="0"/>
    <x v="0"/>
    <n v="249"/>
    <n v="6"/>
    <x v="0"/>
  </r>
  <r>
    <x v="1"/>
    <x v="1"/>
    <x v="0"/>
    <x v="0"/>
    <x v="0"/>
    <x v="10"/>
    <n v="78"/>
    <n v="83"/>
    <x v="44"/>
    <x v="0"/>
    <x v="24"/>
    <x v="6"/>
    <x v="30"/>
    <x v="10"/>
    <x v="20"/>
    <x v="17"/>
    <x v="0"/>
    <x v="0"/>
    <x v="0"/>
    <n v="249"/>
    <n v="10"/>
    <x v="0"/>
  </r>
  <r>
    <x v="0"/>
    <x v="3"/>
    <x v="0"/>
    <x v="1"/>
    <x v="0"/>
    <x v="19"/>
    <n v="85"/>
    <n v="87"/>
    <x v="44"/>
    <x v="0"/>
    <x v="8"/>
    <x v="2"/>
    <x v="23"/>
    <x v="19"/>
    <x v="15"/>
    <x v="14"/>
    <x v="0"/>
    <x v="0"/>
    <x v="0"/>
    <n v="249"/>
    <n v="10"/>
    <x v="0"/>
  </r>
  <r>
    <x v="0"/>
    <x v="1"/>
    <x v="5"/>
    <x v="1"/>
    <x v="0"/>
    <x v="27"/>
    <n v="92"/>
    <n v="84"/>
    <x v="44"/>
    <x v="0"/>
    <x v="35"/>
    <x v="19"/>
    <x v="11"/>
    <x v="27"/>
    <x v="4"/>
    <x v="19"/>
    <x v="0"/>
    <x v="0"/>
    <x v="0"/>
    <n v="249"/>
    <n v="19"/>
    <x v="0"/>
  </r>
  <r>
    <x v="0"/>
    <x v="2"/>
    <x v="0"/>
    <x v="1"/>
    <x v="1"/>
    <x v="26"/>
    <n v="86"/>
    <n v="89"/>
    <x v="44"/>
    <x v="0"/>
    <x v="27"/>
    <x v="5"/>
    <x v="20"/>
    <x v="26"/>
    <x v="11"/>
    <x v="16"/>
    <x v="0"/>
    <x v="0"/>
    <x v="0"/>
    <n v="249"/>
    <n v="15"/>
    <x v="0"/>
  </r>
  <r>
    <x v="0"/>
    <x v="1"/>
    <x v="3"/>
    <x v="1"/>
    <x v="0"/>
    <x v="19"/>
    <n v="86"/>
    <n v="86"/>
    <x v="44"/>
    <x v="0"/>
    <x v="30"/>
    <x v="0"/>
    <x v="33"/>
    <x v="19"/>
    <x v="11"/>
    <x v="7"/>
    <x v="0"/>
    <x v="0"/>
    <x v="0"/>
    <n v="249"/>
    <n v="9"/>
    <x v="0"/>
  </r>
  <r>
    <x v="1"/>
    <x v="2"/>
    <x v="5"/>
    <x v="0"/>
    <x v="1"/>
    <x v="14"/>
    <n v="84"/>
    <n v="82"/>
    <x v="45"/>
    <x v="0"/>
    <x v="3"/>
    <x v="11"/>
    <x v="0"/>
    <x v="14"/>
    <x v="13"/>
    <x v="15"/>
    <x v="0"/>
    <x v="0"/>
    <x v="0"/>
    <n v="248"/>
    <n v="2"/>
    <x v="0"/>
  </r>
  <r>
    <x v="0"/>
    <x v="0"/>
    <x v="3"/>
    <x v="1"/>
    <x v="1"/>
    <x v="25"/>
    <n v="88"/>
    <n v="85"/>
    <x v="45"/>
    <x v="0"/>
    <x v="11"/>
    <x v="7"/>
    <x v="23"/>
    <x v="25"/>
    <x v="16"/>
    <x v="18"/>
    <x v="0"/>
    <x v="0"/>
    <x v="0"/>
    <n v="248"/>
    <n v="13"/>
    <x v="0"/>
  </r>
  <r>
    <x v="0"/>
    <x v="2"/>
    <x v="2"/>
    <x v="0"/>
    <x v="1"/>
    <x v="24"/>
    <n v="87"/>
    <n v="85"/>
    <x v="45"/>
    <x v="0"/>
    <x v="10"/>
    <x v="11"/>
    <x v="33"/>
    <x v="24"/>
    <x v="10"/>
    <x v="18"/>
    <x v="0"/>
    <x v="0"/>
    <x v="0"/>
    <n v="248"/>
    <n v="11"/>
    <x v="0"/>
  </r>
  <r>
    <x v="0"/>
    <x v="2"/>
    <x v="5"/>
    <x v="0"/>
    <x v="0"/>
    <x v="25"/>
    <n v="88"/>
    <n v="85"/>
    <x v="45"/>
    <x v="0"/>
    <x v="11"/>
    <x v="7"/>
    <x v="23"/>
    <x v="25"/>
    <x v="16"/>
    <x v="18"/>
    <x v="0"/>
    <x v="0"/>
    <x v="0"/>
    <n v="248"/>
    <n v="13"/>
    <x v="0"/>
  </r>
  <r>
    <x v="1"/>
    <x v="1"/>
    <x v="2"/>
    <x v="0"/>
    <x v="0"/>
    <x v="17"/>
    <n v="84"/>
    <n v="80"/>
    <x v="45"/>
    <x v="0"/>
    <x v="0"/>
    <x v="10"/>
    <x v="17"/>
    <x v="17"/>
    <x v="13"/>
    <x v="24"/>
    <x v="0"/>
    <x v="0"/>
    <x v="0"/>
    <n v="248"/>
    <n v="4"/>
    <x v="0"/>
  </r>
  <r>
    <x v="0"/>
    <x v="3"/>
    <x v="5"/>
    <x v="0"/>
    <x v="1"/>
    <x v="19"/>
    <n v="82"/>
    <n v="89"/>
    <x v="45"/>
    <x v="0"/>
    <x v="6"/>
    <x v="20"/>
    <x v="22"/>
    <x v="19"/>
    <x v="12"/>
    <x v="16"/>
    <x v="0"/>
    <x v="0"/>
    <x v="0"/>
    <n v="248"/>
    <n v="12"/>
    <x v="0"/>
  </r>
  <r>
    <x v="0"/>
    <x v="2"/>
    <x v="3"/>
    <x v="1"/>
    <x v="0"/>
    <x v="24"/>
    <n v="83"/>
    <n v="88"/>
    <x v="46"/>
    <x v="0"/>
    <x v="7"/>
    <x v="6"/>
    <x v="22"/>
    <x v="24"/>
    <x v="18"/>
    <x v="12"/>
    <x v="0"/>
    <x v="0"/>
    <x v="0"/>
    <n v="247"/>
    <n v="12"/>
    <x v="0"/>
  </r>
  <r>
    <x v="1"/>
    <x v="3"/>
    <x v="2"/>
    <x v="0"/>
    <x v="0"/>
    <x v="10"/>
    <n v="84"/>
    <n v="75"/>
    <x v="46"/>
    <x v="0"/>
    <x v="13"/>
    <x v="15"/>
    <x v="35"/>
    <x v="10"/>
    <x v="13"/>
    <x v="22"/>
    <x v="0"/>
    <x v="0"/>
    <x v="0"/>
    <n v="247"/>
    <n v="13"/>
    <x v="0"/>
  </r>
  <r>
    <x v="0"/>
    <x v="2"/>
    <x v="3"/>
    <x v="0"/>
    <x v="1"/>
    <x v="28"/>
    <n v="89"/>
    <n v="88"/>
    <x v="46"/>
    <x v="0"/>
    <x v="35"/>
    <x v="1"/>
    <x v="27"/>
    <x v="28"/>
    <x v="8"/>
    <x v="12"/>
    <x v="0"/>
    <x v="0"/>
    <x v="0"/>
    <n v="247"/>
    <n v="19"/>
    <x v="0"/>
  </r>
  <r>
    <x v="1"/>
    <x v="3"/>
    <x v="2"/>
    <x v="0"/>
    <x v="1"/>
    <x v="18"/>
    <n v="84"/>
    <n v="78"/>
    <x v="46"/>
    <x v="0"/>
    <x v="28"/>
    <x v="16"/>
    <x v="5"/>
    <x v="18"/>
    <x v="13"/>
    <x v="20"/>
    <x v="0"/>
    <x v="0"/>
    <x v="0"/>
    <n v="247"/>
    <n v="7"/>
    <x v="0"/>
  </r>
  <r>
    <x v="1"/>
    <x v="2"/>
    <x v="5"/>
    <x v="0"/>
    <x v="1"/>
    <x v="20"/>
    <n v="81"/>
    <n v="80"/>
    <x v="46"/>
    <x v="0"/>
    <x v="29"/>
    <x v="1"/>
    <x v="16"/>
    <x v="20"/>
    <x v="17"/>
    <x v="24"/>
    <x v="0"/>
    <x v="0"/>
    <x v="0"/>
    <n v="247"/>
    <n v="6"/>
    <x v="0"/>
  </r>
  <r>
    <x v="0"/>
    <x v="1"/>
    <x v="3"/>
    <x v="0"/>
    <x v="0"/>
    <x v="26"/>
    <n v="89"/>
    <n v="84"/>
    <x v="46"/>
    <x v="0"/>
    <x v="14"/>
    <x v="8"/>
    <x v="23"/>
    <x v="26"/>
    <x v="8"/>
    <x v="19"/>
    <x v="0"/>
    <x v="0"/>
    <x v="0"/>
    <n v="247"/>
    <n v="15"/>
    <x v="0"/>
  </r>
  <r>
    <x v="0"/>
    <x v="2"/>
    <x v="1"/>
    <x v="0"/>
    <x v="1"/>
    <x v="25"/>
    <n v="82"/>
    <n v="90"/>
    <x v="46"/>
    <x v="0"/>
    <x v="7"/>
    <x v="17"/>
    <x v="20"/>
    <x v="25"/>
    <x v="12"/>
    <x v="6"/>
    <x v="0"/>
    <x v="0"/>
    <x v="0"/>
    <n v="247"/>
    <n v="15"/>
    <x v="0"/>
  </r>
  <r>
    <x v="0"/>
    <x v="2"/>
    <x v="5"/>
    <x v="0"/>
    <x v="0"/>
    <x v="15"/>
    <n v="84"/>
    <n v="82"/>
    <x v="46"/>
    <x v="0"/>
    <x v="2"/>
    <x v="11"/>
    <x v="1"/>
    <x v="15"/>
    <x v="13"/>
    <x v="15"/>
    <x v="0"/>
    <x v="0"/>
    <x v="0"/>
    <n v="247"/>
    <n v="3"/>
    <x v="0"/>
  </r>
  <r>
    <x v="1"/>
    <x v="0"/>
    <x v="2"/>
    <x v="0"/>
    <x v="1"/>
    <x v="9"/>
    <n v="84"/>
    <n v="76"/>
    <x v="46"/>
    <x v="0"/>
    <x v="5"/>
    <x v="19"/>
    <x v="32"/>
    <x v="9"/>
    <x v="13"/>
    <x v="25"/>
    <x v="0"/>
    <x v="0"/>
    <x v="0"/>
    <n v="247"/>
    <n v="11"/>
    <x v="0"/>
  </r>
  <r>
    <x v="1"/>
    <x v="1"/>
    <x v="3"/>
    <x v="0"/>
    <x v="0"/>
    <x v="15"/>
    <n v="82"/>
    <n v="84"/>
    <x v="46"/>
    <x v="0"/>
    <x v="1"/>
    <x v="2"/>
    <x v="2"/>
    <x v="15"/>
    <x v="12"/>
    <x v="19"/>
    <x v="0"/>
    <x v="0"/>
    <x v="0"/>
    <n v="247"/>
    <n v="3"/>
    <x v="0"/>
  </r>
  <r>
    <x v="0"/>
    <x v="1"/>
    <x v="3"/>
    <x v="0"/>
    <x v="0"/>
    <x v="22"/>
    <n v="86"/>
    <n v="81"/>
    <x v="47"/>
    <x v="0"/>
    <x v="7"/>
    <x v="8"/>
    <x v="12"/>
    <x v="22"/>
    <x v="11"/>
    <x v="13"/>
    <x v="0"/>
    <x v="0"/>
    <x v="0"/>
    <n v="246"/>
    <n v="7"/>
    <x v="0"/>
  </r>
  <r>
    <x v="0"/>
    <x v="0"/>
    <x v="0"/>
    <x v="0"/>
    <x v="0"/>
    <x v="23"/>
    <n v="83"/>
    <n v="83"/>
    <x v="47"/>
    <x v="0"/>
    <x v="2"/>
    <x v="0"/>
    <x v="2"/>
    <x v="23"/>
    <x v="18"/>
    <x v="17"/>
    <x v="0"/>
    <x v="0"/>
    <x v="0"/>
    <n v="246"/>
    <n v="3"/>
    <x v="0"/>
  </r>
  <r>
    <x v="1"/>
    <x v="1"/>
    <x v="4"/>
    <x v="0"/>
    <x v="0"/>
    <x v="15"/>
    <n v="81"/>
    <n v="84"/>
    <x v="47"/>
    <x v="0"/>
    <x v="0"/>
    <x v="5"/>
    <x v="2"/>
    <x v="15"/>
    <x v="17"/>
    <x v="19"/>
    <x v="0"/>
    <x v="0"/>
    <x v="0"/>
    <n v="246"/>
    <n v="3"/>
    <x v="0"/>
  </r>
  <r>
    <x v="1"/>
    <x v="3"/>
    <x v="1"/>
    <x v="0"/>
    <x v="0"/>
    <x v="9"/>
    <n v="85"/>
    <n v="73"/>
    <x v="48"/>
    <x v="0"/>
    <x v="19"/>
    <x v="21"/>
    <x v="15"/>
    <x v="9"/>
    <x v="15"/>
    <x v="26"/>
    <x v="0"/>
    <x v="0"/>
    <x v="0"/>
    <n v="245"/>
    <n v="14"/>
    <x v="0"/>
  </r>
  <r>
    <x v="1"/>
    <x v="3"/>
    <x v="1"/>
    <x v="0"/>
    <x v="1"/>
    <x v="15"/>
    <n v="82"/>
    <n v="82"/>
    <x v="48"/>
    <x v="0"/>
    <x v="1"/>
    <x v="0"/>
    <x v="1"/>
    <x v="15"/>
    <x v="12"/>
    <x v="15"/>
    <x v="0"/>
    <x v="0"/>
    <x v="0"/>
    <n v="245"/>
    <n v="1"/>
    <x v="0"/>
  </r>
  <r>
    <x v="1"/>
    <x v="0"/>
    <x v="3"/>
    <x v="0"/>
    <x v="1"/>
    <x v="17"/>
    <n v="83"/>
    <n v="78"/>
    <x v="48"/>
    <x v="0"/>
    <x v="28"/>
    <x v="8"/>
    <x v="16"/>
    <x v="17"/>
    <x v="18"/>
    <x v="20"/>
    <x v="0"/>
    <x v="0"/>
    <x v="0"/>
    <n v="245"/>
    <n v="6"/>
    <x v="0"/>
  </r>
  <r>
    <x v="1"/>
    <x v="1"/>
    <x v="2"/>
    <x v="0"/>
    <x v="1"/>
    <x v="21"/>
    <n v="81"/>
    <n v="86"/>
    <x v="48"/>
    <x v="0"/>
    <x v="2"/>
    <x v="6"/>
    <x v="8"/>
    <x v="21"/>
    <x v="17"/>
    <x v="7"/>
    <x v="0"/>
    <x v="0"/>
    <x v="0"/>
    <n v="245"/>
    <n v="8"/>
    <x v="0"/>
  </r>
  <r>
    <x v="1"/>
    <x v="2"/>
    <x v="1"/>
    <x v="0"/>
    <x v="0"/>
    <x v="17"/>
    <n v="80"/>
    <n v="80"/>
    <x v="49"/>
    <x v="0"/>
    <x v="13"/>
    <x v="0"/>
    <x v="17"/>
    <x v="17"/>
    <x v="21"/>
    <x v="24"/>
    <x v="0"/>
    <x v="0"/>
    <x v="0"/>
    <n v="244"/>
    <n v="4"/>
    <x v="0"/>
  </r>
  <r>
    <x v="1"/>
    <x v="0"/>
    <x v="1"/>
    <x v="1"/>
    <x v="1"/>
    <x v="11"/>
    <n v="73"/>
    <n v="80"/>
    <x v="49"/>
    <x v="0"/>
    <x v="36"/>
    <x v="20"/>
    <x v="32"/>
    <x v="11"/>
    <x v="22"/>
    <x v="24"/>
    <x v="0"/>
    <x v="0"/>
    <x v="0"/>
    <n v="244"/>
    <n v="18"/>
    <x v="0"/>
  </r>
  <r>
    <x v="1"/>
    <x v="3"/>
    <x v="1"/>
    <x v="0"/>
    <x v="1"/>
    <x v="14"/>
    <n v="84"/>
    <n v="78"/>
    <x v="49"/>
    <x v="0"/>
    <x v="3"/>
    <x v="16"/>
    <x v="17"/>
    <x v="14"/>
    <x v="13"/>
    <x v="20"/>
    <x v="0"/>
    <x v="0"/>
    <x v="0"/>
    <n v="244"/>
    <n v="6"/>
    <x v="0"/>
  </r>
  <r>
    <x v="1"/>
    <x v="3"/>
    <x v="5"/>
    <x v="0"/>
    <x v="0"/>
    <x v="14"/>
    <n v="82"/>
    <n v="80"/>
    <x v="49"/>
    <x v="0"/>
    <x v="0"/>
    <x v="11"/>
    <x v="21"/>
    <x v="14"/>
    <x v="12"/>
    <x v="24"/>
    <x v="0"/>
    <x v="0"/>
    <x v="0"/>
    <n v="244"/>
    <n v="2"/>
    <x v="0"/>
  </r>
  <r>
    <x v="1"/>
    <x v="4"/>
    <x v="1"/>
    <x v="1"/>
    <x v="1"/>
    <x v="22"/>
    <n v="82"/>
    <n v="82"/>
    <x v="50"/>
    <x v="0"/>
    <x v="2"/>
    <x v="0"/>
    <x v="2"/>
    <x v="22"/>
    <x v="12"/>
    <x v="15"/>
    <x v="0"/>
    <x v="0"/>
    <x v="0"/>
    <n v="243"/>
    <n v="3"/>
    <x v="0"/>
  </r>
  <r>
    <x v="0"/>
    <x v="3"/>
    <x v="5"/>
    <x v="1"/>
    <x v="1"/>
    <x v="24"/>
    <n v="85"/>
    <n v="82"/>
    <x v="50"/>
    <x v="0"/>
    <x v="30"/>
    <x v="7"/>
    <x v="6"/>
    <x v="24"/>
    <x v="15"/>
    <x v="15"/>
    <x v="0"/>
    <x v="0"/>
    <x v="0"/>
    <n v="243"/>
    <n v="9"/>
    <x v="0"/>
  </r>
  <r>
    <x v="0"/>
    <x v="2"/>
    <x v="2"/>
    <x v="1"/>
    <x v="1"/>
    <x v="29"/>
    <n v="84"/>
    <n v="87"/>
    <x v="51"/>
    <x v="0"/>
    <x v="11"/>
    <x v="5"/>
    <x v="34"/>
    <x v="29"/>
    <x v="13"/>
    <x v="14"/>
    <x v="0"/>
    <x v="0"/>
    <x v="0"/>
    <n v="242"/>
    <n v="16"/>
    <x v="0"/>
  </r>
  <r>
    <x v="0"/>
    <x v="3"/>
    <x v="0"/>
    <x v="1"/>
    <x v="0"/>
    <x v="25"/>
    <n v="85"/>
    <n v="82"/>
    <x v="51"/>
    <x v="0"/>
    <x v="20"/>
    <x v="7"/>
    <x v="7"/>
    <x v="25"/>
    <x v="15"/>
    <x v="15"/>
    <x v="0"/>
    <x v="0"/>
    <x v="0"/>
    <n v="242"/>
    <n v="10"/>
    <x v="0"/>
  </r>
  <r>
    <x v="1"/>
    <x v="3"/>
    <x v="2"/>
    <x v="0"/>
    <x v="1"/>
    <x v="17"/>
    <n v="83"/>
    <n v="75"/>
    <x v="51"/>
    <x v="0"/>
    <x v="28"/>
    <x v="19"/>
    <x v="14"/>
    <x v="17"/>
    <x v="18"/>
    <x v="22"/>
    <x v="0"/>
    <x v="0"/>
    <x v="0"/>
    <n v="242"/>
    <n v="9"/>
    <x v="0"/>
  </r>
  <r>
    <x v="0"/>
    <x v="1"/>
    <x v="2"/>
    <x v="0"/>
    <x v="0"/>
    <x v="27"/>
    <n v="84"/>
    <n v="85"/>
    <x v="51"/>
    <x v="0"/>
    <x v="10"/>
    <x v="4"/>
    <x v="22"/>
    <x v="27"/>
    <x v="13"/>
    <x v="18"/>
    <x v="0"/>
    <x v="0"/>
    <x v="0"/>
    <n v="242"/>
    <n v="12"/>
    <x v="0"/>
  </r>
  <r>
    <x v="0"/>
    <x v="0"/>
    <x v="0"/>
    <x v="0"/>
    <x v="1"/>
    <x v="22"/>
    <n v="81"/>
    <n v="82"/>
    <x v="51"/>
    <x v="0"/>
    <x v="3"/>
    <x v="4"/>
    <x v="2"/>
    <x v="22"/>
    <x v="17"/>
    <x v="15"/>
    <x v="0"/>
    <x v="0"/>
    <x v="0"/>
    <n v="242"/>
    <n v="3"/>
    <x v="0"/>
  </r>
  <r>
    <x v="1"/>
    <x v="1"/>
    <x v="3"/>
    <x v="0"/>
    <x v="0"/>
    <x v="10"/>
    <n v="77"/>
    <n v="77"/>
    <x v="51"/>
    <x v="0"/>
    <x v="15"/>
    <x v="0"/>
    <x v="32"/>
    <x v="10"/>
    <x v="23"/>
    <x v="23"/>
    <x v="0"/>
    <x v="0"/>
    <x v="0"/>
    <n v="242"/>
    <n v="11"/>
    <x v="0"/>
  </r>
  <r>
    <x v="1"/>
    <x v="0"/>
    <x v="5"/>
    <x v="1"/>
    <x v="1"/>
    <x v="20"/>
    <n v="81"/>
    <n v="75"/>
    <x v="51"/>
    <x v="0"/>
    <x v="29"/>
    <x v="16"/>
    <x v="32"/>
    <x v="20"/>
    <x v="17"/>
    <x v="22"/>
    <x v="0"/>
    <x v="0"/>
    <x v="0"/>
    <n v="242"/>
    <n v="11"/>
    <x v="0"/>
  </r>
  <r>
    <x v="1"/>
    <x v="0"/>
    <x v="1"/>
    <x v="0"/>
    <x v="1"/>
    <x v="15"/>
    <n v="81"/>
    <n v="79"/>
    <x v="52"/>
    <x v="0"/>
    <x v="0"/>
    <x v="11"/>
    <x v="21"/>
    <x v="15"/>
    <x v="17"/>
    <x v="21"/>
    <x v="0"/>
    <x v="0"/>
    <x v="0"/>
    <n v="241"/>
    <n v="2"/>
    <x v="0"/>
  </r>
  <r>
    <x v="1"/>
    <x v="1"/>
    <x v="5"/>
    <x v="0"/>
    <x v="0"/>
    <x v="10"/>
    <n v="78"/>
    <n v="75"/>
    <x v="52"/>
    <x v="0"/>
    <x v="24"/>
    <x v="7"/>
    <x v="35"/>
    <x v="10"/>
    <x v="20"/>
    <x v="22"/>
    <x v="0"/>
    <x v="0"/>
    <x v="0"/>
    <n v="241"/>
    <n v="13"/>
    <x v="0"/>
  </r>
  <r>
    <x v="0"/>
    <x v="1"/>
    <x v="2"/>
    <x v="0"/>
    <x v="0"/>
    <x v="27"/>
    <n v="86"/>
    <n v="82"/>
    <x v="52"/>
    <x v="0"/>
    <x v="11"/>
    <x v="10"/>
    <x v="33"/>
    <x v="27"/>
    <x v="11"/>
    <x v="15"/>
    <x v="0"/>
    <x v="0"/>
    <x v="0"/>
    <n v="241"/>
    <n v="13"/>
    <x v="0"/>
  </r>
  <r>
    <x v="1"/>
    <x v="2"/>
    <x v="1"/>
    <x v="1"/>
    <x v="1"/>
    <x v="21"/>
    <n v="81"/>
    <n v="82"/>
    <x v="52"/>
    <x v="0"/>
    <x v="2"/>
    <x v="4"/>
    <x v="3"/>
    <x v="21"/>
    <x v="17"/>
    <x v="15"/>
    <x v="0"/>
    <x v="0"/>
    <x v="0"/>
    <n v="241"/>
    <n v="4"/>
    <x v="0"/>
  </r>
  <r>
    <x v="1"/>
    <x v="1"/>
    <x v="2"/>
    <x v="0"/>
    <x v="0"/>
    <x v="20"/>
    <n v="80"/>
    <n v="75"/>
    <x v="52"/>
    <x v="0"/>
    <x v="12"/>
    <x v="8"/>
    <x v="32"/>
    <x v="20"/>
    <x v="21"/>
    <x v="22"/>
    <x v="0"/>
    <x v="0"/>
    <x v="0"/>
    <n v="241"/>
    <n v="11"/>
    <x v="0"/>
  </r>
  <r>
    <x v="1"/>
    <x v="2"/>
    <x v="3"/>
    <x v="0"/>
    <x v="0"/>
    <x v="11"/>
    <n v="74"/>
    <n v="76"/>
    <x v="52"/>
    <x v="0"/>
    <x v="37"/>
    <x v="2"/>
    <x v="26"/>
    <x v="11"/>
    <x v="24"/>
    <x v="25"/>
    <x v="0"/>
    <x v="0"/>
    <x v="0"/>
    <n v="241"/>
    <n v="17"/>
    <x v="0"/>
  </r>
  <r>
    <x v="1"/>
    <x v="1"/>
    <x v="1"/>
    <x v="1"/>
    <x v="1"/>
    <x v="22"/>
    <n v="82"/>
    <n v="80"/>
    <x v="52"/>
    <x v="0"/>
    <x v="2"/>
    <x v="11"/>
    <x v="1"/>
    <x v="22"/>
    <x v="12"/>
    <x v="24"/>
    <x v="0"/>
    <x v="0"/>
    <x v="0"/>
    <n v="241"/>
    <n v="3"/>
    <x v="0"/>
  </r>
  <r>
    <x v="1"/>
    <x v="0"/>
    <x v="2"/>
    <x v="1"/>
    <x v="1"/>
    <x v="21"/>
    <n v="83"/>
    <n v="80"/>
    <x v="52"/>
    <x v="0"/>
    <x v="6"/>
    <x v="7"/>
    <x v="12"/>
    <x v="21"/>
    <x v="18"/>
    <x v="24"/>
    <x v="0"/>
    <x v="0"/>
    <x v="0"/>
    <n v="241"/>
    <n v="5"/>
    <x v="0"/>
  </r>
  <r>
    <x v="0"/>
    <x v="2"/>
    <x v="3"/>
    <x v="0"/>
    <x v="1"/>
    <x v="25"/>
    <n v="81"/>
    <n v="84"/>
    <x v="53"/>
    <x v="0"/>
    <x v="26"/>
    <x v="5"/>
    <x v="33"/>
    <x v="25"/>
    <x v="17"/>
    <x v="19"/>
    <x v="0"/>
    <x v="0"/>
    <x v="0"/>
    <n v="240"/>
    <n v="9"/>
    <x v="0"/>
  </r>
  <r>
    <x v="1"/>
    <x v="4"/>
    <x v="3"/>
    <x v="1"/>
    <x v="1"/>
    <x v="15"/>
    <n v="78"/>
    <n v="81"/>
    <x v="53"/>
    <x v="0"/>
    <x v="5"/>
    <x v="5"/>
    <x v="0"/>
    <x v="15"/>
    <x v="20"/>
    <x v="13"/>
    <x v="0"/>
    <x v="0"/>
    <x v="0"/>
    <n v="240"/>
    <n v="3"/>
    <x v="0"/>
  </r>
  <r>
    <x v="0"/>
    <x v="0"/>
    <x v="5"/>
    <x v="0"/>
    <x v="0"/>
    <x v="25"/>
    <n v="86"/>
    <n v="79"/>
    <x v="53"/>
    <x v="0"/>
    <x v="10"/>
    <x v="3"/>
    <x v="3"/>
    <x v="25"/>
    <x v="11"/>
    <x v="21"/>
    <x v="0"/>
    <x v="0"/>
    <x v="0"/>
    <n v="240"/>
    <n v="11"/>
    <x v="0"/>
  </r>
  <r>
    <x v="0"/>
    <x v="3"/>
    <x v="5"/>
    <x v="1"/>
    <x v="0"/>
    <x v="29"/>
    <n v="87"/>
    <n v="82"/>
    <x v="53"/>
    <x v="0"/>
    <x v="17"/>
    <x v="8"/>
    <x v="11"/>
    <x v="29"/>
    <x v="10"/>
    <x v="15"/>
    <x v="0"/>
    <x v="0"/>
    <x v="0"/>
    <n v="240"/>
    <n v="16"/>
    <x v="0"/>
  </r>
  <r>
    <x v="1"/>
    <x v="4"/>
    <x v="0"/>
    <x v="0"/>
    <x v="1"/>
    <x v="23"/>
    <n v="78"/>
    <n v="81"/>
    <x v="54"/>
    <x v="0"/>
    <x v="19"/>
    <x v="5"/>
    <x v="1"/>
    <x v="23"/>
    <x v="20"/>
    <x v="13"/>
    <x v="0"/>
    <x v="0"/>
    <x v="0"/>
    <n v="239"/>
    <n v="3"/>
    <x v="0"/>
  </r>
  <r>
    <x v="0"/>
    <x v="1"/>
    <x v="0"/>
    <x v="0"/>
    <x v="0"/>
    <x v="21"/>
    <n v="82"/>
    <n v="79"/>
    <x v="54"/>
    <x v="0"/>
    <x v="4"/>
    <x v="7"/>
    <x v="1"/>
    <x v="21"/>
    <x v="12"/>
    <x v="21"/>
    <x v="0"/>
    <x v="0"/>
    <x v="0"/>
    <n v="239"/>
    <n v="4"/>
    <x v="0"/>
  </r>
  <r>
    <x v="1"/>
    <x v="1"/>
    <x v="3"/>
    <x v="0"/>
    <x v="0"/>
    <x v="10"/>
    <n v="73"/>
    <n v="78"/>
    <x v="54"/>
    <x v="0"/>
    <x v="22"/>
    <x v="6"/>
    <x v="28"/>
    <x v="10"/>
    <x v="22"/>
    <x v="20"/>
    <x v="0"/>
    <x v="0"/>
    <x v="0"/>
    <n v="239"/>
    <n v="15"/>
    <x v="0"/>
  </r>
  <r>
    <x v="1"/>
    <x v="0"/>
    <x v="1"/>
    <x v="0"/>
    <x v="0"/>
    <x v="8"/>
    <n v="76"/>
    <n v="74"/>
    <x v="54"/>
    <x v="0"/>
    <x v="34"/>
    <x v="11"/>
    <x v="26"/>
    <x v="8"/>
    <x v="25"/>
    <x v="27"/>
    <x v="0"/>
    <x v="0"/>
    <x v="0"/>
    <n v="239"/>
    <n v="15"/>
    <x v="0"/>
  </r>
  <r>
    <x v="1"/>
    <x v="3"/>
    <x v="0"/>
    <x v="1"/>
    <x v="0"/>
    <x v="10"/>
    <n v="75"/>
    <n v="76"/>
    <x v="54"/>
    <x v="0"/>
    <x v="34"/>
    <x v="4"/>
    <x v="31"/>
    <x v="10"/>
    <x v="26"/>
    <x v="25"/>
    <x v="0"/>
    <x v="0"/>
    <x v="0"/>
    <n v="239"/>
    <n v="13"/>
    <x v="0"/>
  </r>
  <r>
    <x v="0"/>
    <x v="3"/>
    <x v="1"/>
    <x v="0"/>
    <x v="0"/>
    <x v="14"/>
    <n v="80"/>
    <n v="77"/>
    <x v="54"/>
    <x v="0"/>
    <x v="19"/>
    <x v="7"/>
    <x v="30"/>
    <x v="14"/>
    <x v="21"/>
    <x v="23"/>
    <x v="0"/>
    <x v="0"/>
    <x v="0"/>
    <n v="239"/>
    <n v="5"/>
    <x v="0"/>
  </r>
  <r>
    <x v="0"/>
    <x v="1"/>
    <x v="5"/>
    <x v="0"/>
    <x v="0"/>
    <x v="21"/>
    <n v="81"/>
    <n v="80"/>
    <x v="54"/>
    <x v="0"/>
    <x v="2"/>
    <x v="1"/>
    <x v="12"/>
    <x v="21"/>
    <x v="17"/>
    <x v="24"/>
    <x v="0"/>
    <x v="0"/>
    <x v="0"/>
    <n v="239"/>
    <n v="3"/>
    <x v="0"/>
  </r>
  <r>
    <x v="0"/>
    <x v="3"/>
    <x v="0"/>
    <x v="0"/>
    <x v="0"/>
    <x v="25"/>
    <n v="84"/>
    <n v="80"/>
    <x v="54"/>
    <x v="0"/>
    <x v="30"/>
    <x v="10"/>
    <x v="10"/>
    <x v="25"/>
    <x v="13"/>
    <x v="24"/>
    <x v="0"/>
    <x v="0"/>
    <x v="0"/>
    <n v="239"/>
    <n v="9"/>
    <x v="0"/>
  </r>
  <r>
    <x v="0"/>
    <x v="1"/>
    <x v="1"/>
    <x v="0"/>
    <x v="0"/>
    <x v="26"/>
    <n v="81"/>
    <n v="83"/>
    <x v="55"/>
    <x v="0"/>
    <x v="7"/>
    <x v="2"/>
    <x v="33"/>
    <x v="26"/>
    <x v="17"/>
    <x v="17"/>
    <x v="0"/>
    <x v="0"/>
    <x v="0"/>
    <n v="238"/>
    <n v="9"/>
    <x v="0"/>
  </r>
  <r>
    <x v="1"/>
    <x v="1"/>
    <x v="4"/>
    <x v="0"/>
    <x v="0"/>
    <x v="14"/>
    <n v="82"/>
    <n v="74"/>
    <x v="55"/>
    <x v="0"/>
    <x v="0"/>
    <x v="19"/>
    <x v="19"/>
    <x v="14"/>
    <x v="12"/>
    <x v="27"/>
    <x v="0"/>
    <x v="0"/>
    <x v="0"/>
    <n v="238"/>
    <n v="8"/>
    <x v="0"/>
  </r>
  <r>
    <x v="1"/>
    <x v="1"/>
    <x v="3"/>
    <x v="0"/>
    <x v="1"/>
    <x v="24"/>
    <n v="83"/>
    <n v="79"/>
    <x v="55"/>
    <x v="0"/>
    <x v="7"/>
    <x v="10"/>
    <x v="2"/>
    <x v="24"/>
    <x v="18"/>
    <x v="21"/>
    <x v="0"/>
    <x v="0"/>
    <x v="0"/>
    <n v="238"/>
    <n v="7"/>
    <x v="0"/>
  </r>
  <r>
    <x v="0"/>
    <x v="2"/>
    <x v="4"/>
    <x v="0"/>
    <x v="1"/>
    <x v="30"/>
    <n v="84"/>
    <n v="85"/>
    <x v="55"/>
    <x v="0"/>
    <x v="14"/>
    <x v="4"/>
    <x v="34"/>
    <x v="30"/>
    <x v="13"/>
    <x v="18"/>
    <x v="0"/>
    <x v="0"/>
    <x v="0"/>
    <n v="238"/>
    <n v="16"/>
    <x v="0"/>
  </r>
  <r>
    <x v="1"/>
    <x v="1"/>
    <x v="2"/>
    <x v="1"/>
    <x v="1"/>
    <x v="23"/>
    <n v="79"/>
    <n v="79"/>
    <x v="55"/>
    <x v="0"/>
    <x v="28"/>
    <x v="0"/>
    <x v="4"/>
    <x v="23"/>
    <x v="19"/>
    <x v="21"/>
    <x v="0"/>
    <x v="0"/>
    <x v="0"/>
    <n v="238"/>
    <n v="1"/>
    <x v="0"/>
  </r>
  <r>
    <x v="0"/>
    <x v="3"/>
    <x v="2"/>
    <x v="0"/>
    <x v="0"/>
    <x v="31"/>
    <n v="89"/>
    <n v="82"/>
    <x v="55"/>
    <x v="0"/>
    <x v="38"/>
    <x v="3"/>
    <x v="20"/>
    <x v="31"/>
    <x v="8"/>
    <x v="15"/>
    <x v="0"/>
    <x v="0"/>
    <x v="0"/>
    <n v="238"/>
    <n v="22"/>
    <x v="0"/>
  </r>
  <r>
    <x v="1"/>
    <x v="0"/>
    <x v="5"/>
    <x v="0"/>
    <x v="0"/>
    <x v="5"/>
    <n v="73"/>
    <n v="71"/>
    <x v="55"/>
    <x v="0"/>
    <x v="39"/>
    <x v="11"/>
    <x v="36"/>
    <x v="5"/>
    <x v="22"/>
    <x v="28"/>
    <x v="0"/>
    <x v="0"/>
    <x v="0"/>
    <n v="238"/>
    <n v="23"/>
    <x v="0"/>
  </r>
  <r>
    <x v="0"/>
    <x v="2"/>
    <x v="1"/>
    <x v="0"/>
    <x v="1"/>
    <x v="31"/>
    <n v="84"/>
    <n v="86"/>
    <x v="56"/>
    <x v="0"/>
    <x v="25"/>
    <x v="2"/>
    <x v="37"/>
    <x v="31"/>
    <x v="13"/>
    <x v="7"/>
    <x v="0"/>
    <x v="0"/>
    <x v="0"/>
    <n v="237"/>
    <n v="19"/>
    <x v="0"/>
  </r>
  <r>
    <x v="1"/>
    <x v="0"/>
    <x v="5"/>
    <x v="0"/>
    <x v="1"/>
    <x v="15"/>
    <n v="80"/>
    <n v="76"/>
    <x v="56"/>
    <x v="0"/>
    <x v="28"/>
    <x v="10"/>
    <x v="30"/>
    <x v="15"/>
    <x v="21"/>
    <x v="25"/>
    <x v="0"/>
    <x v="0"/>
    <x v="0"/>
    <n v="237"/>
    <n v="5"/>
    <x v="0"/>
  </r>
  <r>
    <x v="0"/>
    <x v="1"/>
    <x v="3"/>
    <x v="1"/>
    <x v="0"/>
    <x v="29"/>
    <n v="83"/>
    <n v="83"/>
    <x v="56"/>
    <x v="0"/>
    <x v="27"/>
    <x v="0"/>
    <x v="22"/>
    <x v="29"/>
    <x v="18"/>
    <x v="17"/>
    <x v="0"/>
    <x v="0"/>
    <x v="0"/>
    <n v="237"/>
    <n v="12"/>
    <x v="0"/>
  </r>
  <r>
    <x v="1"/>
    <x v="0"/>
    <x v="1"/>
    <x v="0"/>
    <x v="0"/>
    <x v="9"/>
    <n v="74"/>
    <n v="76"/>
    <x v="56"/>
    <x v="0"/>
    <x v="34"/>
    <x v="2"/>
    <x v="32"/>
    <x v="9"/>
    <x v="24"/>
    <x v="25"/>
    <x v="0"/>
    <x v="0"/>
    <x v="0"/>
    <n v="237"/>
    <n v="13"/>
    <x v="0"/>
  </r>
  <r>
    <x v="0"/>
    <x v="2"/>
    <x v="1"/>
    <x v="0"/>
    <x v="0"/>
    <x v="15"/>
    <n v="77"/>
    <n v="79"/>
    <x v="56"/>
    <x v="0"/>
    <x v="13"/>
    <x v="2"/>
    <x v="21"/>
    <x v="15"/>
    <x v="23"/>
    <x v="21"/>
    <x v="0"/>
    <x v="0"/>
    <x v="0"/>
    <n v="237"/>
    <n v="4"/>
    <x v="0"/>
  </r>
  <r>
    <x v="1"/>
    <x v="1"/>
    <x v="2"/>
    <x v="0"/>
    <x v="1"/>
    <x v="10"/>
    <n v="74"/>
    <n v="75"/>
    <x v="56"/>
    <x v="0"/>
    <x v="31"/>
    <x v="4"/>
    <x v="35"/>
    <x v="10"/>
    <x v="24"/>
    <x v="22"/>
    <x v="0"/>
    <x v="0"/>
    <x v="0"/>
    <n v="237"/>
    <n v="14"/>
    <x v="0"/>
  </r>
  <r>
    <x v="1"/>
    <x v="1"/>
    <x v="2"/>
    <x v="0"/>
    <x v="0"/>
    <x v="15"/>
    <n v="78"/>
    <n v="78"/>
    <x v="56"/>
    <x v="0"/>
    <x v="5"/>
    <x v="0"/>
    <x v="9"/>
    <x v="15"/>
    <x v="20"/>
    <x v="20"/>
    <x v="0"/>
    <x v="0"/>
    <x v="0"/>
    <n v="237"/>
    <n v="3"/>
    <x v="0"/>
  </r>
  <r>
    <x v="1"/>
    <x v="0"/>
    <x v="3"/>
    <x v="0"/>
    <x v="0"/>
    <x v="16"/>
    <n v="80"/>
    <n v="73"/>
    <x v="57"/>
    <x v="0"/>
    <x v="5"/>
    <x v="3"/>
    <x v="28"/>
    <x v="16"/>
    <x v="21"/>
    <x v="26"/>
    <x v="0"/>
    <x v="0"/>
    <x v="0"/>
    <n v="236"/>
    <n v="10"/>
    <x v="0"/>
  </r>
  <r>
    <x v="0"/>
    <x v="3"/>
    <x v="0"/>
    <x v="0"/>
    <x v="0"/>
    <x v="31"/>
    <n v="86"/>
    <n v="83"/>
    <x v="57"/>
    <x v="0"/>
    <x v="35"/>
    <x v="7"/>
    <x v="34"/>
    <x v="31"/>
    <x v="11"/>
    <x v="17"/>
    <x v="0"/>
    <x v="0"/>
    <x v="0"/>
    <n v="236"/>
    <n v="19"/>
    <x v="0"/>
  </r>
  <r>
    <x v="1"/>
    <x v="2"/>
    <x v="3"/>
    <x v="0"/>
    <x v="1"/>
    <x v="22"/>
    <n v="79"/>
    <n v="78"/>
    <x v="57"/>
    <x v="0"/>
    <x v="0"/>
    <x v="1"/>
    <x v="4"/>
    <x v="22"/>
    <x v="19"/>
    <x v="20"/>
    <x v="0"/>
    <x v="0"/>
    <x v="0"/>
    <n v="236"/>
    <n v="1"/>
    <x v="0"/>
  </r>
  <r>
    <x v="0"/>
    <x v="1"/>
    <x v="0"/>
    <x v="1"/>
    <x v="0"/>
    <x v="27"/>
    <n v="79"/>
    <n v="84"/>
    <x v="57"/>
    <x v="0"/>
    <x v="26"/>
    <x v="6"/>
    <x v="11"/>
    <x v="27"/>
    <x v="19"/>
    <x v="19"/>
    <x v="0"/>
    <x v="0"/>
    <x v="0"/>
    <n v="236"/>
    <n v="11"/>
    <x v="0"/>
  </r>
  <r>
    <x v="0"/>
    <x v="0"/>
    <x v="2"/>
    <x v="0"/>
    <x v="0"/>
    <x v="19"/>
    <n v="79"/>
    <n v="80"/>
    <x v="57"/>
    <x v="0"/>
    <x v="3"/>
    <x v="4"/>
    <x v="2"/>
    <x v="19"/>
    <x v="19"/>
    <x v="24"/>
    <x v="0"/>
    <x v="0"/>
    <x v="0"/>
    <n v="236"/>
    <n v="3"/>
    <x v="0"/>
  </r>
  <r>
    <x v="1"/>
    <x v="0"/>
    <x v="3"/>
    <x v="0"/>
    <x v="0"/>
    <x v="20"/>
    <n v="76"/>
    <n v="74"/>
    <x v="57"/>
    <x v="0"/>
    <x v="24"/>
    <x v="11"/>
    <x v="31"/>
    <x v="20"/>
    <x v="25"/>
    <x v="27"/>
    <x v="0"/>
    <x v="0"/>
    <x v="0"/>
    <n v="236"/>
    <n v="12"/>
    <x v="0"/>
  </r>
  <r>
    <x v="0"/>
    <x v="1"/>
    <x v="2"/>
    <x v="1"/>
    <x v="1"/>
    <x v="30"/>
    <n v="86"/>
    <n v="81"/>
    <x v="57"/>
    <x v="0"/>
    <x v="25"/>
    <x v="8"/>
    <x v="22"/>
    <x v="30"/>
    <x v="11"/>
    <x v="13"/>
    <x v="0"/>
    <x v="0"/>
    <x v="0"/>
    <n v="236"/>
    <n v="17"/>
    <x v="0"/>
  </r>
  <r>
    <x v="0"/>
    <x v="4"/>
    <x v="5"/>
    <x v="0"/>
    <x v="1"/>
    <x v="25"/>
    <n v="82"/>
    <n v="79"/>
    <x v="57"/>
    <x v="0"/>
    <x v="7"/>
    <x v="7"/>
    <x v="3"/>
    <x v="25"/>
    <x v="12"/>
    <x v="21"/>
    <x v="0"/>
    <x v="0"/>
    <x v="0"/>
    <n v="236"/>
    <n v="7"/>
    <x v="0"/>
  </r>
  <r>
    <x v="0"/>
    <x v="1"/>
    <x v="3"/>
    <x v="1"/>
    <x v="1"/>
    <x v="31"/>
    <n v="86"/>
    <n v="83"/>
    <x v="57"/>
    <x v="0"/>
    <x v="35"/>
    <x v="7"/>
    <x v="34"/>
    <x v="31"/>
    <x v="11"/>
    <x v="17"/>
    <x v="0"/>
    <x v="0"/>
    <x v="0"/>
    <n v="236"/>
    <n v="19"/>
    <x v="0"/>
  </r>
  <r>
    <x v="0"/>
    <x v="2"/>
    <x v="3"/>
    <x v="0"/>
    <x v="0"/>
    <x v="27"/>
    <n v="80"/>
    <n v="82"/>
    <x v="58"/>
    <x v="0"/>
    <x v="7"/>
    <x v="2"/>
    <x v="33"/>
    <x v="27"/>
    <x v="21"/>
    <x v="15"/>
    <x v="0"/>
    <x v="0"/>
    <x v="0"/>
    <n v="235"/>
    <n v="9"/>
    <x v="0"/>
  </r>
  <r>
    <x v="1"/>
    <x v="2"/>
    <x v="5"/>
    <x v="0"/>
    <x v="0"/>
    <x v="17"/>
    <n v="77"/>
    <n v="74"/>
    <x v="58"/>
    <x v="0"/>
    <x v="18"/>
    <x v="7"/>
    <x v="28"/>
    <x v="17"/>
    <x v="23"/>
    <x v="27"/>
    <x v="0"/>
    <x v="0"/>
    <x v="0"/>
    <n v="235"/>
    <n v="10"/>
    <x v="0"/>
  </r>
  <r>
    <x v="1"/>
    <x v="1"/>
    <x v="5"/>
    <x v="1"/>
    <x v="1"/>
    <x v="21"/>
    <n v="77"/>
    <n v="80"/>
    <x v="58"/>
    <x v="0"/>
    <x v="28"/>
    <x v="5"/>
    <x v="12"/>
    <x v="21"/>
    <x v="23"/>
    <x v="24"/>
    <x v="0"/>
    <x v="0"/>
    <x v="0"/>
    <n v="235"/>
    <n v="3"/>
    <x v="0"/>
  </r>
  <r>
    <x v="0"/>
    <x v="1"/>
    <x v="4"/>
    <x v="0"/>
    <x v="0"/>
    <x v="26"/>
    <n v="79"/>
    <n v="82"/>
    <x v="58"/>
    <x v="0"/>
    <x v="6"/>
    <x v="5"/>
    <x v="8"/>
    <x v="26"/>
    <x v="19"/>
    <x v="15"/>
    <x v="0"/>
    <x v="0"/>
    <x v="0"/>
    <n v="235"/>
    <n v="8"/>
    <x v="0"/>
  </r>
  <r>
    <x v="0"/>
    <x v="2"/>
    <x v="5"/>
    <x v="0"/>
    <x v="0"/>
    <x v="32"/>
    <n v="80"/>
    <n v="83"/>
    <x v="58"/>
    <x v="0"/>
    <x v="8"/>
    <x v="5"/>
    <x v="11"/>
    <x v="32"/>
    <x v="21"/>
    <x v="17"/>
    <x v="0"/>
    <x v="0"/>
    <x v="0"/>
    <n v="235"/>
    <n v="11"/>
    <x v="0"/>
  </r>
  <r>
    <x v="0"/>
    <x v="1"/>
    <x v="2"/>
    <x v="1"/>
    <x v="0"/>
    <x v="31"/>
    <n v="84"/>
    <n v="84"/>
    <x v="58"/>
    <x v="0"/>
    <x v="25"/>
    <x v="0"/>
    <x v="24"/>
    <x v="31"/>
    <x v="13"/>
    <x v="19"/>
    <x v="0"/>
    <x v="0"/>
    <x v="0"/>
    <n v="235"/>
    <n v="17"/>
    <x v="0"/>
  </r>
  <r>
    <x v="0"/>
    <x v="4"/>
    <x v="3"/>
    <x v="0"/>
    <x v="0"/>
    <x v="30"/>
    <n v="84"/>
    <n v="82"/>
    <x v="58"/>
    <x v="0"/>
    <x v="14"/>
    <x v="11"/>
    <x v="13"/>
    <x v="30"/>
    <x v="13"/>
    <x v="15"/>
    <x v="0"/>
    <x v="0"/>
    <x v="0"/>
    <n v="235"/>
    <n v="15"/>
    <x v="0"/>
  </r>
  <r>
    <x v="0"/>
    <x v="1"/>
    <x v="3"/>
    <x v="0"/>
    <x v="1"/>
    <x v="25"/>
    <n v="77"/>
    <n v="83"/>
    <x v="58"/>
    <x v="0"/>
    <x v="3"/>
    <x v="13"/>
    <x v="8"/>
    <x v="25"/>
    <x v="23"/>
    <x v="17"/>
    <x v="0"/>
    <x v="0"/>
    <x v="0"/>
    <n v="235"/>
    <n v="8"/>
    <x v="0"/>
  </r>
  <r>
    <x v="0"/>
    <x v="3"/>
    <x v="1"/>
    <x v="0"/>
    <x v="1"/>
    <x v="33"/>
    <n v="86"/>
    <n v="87"/>
    <x v="59"/>
    <x v="0"/>
    <x v="40"/>
    <x v="4"/>
    <x v="38"/>
    <x v="33"/>
    <x v="11"/>
    <x v="14"/>
    <x v="0"/>
    <x v="0"/>
    <x v="0"/>
    <n v="234"/>
    <n v="26"/>
    <x v="1"/>
  </r>
  <r>
    <x v="1"/>
    <x v="3"/>
    <x v="1"/>
    <x v="1"/>
    <x v="1"/>
    <x v="14"/>
    <n v="78"/>
    <n v="74"/>
    <x v="59"/>
    <x v="0"/>
    <x v="13"/>
    <x v="10"/>
    <x v="19"/>
    <x v="14"/>
    <x v="20"/>
    <x v="27"/>
    <x v="0"/>
    <x v="0"/>
    <x v="0"/>
    <n v="234"/>
    <n v="8"/>
    <x v="0"/>
  </r>
  <r>
    <x v="1"/>
    <x v="2"/>
    <x v="0"/>
    <x v="0"/>
    <x v="0"/>
    <x v="16"/>
    <n v="78"/>
    <n v="73"/>
    <x v="59"/>
    <x v="0"/>
    <x v="29"/>
    <x v="8"/>
    <x v="28"/>
    <x v="16"/>
    <x v="20"/>
    <x v="26"/>
    <x v="0"/>
    <x v="0"/>
    <x v="0"/>
    <n v="234"/>
    <n v="10"/>
    <x v="0"/>
  </r>
  <r>
    <x v="1"/>
    <x v="2"/>
    <x v="1"/>
    <x v="0"/>
    <x v="1"/>
    <x v="14"/>
    <n v="75"/>
    <n v="77"/>
    <x v="59"/>
    <x v="0"/>
    <x v="18"/>
    <x v="2"/>
    <x v="30"/>
    <x v="14"/>
    <x v="26"/>
    <x v="23"/>
    <x v="0"/>
    <x v="0"/>
    <x v="0"/>
    <n v="234"/>
    <n v="7"/>
    <x v="0"/>
  </r>
  <r>
    <x v="1"/>
    <x v="4"/>
    <x v="2"/>
    <x v="1"/>
    <x v="0"/>
    <x v="22"/>
    <n v="82"/>
    <n v="73"/>
    <x v="59"/>
    <x v="0"/>
    <x v="2"/>
    <x v="15"/>
    <x v="16"/>
    <x v="22"/>
    <x v="12"/>
    <x v="26"/>
    <x v="0"/>
    <x v="0"/>
    <x v="0"/>
    <n v="234"/>
    <n v="9"/>
    <x v="0"/>
  </r>
  <r>
    <x v="0"/>
    <x v="2"/>
    <x v="3"/>
    <x v="1"/>
    <x v="1"/>
    <x v="34"/>
    <n v="85"/>
    <n v="85"/>
    <x v="59"/>
    <x v="0"/>
    <x v="41"/>
    <x v="0"/>
    <x v="29"/>
    <x v="34"/>
    <x v="15"/>
    <x v="18"/>
    <x v="0"/>
    <x v="0"/>
    <x v="0"/>
    <n v="234"/>
    <n v="21"/>
    <x v="0"/>
  </r>
  <r>
    <x v="1"/>
    <x v="2"/>
    <x v="4"/>
    <x v="0"/>
    <x v="0"/>
    <x v="22"/>
    <n v="78"/>
    <n v="77"/>
    <x v="59"/>
    <x v="0"/>
    <x v="28"/>
    <x v="1"/>
    <x v="21"/>
    <x v="22"/>
    <x v="20"/>
    <x v="23"/>
    <x v="0"/>
    <x v="0"/>
    <x v="0"/>
    <n v="234"/>
    <n v="2"/>
    <x v="0"/>
  </r>
  <r>
    <x v="0"/>
    <x v="0"/>
    <x v="3"/>
    <x v="0"/>
    <x v="0"/>
    <x v="24"/>
    <n v="78"/>
    <n v="80"/>
    <x v="59"/>
    <x v="0"/>
    <x v="3"/>
    <x v="2"/>
    <x v="3"/>
    <x v="24"/>
    <x v="20"/>
    <x v="24"/>
    <x v="0"/>
    <x v="0"/>
    <x v="0"/>
    <n v="234"/>
    <n v="4"/>
    <x v="0"/>
  </r>
  <r>
    <x v="1"/>
    <x v="2"/>
    <x v="5"/>
    <x v="0"/>
    <x v="0"/>
    <x v="12"/>
    <n v="75"/>
    <n v="69"/>
    <x v="59"/>
    <x v="0"/>
    <x v="22"/>
    <x v="16"/>
    <x v="39"/>
    <x v="12"/>
    <x v="26"/>
    <x v="29"/>
    <x v="0"/>
    <x v="0"/>
    <x v="0"/>
    <n v="234"/>
    <n v="21"/>
    <x v="0"/>
  </r>
  <r>
    <x v="1"/>
    <x v="1"/>
    <x v="1"/>
    <x v="1"/>
    <x v="0"/>
    <x v="15"/>
    <n v="75"/>
    <n v="78"/>
    <x v="59"/>
    <x v="0"/>
    <x v="12"/>
    <x v="5"/>
    <x v="9"/>
    <x v="15"/>
    <x v="26"/>
    <x v="20"/>
    <x v="0"/>
    <x v="0"/>
    <x v="0"/>
    <n v="234"/>
    <n v="6"/>
    <x v="0"/>
  </r>
  <r>
    <x v="0"/>
    <x v="3"/>
    <x v="0"/>
    <x v="1"/>
    <x v="0"/>
    <x v="21"/>
    <n v="79"/>
    <n v="76"/>
    <x v="60"/>
    <x v="0"/>
    <x v="1"/>
    <x v="7"/>
    <x v="21"/>
    <x v="21"/>
    <x v="19"/>
    <x v="25"/>
    <x v="0"/>
    <x v="0"/>
    <x v="0"/>
    <n v="233"/>
    <n v="3"/>
    <x v="0"/>
  </r>
  <r>
    <x v="1"/>
    <x v="2"/>
    <x v="1"/>
    <x v="0"/>
    <x v="0"/>
    <x v="16"/>
    <n v="72"/>
    <n v="78"/>
    <x v="60"/>
    <x v="0"/>
    <x v="15"/>
    <x v="13"/>
    <x v="30"/>
    <x v="16"/>
    <x v="27"/>
    <x v="20"/>
    <x v="0"/>
    <x v="0"/>
    <x v="0"/>
    <n v="233"/>
    <n v="11"/>
    <x v="0"/>
  </r>
  <r>
    <x v="0"/>
    <x v="0"/>
    <x v="5"/>
    <x v="0"/>
    <x v="1"/>
    <x v="26"/>
    <n v="79"/>
    <n v="80"/>
    <x v="60"/>
    <x v="0"/>
    <x v="6"/>
    <x v="4"/>
    <x v="6"/>
    <x v="26"/>
    <x v="19"/>
    <x v="24"/>
    <x v="0"/>
    <x v="0"/>
    <x v="0"/>
    <n v="233"/>
    <n v="6"/>
    <x v="0"/>
  </r>
  <r>
    <x v="0"/>
    <x v="2"/>
    <x v="1"/>
    <x v="0"/>
    <x v="1"/>
    <x v="35"/>
    <n v="84"/>
    <n v="84"/>
    <x v="60"/>
    <x v="0"/>
    <x v="35"/>
    <x v="0"/>
    <x v="37"/>
    <x v="35"/>
    <x v="13"/>
    <x v="19"/>
    <x v="0"/>
    <x v="0"/>
    <x v="0"/>
    <n v="233"/>
    <n v="19"/>
    <x v="0"/>
  </r>
  <r>
    <x v="0"/>
    <x v="4"/>
    <x v="3"/>
    <x v="0"/>
    <x v="1"/>
    <x v="32"/>
    <n v="79"/>
    <n v="82"/>
    <x v="60"/>
    <x v="0"/>
    <x v="7"/>
    <x v="5"/>
    <x v="23"/>
    <x v="32"/>
    <x v="19"/>
    <x v="15"/>
    <x v="0"/>
    <x v="0"/>
    <x v="0"/>
    <n v="233"/>
    <n v="10"/>
    <x v="0"/>
  </r>
  <r>
    <x v="0"/>
    <x v="3"/>
    <x v="1"/>
    <x v="0"/>
    <x v="0"/>
    <x v="29"/>
    <n v="83"/>
    <n v="78"/>
    <x v="61"/>
    <x v="0"/>
    <x v="27"/>
    <x v="8"/>
    <x v="7"/>
    <x v="29"/>
    <x v="18"/>
    <x v="20"/>
    <x v="0"/>
    <x v="0"/>
    <x v="0"/>
    <n v="232"/>
    <n v="12"/>
    <x v="0"/>
  </r>
  <r>
    <x v="1"/>
    <x v="1"/>
    <x v="1"/>
    <x v="0"/>
    <x v="0"/>
    <x v="23"/>
    <n v="75"/>
    <n v="77"/>
    <x v="61"/>
    <x v="0"/>
    <x v="29"/>
    <x v="2"/>
    <x v="9"/>
    <x v="23"/>
    <x v="26"/>
    <x v="23"/>
    <x v="0"/>
    <x v="0"/>
    <x v="0"/>
    <n v="232"/>
    <n v="5"/>
    <x v="0"/>
  </r>
  <r>
    <x v="1"/>
    <x v="2"/>
    <x v="1"/>
    <x v="0"/>
    <x v="0"/>
    <x v="18"/>
    <n v="76"/>
    <n v="71"/>
    <x v="61"/>
    <x v="0"/>
    <x v="23"/>
    <x v="8"/>
    <x v="15"/>
    <x v="18"/>
    <x v="25"/>
    <x v="28"/>
    <x v="0"/>
    <x v="0"/>
    <x v="0"/>
    <n v="232"/>
    <n v="14"/>
    <x v="0"/>
  </r>
  <r>
    <x v="1"/>
    <x v="1"/>
    <x v="4"/>
    <x v="0"/>
    <x v="0"/>
    <x v="23"/>
    <n v="80"/>
    <n v="72"/>
    <x v="61"/>
    <x v="0"/>
    <x v="0"/>
    <x v="19"/>
    <x v="19"/>
    <x v="23"/>
    <x v="21"/>
    <x v="30"/>
    <x v="0"/>
    <x v="0"/>
    <x v="0"/>
    <n v="232"/>
    <n v="8"/>
    <x v="0"/>
  </r>
  <r>
    <x v="0"/>
    <x v="2"/>
    <x v="1"/>
    <x v="0"/>
    <x v="1"/>
    <x v="31"/>
    <n v="84"/>
    <n v="81"/>
    <x v="61"/>
    <x v="0"/>
    <x v="25"/>
    <x v="7"/>
    <x v="18"/>
    <x v="31"/>
    <x v="13"/>
    <x v="13"/>
    <x v="0"/>
    <x v="0"/>
    <x v="0"/>
    <n v="232"/>
    <n v="17"/>
    <x v="0"/>
  </r>
  <r>
    <x v="0"/>
    <x v="2"/>
    <x v="1"/>
    <x v="0"/>
    <x v="1"/>
    <x v="26"/>
    <n v="75"/>
    <n v="83"/>
    <x v="61"/>
    <x v="0"/>
    <x v="1"/>
    <x v="17"/>
    <x v="33"/>
    <x v="26"/>
    <x v="26"/>
    <x v="17"/>
    <x v="0"/>
    <x v="0"/>
    <x v="0"/>
    <n v="232"/>
    <n v="9"/>
    <x v="0"/>
  </r>
  <r>
    <x v="0"/>
    <x v="2"/>
    <x v="3"/>
    <x v="0"/>
    <x v="0"/>
    <x v="29"/>
    <n v="81"/>
    <n v="80"/>
    <x v="61"/>
    <x v="0"/>
    <x v="20"/>
    <x v="1"/>
    <x v="33"/>
    <x v="29"/>
    <x v="17"/>
    <x v="24"/>
    <x v="0"/>
    <x v="0"/>
    <x v="0"/>
    <n v="232"/>
    <n v="10"/>
    <x v="0"/>
  </r>
  <r>
    <x v="1"/>
    <x v="0"/>
    <x v="3"/>
    <x v="0"/>
    <x v="0"/>
    <x v="17"/>
    <n v="77"/>
    <n v="71"/>
    <x v="61"/>
    <x v="0"/>
    <x v="18"/>
    <x v="16"/>
    <x v="35"/>
    <x v="17"/>
    <x v="23"/>
    <x v="28"/>
    <x v="0"/>
    <x v="0"/>
    <x v="0"/>
    <n v="232"/>
    <n v="13"/>
    <x v="0"/>
  </r>
  <r>
    <x v="0"/>
    <x v="3"/>
    <x v="1"/>
    <x v="0"/>
    <x v="0"/>
    <x v="27"/>
    <n v="83"/>
    <n v="76"/>
    <x v="61"/>
    <x v="0"/>
    <x v="20"/>
    <x v="3"/>
    <x v="2"/>
    <x v="27"/>
    <x v="18"/>
    <x v="25"/>
    <x v="0"/>
    <x v="0"/>
    <x v="0"/>
    <n v="232"/>
    <n v="10"/>
    <x v="0"/>
  </r>
  <r>
    <x v="0"/>
    <x v="2"/>
    <x v="0"/>
    <x v="1"/>
    <x v="1"/>
    <x v="36"/>
    <n v="83"/>
    <n v="83"/>
    <x v="61"/>
    <x v="0"/>
    <x v="25"/>
    <x v="0"/>
    <x v="24"/>
    <x v="36"/>
    <x v="18"/>
    <x v="17"/>
    <x v="0"/>
    <x v="0"/>
    <x v="0"/>
    <n v="232"/>
    <n v="17"/>
    <x v="0"/>
  </r>
  <r>
    <x v="0"/>
    <x v="3"/>
    <x v="2"/>
    <x v="1"/>
    <x v="0"/>
    <x v="32"/>
    <n v="81"/>
    <n v="79"/>
    <x v="61"/>
    <x v="0"/>
    <x v="30"/>
    <x v="11"/>
    <x v="7"/>
    <x v="32"/>
    <x v="17"/>
    <x v="21"/>
    <x v="0"/>
    <x v="0"/>
    <x v="0"/>
    <n v="232"/>
    <n v="9"/>
    <x v="0"/>
  </r>
  <r>
    <x v="1"/>
    <x v="2"/>
    <x v="1"/>
    <x v="1"/>
    <x v="0"/>
    <x v="9"/>
    <n v="73"/>
    <n v="72"/>
    <x v="61"/>
    <x v="0"/>
    <x v="31"/>
    <x v="1"/>
    <x v="26"/>
    <x v="9"/>
    <x v="22"/>
    <x v="30"/>
    <x v="0"/>
    <x v="0"/>
    <x v="0"/>
    <n v="232"/>
    <n v="15"/>
    <x v="0"/>
  </r>
  <r>
    <x v="1"/>
    <x v="0"/>
    <x v="2"/>
    <x v="0"/>
    <x v="1"/>
    <x v="15"/>
    <n v="75"/>
    <n v="76"/>
    <x v="61"/>
    <x v="0"/>
    <x v="12"/>
    <x v="4"/>
    <x v="30"/>
    <x v="15"/>
    <x v="26"/>
    <x v="25"/>
    <x v="0"/>
    <x v="0"/>
    <x v="0"/>
    <n v="232"/>
    <n v="6"/>
    <x v="0"/>
  </r>
  <r>
    <x v="1"/>
    <x v="0"/>
    <x v="3"/>
    <x v="1"/>
    <x v="1"/>
    <x v="9"/>
    <n v="74"/>
    <n v="70"/>
    <x v="62"/>
    <x v="0"/>
    <x v="34"/>
    <x v="10"/>
    <x v="40"/>
    <x v="9"/>
    <x v="24"/>
    <x v="31"/>
    <x v="0"/>
    <x v="0"/>
    <x v="0"/>
    <n v="231"/>
    <n v="17"/>
    <x v="0"/>
  </r>
  <r>
    <x v="0"/>
    <x v="3"/>
    <x v="3"/>
    <x v="1"/>
    <x v="0"/>
    <x v="26"/>
    <n v="81"/>
    <n v="76"/>
    <x v="62"/>
    <x v="0"/>
    <x v="7"/>
    <x v="8"/>
    <x v="12"/>
    <x v="26"/>
    <x v="17"/>
    <x v="25"/>
    <x v="0"/>
    <x v="0"/>
    <x v="0"/>
    <n v="231"/>
    <n v="7"/>
    <x v="0"/>
  </r>
  <r>
    <x v="0"/>
    <x v="2"/>
    <x v="2"/>
    <x v="1"/>
    <x v="0"/>
    <x v="35"/>
    <n v="86"/>
    <n v="80"/>
    <x v="62"/>
    <x v="0"/>
    <x v="41"/>
    <x v="16"/>
    <x v="20"/>
    <x v="35"/>
    <x v="11"/>
    <x v="24"/>
    <x v="0"/>
    <x v="0"/>
    <x v="0"/>
    <n v="231"/>
    <n v="21"/>
    <x v="0"/>
  </r>
  <r>
    <x v="0"/>
    <x v="4"/>
    <x v="2"/>
    <x v="0"/>
    <x v="0"/>
    <x v="29"/>
    <n v="83"/>
    <n v="77"/>
    <x v="62"/>
    <x v="0"/>
    <x v="27"/>
    <x v="16"/>
    <x v="6"/>
    <x v="29"/>
    <x v="18"/>
    <x v="23"/>
    <x v="0"/>
    <x v="0"/>
    <x v="0"/>
    <n v="231"/>
    <n v="12"/>
    <x v="0"/>
  </r>
  <r>
    <x v="1"/>
    <x v="2"/>
    <x v="4"/>
    <x v="1"/>
    <x v="0"/>
    <x v="22"/>
    <n v="81"/>
    <n v="71"/>
    <x v="62"/>
    <x v="0"/>
    <x v="3"/>
    <x v="9"/>
    <x v="19"/>
    <x v="22"/>
    <x v="17"/>
    <x v="28"/>
    <x v="0"/>
    <x v="0"/>
    <x v="0"/>
    <n v="231"/>
    <n v="10"/>
    <x v="0"/>
  </r>
  <r>
    <x v="0"/>
    <x v="3"/>
    <x v="2"/>
    <x v="0"/>
    <x v="0"/>
    <x v="27"/>
    <n v="79"/>
    <n v="79"/>
    <x v="62"/>
    <x v="0"/>
    <x v="26"/>
    <x v="0"/>
    <x v="6"/>
    <x v="27"/>
    <x v="19"/>
    <x v="21"/>
    <x v="0"/>
    <x v="0"/>
    <x v="0"/>
    <n v="231"/>
    <n v="6"/>
    <x v="0"/>
  </r>
  <r>
    <x v="1"/>
    <x v="2"/>
    <x v="4"/>
    <x v="1"/>
    <x v="1"/>
    <x v="22"/>
    <n v="77"/>
    <n v="75"/>
    <x v="62"/>
    <x v="0"/>
    <x v="19"/>
    <x v="11"/>
    <x v="17"/>
    <x v="22"/>
    <x v="23"/>
    <x v="22"/>
    <x v="0"/>
    <x v="0"/>
    <x v="0"/>
    <n v="231"/>
    <n v="4"/>
    <x v="0"/>
  </r>
  <r>
    <x v="0"/>
    <x v="2"/>
    <x v="2"/>
    <x v="0"/>
    <x v="0"/>
    <x v="26"/>
    <n v="75"/>
    <n v="82"/>
    <x v="62"/>
    <x v="0"/>
    <x v="1"/>
    <x v="20"/>
    <x v="8"/>
    <x v="26"/>
    <x v="26"/>
    <x v="15"/>
    <x v="0"/>
    <x v="0"/>
    <x v="0"/>
    <n v="231"/>
    <n v="8"/>
    <x v="0"/>
  </r>
  <r>
    <x v="1"/>
    <x v="0"/>
    <x v="2"/>
    <x v="0"/>
    <x v="1"/>
    <x v="19"/>
    <n v="76"/>
    <n v="77"/>
    <x v="63"/>
    <x v="0"/>
    <x v="28"/>
    <x v="4"/>
    <x v="0"/>
    <x v="19"/>
    <x v="25"/>
    <x v="23"/>
    <x v="0"/>
    <x v="0"/>
    <x v="0"/>
    <n v="230"/>
    <n v="1"/>
    <x v="0"/>
  </r>
  <r>
    <x v="0"/>
    <x v="2"/>
    <x v="5"/>
    <x v="1"/>
    <x v="1"/>
    <x v="31"/>
    <n v="79"/>
    <n v="84"/>
    <x v="63"/>
    <x v="0"/>
    <x v="27"/>
    <x v="6"/>
    <x v="24"/>
    <x v="31"/>
    <x v="19"/>
    <x v="19"/>
    <x v="0"/>
    <x v="0"/>
    <x v="0"/>
    <n v="230"/>
    <n v="17"/>
    <x v="0"/>
  </r>
  <r>
    <x v="0"/>
    <x v="1"/>
    <x v="0"/>
    <x v="0"/>
    <x v="1"/>
    <x v="29"/>
    <n v="76"/>
    <n v="83"/>
    <x v="63"/>
    <x v="0"/>
    <x v="6"/>
    <x v="20"/>
    <x v="22"/>
    <x v="29"/>
    <x v="25"/>
    <x v="17"/>
    <x v="0"/>
    <x v="0"/>
    <x v="0"/>
    <n v="230"/>
    <n v="12"/>
    <x v="0"/>
  </r>
  <r>
    <x v="1"/>
    <x v="1"/>
    <x v="1"/>
    <x v="0"/>
    <x v="1"/>
    <x v="15"/>
    <n v="72"/>
    <n v="77"/>
    <x v="63"/>
    <x v="0"/>
    <x v="23"/>
    <x v="6"/>
    <x v="17"/>
    <x v="15"/>
    <x v="27"/>
    <x v="23"/>
    <x v="0"/>
    <x v="0"/>
    <x v="0"/>
    <n v="230"/>
    <n v="9"/>
    <x v="0"/>
  </r>
  <r>
    <x v="1"/>
    <x v="4"/>
    <x v="3"/>
    <x v="1"/>
    <x v="0"/>
    <x v="25"/>
    <n v="81"/>
    <n v="74"/>
    <x v="63"/>
    <x v="0"/>
    <x v="26"/>
    <x v="3"/>
    <x v="4"/>
    <x v="25"/>
    <x v="17"/>
    <x v="27"/>
    <x v="0"/>
    <x v="0"/>
    <x v="0"/>
    <n v="230"/>
    <n v="7"/>
    <x v="0"/>
  </r>
  <r>
    <x v="1"/>
    <x v="2"/>
    <x v="3"/>
    <x v="0"/>
    <x v="0"/>
    <x v="24"/>
    <n v="78"/>
    <n v="75"/>
    <x v="64"/>
    <x v="0"/>
    <x v="3"/>
    <x v="7"/>
    <x v="4"/>
    <x v="24"/>
    <x v="20"/>
    <x v="22"/>
    <x v="0"/>
    <x v="0"/>
    <x v="0"/>
    <n v="229"/>
    <n v="3"/>
    <x v="0"/>
  </r>
  <r>
    <x v="0"/>
    <x v="3"/>
    <x v="5"/>
    <x v="0"/>
    <x v="1"/>
    <x v="37"/>
    <n v="83"/>
    <n v="78"/>
    <x v="64"/>
    <x v="0"/>
    <x v="14"/>
    <x v="8"/>
    <x v="23"/>
    <x v="37"/>
    <x v="18"/>
    <x v="20"/>
    <x v="0"/>
    <x v="0"/>
    <x v="0"/>
    <n v="229"/>
    <n v="15"/>
    <x v="0"/>
  </r>
  <r>
    <x v="1"/>
    <x v="1"/>
    <x v="2"/>
    <x v="0"/>
    <x v="0"/>
    <x v="20"/>
    <n v="73"/>
    <n v="70"/>
    <x v="64"/>
    <x v="0"/>
    <x v="34"/>
    <x v="7"/>
    <x v="41"/>
    <x v="20"/>
    <x v="22"/>
    <x v="31"/>
    <x v="0"/>
    <x v="0"/>
    <x v="0"/>
    <n v="229"/>
    <n v="16"/>
    <x v="0"/>
  </r>
  <r>
    <x v="0"/>
    <x v="3"/>
    <x v="1"/>
    <x v="0"/>
    <x v="0"/>
    <x v="27"/>
    <n v="76"/>
    <n v="80"/>
    <x v="64"/>
    <x v="0"/>
    <x v="2"/>
    <x v="12"/>
    <x v="7"/>
    <x v="27"/>
    <x v="25"/>
    <x v="24"/>
    <x v="0"/>
    <x v="0"/>
    <x v="0"/>
    <n v="229"/>
    <n v="7"/>
    <x v="0"/>
  </r>
  <r>
    <x v="0"/>
    <x v="1"/>
    <x v="3"/>
    <x v="0"/>
    <x v="1"/>
    <x v="30"/>
    <n v="79"/>
    <n v="81"/>
    <x v="64"/>
    <x v="0"/>
    <x v="20"/>
    <x v="2"/>
    <x v="22"/>
    <x v="30"/>
    <x v="19"/>
    <x v="13"/>
    <x v="0"/>
    <x v="0"/>
    <x v="0"/>
    <n v="229"/>
    <n v="12"/>
    <x v="0"/>
  </r>
  <r>
    <x v="1"/>
    <x v="2"/>
    <x v="2"/>
    <x v="0"/>
    <x v="1"/>
    <x v="24"/>
    <n v="80"/>
    <n v="73"/>
    <x v="64"/>
    <x v="0"/>
    <x v="4"/>
    <x v="3"/>
    <x v="9"/>
    <x v="24"/>
    <x v="21"/>
    <x v="26"/>
    <x v="0"/>
    <x v="0"/>
    <x v="0"/>
    <n v="229"/>
    <n v="7"/>
    <x v="0"/>
  </r>
  <r>
    <x v="1"/>
    <x v="1"/>
    <x v="0"/>
    <x v="1"/>
    <x v="1"/>
    <x v="26"/>
    <n v="79"/>
    <n v="75"/>
    <x v="65"/>
    <x v="0"/>
    <x v="6"/>
    <x v="10"/>
    <x v="1"/>
    <x v="26"/>
    <x v="19"/>
    <x v="22"/>
    <x v="0"/>
    <x v="0"/>
    <x v="0"/>
    <n v="228"/>
    <n v="5"/>
    <x v="0"/>
  </r>
  <r>
    <x v="0"/>
    <x v="1"/>
    <x v="3"/>
    <x v="0"/>
    <x v="1"/>
    <x v="26"/>
    <n v="75"/>
    <n v="79"/>
    <x v="65"/>
    <x v="0"/>
    <x v="1"/>
    <x v="12"/>
    <x v="10"/>
    <x v="26"/>
    <x v="26"/>
    <x v="21"/>
    <x v="0"/>
    <x v="0"/>
    <x v="0"/>
    <n v="228"/>
    <n v="5"/>
    <x v="0"/>
  </r>
  <r>
    <x v="0"/>
    <x v="1"/>
    <x v="1"/>
    <x v="0"/>
    <x v="1"/>
    <x v="27"/>
    <n v="75"/>
    <n v="80"/>
    <x v="65"/>
    <x v="0"/>
    <x v="3"/>
    <x v="6"/>
    <x v="7"/>
    <x v="27"/>
    <x v="26"/>
    <x v="24"/>
    <x v="0"/>
    <x v="0"/>
    <x v="0"/>
    <n v="228"/>
    <n v="7"/>
    <x v="0"/>
  </r>
  <r>
    <x v="0"/>
    <x v="1"/>
    <x v="2"/>
    <x v="0"/>
    <x v="0"/>
    <x v="35"/>
    <n v="82"/>
    <n v="81"/>
    <x v="65"/>
    <x v="0"/>
    <x v="25"/>
    <x v="1"/>
    <x v="34"/>
    <x v="35"/>
    <x v="12"/>
    <x v="13"/>
    <x v="0"/>
    <x v="0"/>
    <x v="0"/>
    <n v="228"/>
    <n v="17"/>
    <x v="0"/>
  </r>
  <r>
    <x v="0"/>
    <x v="3"/>
    <x v="5"/>
    <x v="1"/>
    <x v="1"/>
    <x v="31"/>
    <n v="80"/>
    <n v="81"/>
    <x v="65"/>
    <x v="0"/>
    <x v="11"/>
    <x v="4"/>
    <x v="18"/>
    <x v="31"/>
    <x v="21"/>
    <x v="13"/>
    <x v="0"/>
    <x v="0"/>
    <x v="0"/>
    <n v="228"/>
    <n v="14"/>
    <x v="0"/>
  </r>
  <r>
    <x v="0"/>
    <x v="2"/>
    <x v="2"/>
    <x v="0"/>
    <x v="1"/>
    <x v="28"/>
    <n v="82"/>
    <n v="76"/>
    <x v="65"/>
    <x v="0"/>
    <x v="27"/>
    <x v="16"/>
    <x v="6"/>
    <x v="28"/>
    <x v="12"/>
    <x v="25"/>
    <x v="0"/>
    <x v="0"/>
    <x v="0"/>
    <n v="228"/>
    <n v="12"/>
    <x v="0"/>
  </r>
  <r>
    <x v="1"/>
    <x v="0"/>
    <x v="3"/>
    <x v="0"/>
    <x v="1"/>
    <x v="18"/>
    <n v="75"/>
    <n v="68"/>
    <x v="65"/>
    <x v="0"/>
    <x v="24"/>
    <x v="3"/>
    <x v="40"/>
    <x v="18"/>
    <x v="26"/>
    <x v="32"/>
    <x v="0"/>
    <x v="0"/>
    <x v="0"/>
    <n v="228"/>
    <n v="17"/>
    <x v="0"/>
  </r>
  <r>
    <x v="1"/>
    <x v="1"/>
    <x v="1"/>
    <x v="1"/>
    <x v="0"/>
    <x v="19"/>
    <n v="78"/>
    <n v="73"/>
    <x v="65"/>
    <x v="0"/>
    <x v="1"/>
    <x v="8"/>
    <x v="17"/>
    <x v="19"/>
    <x v="20"/>
    <x v="26"/>
    <x v="0"/>
    <x v="0"/>
    <x v="0"/>
    <n v="228"/>
    <n v="5"/>
    <x v="0"/>
  </r>
  <r>
    <x v="0"/>
    <x v="0"/>
    <x v="2"/>
    <x v="1"/>
    <x v="0"/>
    <x v="32"/>
    <n v="79"/>
    <n v="77"/>
    <x v="65"/>
    <x v="0"/>
    <x v="7"/>
    <x v="11"/>
    <x v="10"/>
    <x v="32"/>
    <x v="19"/>
    <x v="23"/>
    <x v="0"/>
    <x v="0"/>
    <x v="0"/>
    <n v="228"/>
    <n v="7"/>
    <x v="0"/>
  </r>
  <r>
    <x v="0"/>
    <x v="2"/>
    <x v="4"/>
    <x v="1"/>
    <x v="1"/>
    <x v="35"/>
    <n v="81"/>
    <n v="81"/>
    <x v="66"/>
    <x v="0"/>
    <x v="17"/>
    <x v="0"/>
    <x v="34"/>
    <x v="35"/>
    <x v="17"/>
    <x v="13"/>
    <x v="0"/>
    <x v="0"/>
    <x v="0"/>
    <n v="227"/>
    <n v="16"/>
    <x v="0"/>
  </r>
  <r>
    <x v="0"/>
    <x v="2"/>
    <x v="5"/>
    <x v="0"/>
    <x v="0"/>
    <x v="32"/>
    <n v="80"/>
    <n v="75"/>
    <x v="66"/>
    <x v="0"/>
    <x v="8"/>
    <x v="8"/>
    <x v="2"/>
    <x v="32"/>
    <x v="21"/>
    <x v="22"/>
    <x v="0"/>
    <x v="0"/>
    <x v="0"/>
    <n v="227"/>
    <n v="8"/>
    <x v="0"/>
  </r>
  <r>
    <x v="0"/>
    <x v="2"/>
    <x v="3"/>
    <x v="0"/>
    <x v="1"/>
    <x v="31"/>
    <n v="81"/>
    <n v="79"/>
    <x v="66"/>
    <x v="0"/>
    <x v="33"/>
    <x v="11"/>
    <x v="22"/>
    <x v="31"/>
    <x v="17"/>
    <x v="21"/>
    <x v="0"/>
    <x v="0"/>
    <x v="0"/>
    <n v="227"/>
    <n v="14"/>
    <x v="0"/>
  </r>
  <r>
    <x v="0"/>
    <x v="3"/>
    <x v="0"/>
    <x v="0"/>
    <x v="1"/>
    <x v="35"/>
    <n v="81"/>
    <n v="81"/>
    <x v="66"/>
    <x v="0"/>
    <x v="17"/>
    <x v="0"/>
    <x v="34"/>
    <x v="35"/>
    <x v="17"/>
    <x v="13"/>
    <x v="0"/>
    <x v="0"/>
    <x v="0"/>
    <n v="227"/>
    <n v="16"/>
    <x v="0"/>
  </r>
  <r>
    <x v="0"/>
    <x v="0"/>
    <x v="3"/>
    <x v="0"/>
    <x v="1"/>
    <x v="27"/>
    <n v="78"/>
    <n v="76"/>
    <x v="66"/>
    <x v="0"/>
    <x v="6"/>
    <x v="11"/>
    <x v="2"/>
    <x v="27"/>
    <x v="20"/>
    <x v="25"/>
    <x v="0"/>
    <x v="0"/>
    <x v="0"/>
    <n v="227"/>
    <n v="5"/>
    <x v="0"/>
  </r>
  <r>
    <x v="0"/>
    <x v="0"/>
    <x v="1"/>
    <x v="1"/>
    <x v="0"/>
    <x v="27"/>
    <n v="76"/>
    <n v="78"/>
    <x v="66"/>
    <x v="0"/>
    <x v="2"/>
    <x v="2"/>
    <x v="10"/>
    <x v="27"/>
    <x v="25"/>
    <x v="20"/>
    <x v="0"/>
    <x v="0"/>
    <x v="0"/>
    <n v="227"/>
    <n v="5"/>
    <x v="0"/>
  </r>
  <r>
    <x v="0"/>
    <x v="1"/>
    <x v="1"/>
    <x v="0"/>
    <x v="0"/>
    <x v="19"/>
    <n v="77"/>
    <n v="73"/>
    <x v="66"/>
    <x v="0"/>
    <x v="0"/>
    <x v="10"/>
    <x v="17"/>
    <x v="19"/>
    <x v="23"/>
    <x v="26"/>
    <x v="0"/>
    <x v="0"/>
    <x v="0"/>
    <n v="227"/>
    <n v="4"/>
    <x v="0"/>
  </r>
  <r>
    <x v="0"/>
    <x v="2"/>
    <x v="3"/>
    <x v="0"/>
    <x v="0"/>
    <x v="27"/>
    <n v="76"/>
    <n v="78"/>
    <x v="66"/>
    <x v="0"/>
    <x v="2"/>
    <x v="2"/>
    <x v="10"/>
    <x v="27"/>
    <x v="25"/>
    <x v="20"/>
    <x v="0"/>
    <x v="0"/>
    <x v="0"/>
    <n v="227"/>
    <n v="5"/>
    <x v="0"/>
  </r>
  <r>
    <x v="1"/>
    <x v="3"/>
    <x v="3"/>
    <x v="1"/>
    <x v="1"/>
    <x v="26"/>
    <n v="77"/>
    <n v="76"/>
    <x v="66"/>
    <x v="0"/>
    <x v="2"/>
    <x v="1"/>
    <x v="12"/>
    <x v="26"/>
    <x v="23"/>
    <x v="25"/>
    <x v="0"/>
    <x v="0"/>
    <x v="0"/>
    <n v="227"/>
    <n v="3"/>
    <x v="0"/>
  </r>
  <r>
    <x v="1"/>
    <x v="2"/>
    <x v="5"/>
    <x v="0"/>
    <x v="0"/>
    <x v="25"/>
    <n v="81"/>
    <n v="71"/>
    <x v="66"/>
    <x v="0"/>
    <x v="26"/>
    <x v="9"/>
    <x v="17"/>
    <x v="25"/>
    <x v="17"/>
    <x v="28"/>
    <x v="0"/>
    <x v="0"/>
    <x v="0"/>
    <n v="227"/>
    <n v="10"/>
    <x v="0"/>
  </r>
  <r>
    <x v="0"/>
    <x v="1"/>
    <x v="3"/>
    <x v="1"/>
    <x v="1"/>
    <x v="28"/>
    <n v="78"/>
    <n v="78"/>
    <x v="67"/>
    <x v="0"/>
    <x v="8"/>
    <x v="0"/>
    <x v="8"/>
    <x v="28"/>
    <x v="20"/>
    <x v="20"/>
    <x v="0"/>
    <x v="0"/>
    <x v="0"/>
    <n v="226"/>
    <n v="8"/>
    <x v="0"/>
  </r>
  <r>
    <x v="1"/>
    <x v="0"/>
    <x v="5"/>
    <x v="0"/>
    <x v="0"/>
    <x v="17"/>
    <n v="73"/>
    <n v="69"/>
    <x v="67"/>
    <x v="0"/>
    <x v="15"/>
    <x v="10"/>
    <x v="26"/>
    <x v="17"/>
    <x v="22"/>
    <x v="29"/>
    <x v="0"/>
    <x v="0"/>
    <x v="0"/>
    <n v="226"/>
    <n v="15"/>
    <x v="0"/>
  </r>
  <r>
    <x v="1"/>
    <x v="3"/>
    <x v="1"/>
    <x v="0"/>
    <x v="0"/>
    <x v="15"/>
    <n v="73"/>
    <n v="72"/>
    <x v="67"/>
    <x v="0"/>
    <x v="9"/>
    <x v="1"/>
    <x v="14"/>
    <x v="15"/>
    <x v="22"/>
    <x v="30"/>
    <x v="0"/>
    <x v="0"/>
    <x v="0"/>
    <n v="226"/>
    <n v="9"/>
    <x v="0"/>
  </r>
  <r>
    <x v="0"/>
    <x v="0"/>
    <x v="5"/>
    <x v="0"/>
    <x v="0"/>
    <x v="26"/>
    <n v="81"/>
    <n v="71"/>
    <x v="67"/>
    <x v="0"/>
    <x v="7"/>
    <x v="9"/>
    <x v="9"/>
    <x v="26"/>
    <x v="17"/>
    <x v="28"/>
    <x v="0"/>
    <x v="0"/>
    <x v="0"/>
    <n v="226"/>
    <n v="10"/>
    <x v="0"/>
  </r>
  <r>
    <x v="0"/>
    <x v="2"/>
    <x v="5"/>
    <x v="0"/>
    <x v="0"/>
    <x v="24"/>
    <n v="76"/>
    <n v="74"/>
    <x v="67"/>
    <x v="0"/>
    <x v="0"/>
    <x v="11"/>
    <x v="21"/>
    <x v="24"/>
    <x v="25"/>
    <x v="27"/>
    <x v="0"/>
    <x v="0"/>
    <x v="0"/>
    <n v="226"/>
    <n v="2"/>
    <x v="0"/>
  </r>
  <r>
    <x v="1"/>
    <x v="0"/>
    <x v="3"/>
    <x v="0"/>
    <x v="1"/>
    <x v="15"/>
    <n v="74"/>
    <n v="71"/>
    <x v="67"/>
    <x v="0"/>
    <x v="18"/>
    <x v="7"/>
    <x v="28"/>
    <x v="15"/>
    <x v="24"/>
    <x v="28"/>
    <x v="0"/>
    <x v="0"/>
    <x v="0"/>
    <n v="226"/>
    <n v="10"/>
    <x v="0"/>
  </r>
  <r>
    <x v="1"/>
    <x v="1"/>
    <x v="0"/>
    <x v="1"/>
    <x v="1"/>
    <x v="26"/>
    <n v="71"/>
    <n v="80"/>
    <x v="68"/>
    <x v="0"/>
    <x v="5"/>
    <x v="18"/>
    <x v="6"/>
    <x v="26"/>
    <x v="28"/>
    <x v="24"/>
    <x v="0"/>
    <x v="0"/>
    <x v="0"/>
    <n v="225"/>
    <n v="9"/>
    <x v="0"/>
  </r>
  <r>
    <x v="1"/>
    <x v="0"/>
    <x v="0"/>
    <x v="1"/>
    <x v="1"/>
    <x v="22"/>
    <n v="74"/>
    <n v="72"/>
    <x v="68"/>
    <x v="0"/>
    <x v="29"/>
    <x v="11"/>
    <x v="5"/>
    <x v="22"/>
    <x v="24"/>
    <x v="30"/>
    <x v="0"/>
    <x v="0"/>
    <x v="0"/>
    <n v="225"/>
    <n v="7"/>
    <x v="0"/>
  </r>
  <r>
    <x v="0"/>
    <x v="2"/>
    <x v="1"/>
    <x v="0"/>
    <x v="1"/>
    <x v="29"/>
    <n v="77"/>
    <n v="77"/>
    <x v="68"/>
    <x v="0"/>
    <x v="26"/>
    <x v="0"/>
    <x v="6"/>
    <x v="29"/>
    <x v="23"/>
    <x v="23"/>
    <x v="0"/>
    <x v="0"/>
    <x v="0"/>
    <n v="225"/>
    <n v="6"/>
    <x v="0"/>
  </r>
  <r>
    <x v="0"/>
    <x v="3"/>
    <x v="1"/>
    <x v="1"/>
    <x v="1"/>
    <x v="37"/>
    <n v="77"/>
    <n v="80"/>
    <x v="68"/>
    <x v="0"/>
    <x v="30"/>
    <x v="5"/>
    <x v="22"/>
    <x v="37"/>
    <x v="23"/>
    <x v="24"/>
    <x v="0"/>
    <x v="0"/>
    <x v="0"/>
    <n v="225"/>
    <n v="12"/>
    <x v="0"/>
  </r>
  <r>
    <x v="1"/>
    <x v="1"/>
    <x v="1"/>
    <x v="0"/>
    <x v="0"/>
    <x v="15"/>
    <n v="71"/>
    <n v="73"/>
    <x v="68"/>
    <x v="0"/>
    <x v="24"/>
    <x v="2"/>
    <x v="19"/>
    <x v="15"/>
    <x v="28"/>
    <x v="26"/>
    <x v="0"/>
    <x v="0"/>
    <x v="0"/>
    <n v="225"/>
    <n v="10"/>
    <x v="0"/>
  </r>
  <r>
    <x v="1"/>
    <x v="1"/>
    <x v="0"/>
    <x v="0"/>
    <x v="0"/>
    <x v="23"/>
    <n v="73"/>
    <n v="72"/>
    <x v="68"/>
    <x v="0"/>
    <x v="18"/>
    <x v="1"/>
    <x v="19"/>
    <x v="23"/>
    <x v="22"/>
    <x v="30"/>
    <x v="0"/>
    <x v="0"/>
    <x v="0"/>
    <n v="225"/>
    <n v="8"/>
    <x v="0"/>
  </r>
  <r>
    <x v="1"/>
    <x v="1"/>
    <x v="1"/>
    <x v="0"/>
    <x v="0"/>
    <x v="32"/>
    <n v="79"/>
    <n v="74"/>
    <x v="68"/>
    <x v="0"/>
    <x v="7"/>
    <x v="8"/>
    <x v="12"/>
    <x v="32"/>
    <x v="19"/>
    <x v="27"/>
    <x v="0"/>
    <x v="0"/>
    <x v="0"/>
    <n v="225"/>
    <n v="7"/>
    <x v="0"/>
  </r>
  <r>
    <x v="0"/>
    <x v="2"/>
    <x v="0"/>
    <x v="0"/>
    <x v="0"/>
    <x v="35"/>
    <n v="79"/>
    <n v="81"/>
    <x v="68"/>
    <x v="0"/>
    <x v="33"/>
    <x v="2"/>
    <x v="34"/>
    <x v="35"/>
    <x v="19"/>
    <x v="13"/>
    <x v="0"/>
    <x v="0"/>
    <x v="0"/>
    <n v="225"/>
    <n v="16"/>
    <x v="0"/>
  </r>
  <r>
    <x v="0"/>
    <x v="1"/>
    <x v="2"/>
    <x v="0"/>
    <x v="1"/>
    <x v="35"/>
    <n v="78"/>
    <n v="82"/>
    <x v="68"/>
    <x v="0"/>
    <x v="11"/>
    <x v="12"/>
    <x v="24"/>
    <x v="35"/>
    <x v="20"/>
    <x v="15"/>
    <x v="0"/>
    <x v="0"/>
    <x v="0"/>
    <n v="225"/>
    <n v="17"/>
    <x v="0"/>
  </r>
  <r>
    <x v="0"/>
    <x v="2"/>
    <x v="4"/>
    <x v="0"/>
    <x v="0"/>
    <x v="27"/>
    <n v="78"/>
    <n v="74"/>
    <x v="68"/>
    <x v="0"/>
    <x v="6"/>
    <x v="10"/>
    <x v="1"/>
    <x v="27"/>
    <x v="20"/>
    <x v="27"/>
    <x v="0"/>
    <x v="0"/>
    <x v="0"/>
    <n v="225"/>
    <n v="5"/>
    <x v="0"/>
  </r>
  <r>
    <x v="0"/>
    <x v="3"/>
    <x v="2"/>
    <x v="0"/>
    <x v="1"/>
    <x v="35"/>
    <n v="82"/>
    <n v="78"/>
    <x v="68"/>
    <x v="0"/>
    <x v="25"/>
    <x v="10"/>
    <x v="13"/>
    <x v="35"/>
    <x v="12"/>
    <x v="20"/>
    <x v="0"/>
    <x v="0"/>
    <x v="0"/>
    <n v="225"/>
    <n v="17"/>
    <x v="0"/>
  </r>
  <r>
    <x v="0"/>
    <x v="1"/>
    <x v="0"/>
    <x v="0"/>
    <x v="1"/>
    <x v="37"/>
    <n v="75"/>
    <n v="81"/>
    <x v="69"/>
    <x v="0"/>
    <x v="7"/>
    <x v="13"/>
    <x v="13"/>
    <x v="37"/>
    <x v="26"/>
    <x v="13"/>
    <x v="0"/>
    <x v="0"/>
    <x v="0"/>
    <n v="224"/>
    <n v="13"/>
    <x v="0"/>
  </r>
  <r>
    <x v="0"/>
    <x v="4"/>
    <x v="2"/>
    <x v="0"/>
    <x v="1"/>
    <x v="38"/>
    <n v="85"/>
    <n v="80"/>
    <x v="69"/>
    <x v="0"/>
    <x v="42"/>
    <x v="8"/>
    <x v="29"/>
    <x v="38"/>
    <x v="15"/>
    <x v="24"/>
    <x v="0"/>
    <x v="0"/>
    <x v="0"/>
    <n v="224"/>
    <n v="26"/>
    <x v="1"/>
  </r>
  <r>
    <x v="0"/>
    <x v="3"/>
    <x v="5"/>
    <x v="1"/>
    <x v="1"/>
    <x v="31"/>
    <n v="78"/>
    <n v="79"/>
    <x v="69"/>
    <x v="0"/>
    <x v="10"/>
    <x v="4"/>
    <x v="22"/>
    <x v="31"/>
    <x v="20"/>
    <x v="21"/>
    <x v="0"/>
    <x v="0"/>
    <x v="0"/>
    <n v="224"/>
    <n v="12"/>
    <x v="0"/>
  </r>
  <r>
    <x v="0"/>
    <x v="4"/>
    <x v="5"/>
    <x v="0"/>
    <x v="1"/>
    <x v="37"/>
    <n v="80"/>
    <n v="76"/>
    <x v="69"/>
    <x v="0"/>
    <x v="27"/>
    <x v="10"/>
    <x v="8"/>
    <x v="37"/>
    <x v="21"/>
    <x v="25"/>
    <x v="0"/>
    <x v="0"/>
    <x v="0"/>
    <n v="224"/>
    <n v="12"/>
    <x v="0"/>
  </r>
  <r>
    <x v="1"/>
    <x v="2"/>
    <x v="3"/>
    <x v="1"/>
    <x v="0"/>
    <x v="26"/>
    <n v="77"/>
    <n v="73"/>
    <x v="69"/>
    <x v="0"/>
    <x v="2"/>
    <x v="10"/>
    <x v="4"/>
    <x v="26"/>
    <x v="23"/>
    <x v="26"/>
    <x v="0"/>
    <x v="0"/>
    <x v="0"/>
    <n v="224"/>
    <n v="4"/>
    <x v="0"/>
  </r>
  <r>
    <x v="0"/>
    <x v="1"/>
    <x v="5"/>
    <x v="0"/>
    <x v="1"/>
    <x v="30"/>
    <n v="77"/>
    <n v="78"/>
    <x v="69"/>
    <x v="0"/>
    <x v="8"/>
    <x v="4"/>
    <x v="33"/>
    <x v="30"/>
    <x v="23"/>
    <x v="20"/>
    <x v="0"/>
    <x v="0"/>
    <x v="0"/>
    <n v="224"/>
    <n v="9"/>
    <x v="0"/>
  </r>
  <r>
    <x v="1"/>
    <x v="1"/>
    <x v="1"/>
    <x v="0"/>
    <x v="0"/>
    <x v="23"/>
    <n v="75"/>
    <n v="69"/>
    <x v="69"/>
    <x v="0"/>
    <x v="29"/>
    <x v="16"/>
    <x v="32"/>
    <x v="23"/>
    <x v="26"/>
    <x v="29"/>
    <x v="0"/>
    <x v="0"/>
    <x v="0"/>
    <n v="224"/>
    <n v="11"/>
    <x v="0"/>
  </r>
  <r>
    <x v="1"/>
    <x v="0"/>
    <x v="1"/>
    <x v="1"/>
    <x v="1"/>
    <x v="21"/>
    <n v="74"/>
    <n v="72"/>
    <x v="69"/>
    <x v="0"/>
    <x v="13"/>
    <x v="11"/>
    <x v="16"/>
    <x v="21"/>
    <x v="24"/>
    <x v="30"/>
    <x v="0"/>
    <x v="0"/>
    <x v="0"/>
    <n v="224"/>
    <n v="6"/>
    <x v="0"/>
  </r>
  <r>
    <x v="1"/>
    <x v="1"/>
    <x v="2"/>
    <x v="0"/>
    <x v="1"/>
    <x v="26"/>
    <n v="71"/>
    <n v="78"/>
    <x v="70"/>
    <x v="0"/>
    <x v="5"/>
    <x v="20"/>
    <x v="3"/>
    <x v="26"/>
    <x v="28"/>
    <x v="20"/>
    <x v="0"/>
    <x v="0"/>
    <x v="0"/>
    <n v="223"/>
    <n v="7"/>
    <x v="0"/>
  </r>
  <r>
    <x v="0"/>
    <x v="3"/>
    <x v="3"/>
    <x v="0"/>
    <x v="0"/>
    <x v="28"/>
    <n v="75"/>
    <n v="78"/>
    <x v="70"/>
    <x v="0"/>
    <x v="6"/>
    <x v="5"/>
    <x v="8"/>
    <x v="28"/>
    <x v="26"/>
    <x v="20"/>
    <x v="0"/>
    <x v="0"/>
    <x v="0"/>
    <n v="223"/>
    <n v="8"/>
    <x v="0"/>
  </r>
  <r>
    <x v="0"/>
    <x v="1"/>
    <x v="3"/>
    <x v="1"/>
    <x v="1"/>
    <x v="39"/>
    <n v="80"/>
    <n v="80"/>
    <x v="70"/>
    <x v="0"/>
    <x v="25"/>
    <x v="0"/>
    <x v="24"/>
    <x v="39"/>
    <x v="21"/>
    <x v="24"/>
    <x v="0"/>
    <x v="0"/>
    <x v="0"/>
    <n v="223"/>
    <n v="17"/>
    <x v="0"/>
  </r>
  <r>
    <x v="0"/>
    <x v="1"/>
    <x v="3"/>
    <x v="0"/>
    <x v="0"/>
    <x v="30"/>
    <n v="77"/>
    <n v="77"/>
    <x v="70"/>
    <x v="0"/>
    <x v="8"/>
    <x v="0"/>
    <x v="8"/>
    <x v="30"/>
    <x v="23"/>
    <x v="23"/>
    <x v="0"/>
    <x v="0"/>
    <x v="0"/>
    <n v="223"/>
    <n v="8"/>
    <x v="0"/>
  </r>
  <r>
    <x v="0"/>
    <x v="0"/>
    <x v="5"/>
    <x v="0"/>
    <x v="0"/>
    <x v="26"/>
    <n v="76"/>
    <n v="73"/>
    <x v="70"/>
    <x v="0"/>
    <x v="3"/>
    <x v="7"/>
    <x v="4"/>
    <x v="26"/>
    <x v="25"/>
    <x v="26"/>
    <x v="0"/>
    <x v="0"/>
    <x v="0"/>
    <n v="223"/>
    <n v="3"/>
    <x v="0"/>
  </r>
  <r>
    <x v="0"/>
    <x v="1"/>
    <x v="1"/>
    <x v="0"/>
    <x v="0"/>
    <x v="24"/>
    <n v="74"/>
    <n v="73"/>
    <x v="70"/>
    <x v="0"/>
    <x v="19"/>
    <x v="1"/>
    <x v="9"/>
    <x v="24"/>
    <x v="24"/>
    <x v="26"/>
    <x v="0"/>
    <x v="0"/>
    <x v="0"/>
    <n v="223"/>
    <n v="3"/>
    <x v="0"/>
  </r>
  <r>
    <x v="0"/>
    <x v="2"/>
    <x v="3"/>
    <x v="0"/>
    <x v="0"/>
    <x v="30"/>
    <n v="78"/>
    <n v="76"/>
    <x v="70"/>
    <x v="0"/>
    <x v="30"/>
    <x v="11"/>
    <x v="7"/>
    <x v="30"/>
    <x v="20"/>
    <x v="25"/>
    <x v="0"/>
    <x v="0"/>
    <x v="0"/>
    <n v="223"/>
    <n v="9"/>
    <x v="0"/>
  </r>
  <r>
    <x v="1"/>
    <x v="2"/>
    <x v="1"/>
    <x v="0"/>
    <x v="1"/>
    <x v="27"/>
    <n v="78"/>
    <n v="72"/>
    <x v="70"/>
    <x v="0"/>
    <x v="6"/>
    <x v="16"/>
    <x v="4"/>
    <x v="27"/>
    <x v="20"/>
    <x v="30"/>
    <x v="0"/>
    <x v="0"/>
    <x v="0"/>
    <n v="223"/>
    <n v="6"/>
    <x v="0"/>
  </r>
  <r>
    <x v="1"/>
    <x v="3"/>
    <x v="3"/>
    <x v="0"/>
    <x v="1"/>
    <x v="30"/>
    <n v="77"/>
    <n v="77"/>
    <x v="70"/>
    <x v="0"/>
    <x v="8"/>
    <x v="0"/>
    <x v="8"/>
    <x v="30"/>
    <x v="23"/>
    <x v="23"/>
    <x v="0"/>
    <x v="0"/>
    <x v="0"/>
    <n v="223"/>
    <n v="8"/>
    <x v="0"/>
  </r>
  <r>
    <x v="0"/>
    <x v="2"/>
    <x v="3"/>
    <x v="0"/>
    <x v="1"/>
    <x v="34"/>
    <n v="82"/>
    <n v="77"/>
    <x v="70"/>
    <x v="0"/>
    <x v="32"/>
    <x v="8"/>
    <x v="13"/>
    <x v="34"/>
    <x v="12"/>
    <x v="23"/>
    <x v="0"/>
    <x v="0"/>
    <x v="0"/>
    <n v="223"/>
    <n v="18"/>
    <x v="0"/>
  </r>
  <r>
    <x v="0"/>
    <x v="1"/>
    <x v="3"/>
    <x v="0"/>
    <x v="1"/>
    <x v="37"/>
    <n v="78"/>
    <n v="77"/>
    <x v="70"/>
    <x v="0"/>
    <x v="20"/>
    <x v="1"/>
    <x v="33"/>
    <x v="37"/>
    <x v="20"/>
    <x v="23"/>
    <x v="0"/>
    <x v="0"/>
    <x v="0"/>
    <n v="223"/>
    <n v="10"/>
    <x v="0"/>
  </r>
  <r>
    <x v="0"/>
    <x v="2"/>
    <x v="2"/>
    <x v="0"/>
    <x v="0"/>
    <x v="30"/>
    <n v="75"/>
    <n v="78"/>
    <x v="71"/>
    <x v="0"/>
    <x v="26"/>
    <x v="5"/>
    <x v="33"/>
    <x v="30"/>
    <x v="26"/>
    <x v="20"/>
    <x v="0"/>
    <x v="0"/>
    <x v="0"/>
    <n v="222"/>
    <n v="9"/>
    <x v="0"/>
  </r>
  <r>
    <x v="0"/>
    <x v="1"/>
    <x v="3"/>
    <x v="0"/>
    <x v="0"/>
    <x v="19"/>
    <n v="68"/>
    <n v="77"/>
    <x v="71"/>
    <x v="0"/>
    <x v="23"/>
    <x v="18"/>
    <x v="0"/>
    <x v="19"/>
    <x v="29"/>
    <x v="23"/>
    <x v="0"/>
    <x v="0"/>
    <x v="0"/>
    <n v="222"/>
    <n v="9"/>
    <x v="0"/>
  </r>
  <r>
    <x v="0"/>
    <x v="1"/>
    <x v="2"/>
    <x v="0"/>
    <x v="1"/>
    <x v="36"/>
    <n v="78"/>
    <n v="78"/>
    <x v="71"/>
    <x v="0"/>
    <x v="27"/>
    <x v="0"/>
    <x v="22"/>
    <x v="36"/>
    <x v="20"/>
    <x v="20"/>
    <x v="0"/>
    <x v="0"/>
    <x v="0"/>
    <n v="222"/>
    <n v="12"/>
    <x v="0"/>
  </r>
  <r>
    <x v="1"/>
    <x v="0"/>
    <x v="0"/>
    <x v="0"/>
    <x v="1"/>
    <x v="18"/>
    <n v="66"/>
    <n v="71"/>
    <x v="71"/>
    <x v="0"/>
    <x v="43"/>
    <x v="6"/>
    <x v="15"/>
    <x v="18"/>
    <x v="30"/>
    <x v="28"/>
    <x v="0"/>
    <x v="0"/>
    <x v="0"/>
    <n v="222"/>
    <n v="19"/>
    <x v="0"/>
  </r>
  <r>
    <x v="1"/>
    <x v="1"/>
    <x v="0"/>
    <x v="0"/>
    <x v="0"/>
    <x v="25"/>
    <n v="73"/>
    <n v="74"/>
    <x v="71"/>
    <x v="0"/>
    <x v="19"/>
    <x v="4"/>
    <x v="4"/>
    <x v="25"/>
    <x v="22"/>
    <x v="27"/>
    <x v="0"/>
    <x v="0"/>
    <x v="0"/>
    <n v="222"/>
    <n v="2"/>
    <x v="0"/>
  </r>
  <r>
    <x v="0"/>
    <x v="2"/>
    <x v="3"/>
    <x v="0"/>
    <x v="1"/>
    <x v="29"/>
    <n v="71"/>
    <n v="80"/>
    <x v="71"/>
    <x v="0"/>
    <x v="0"/>
    <x v="18"/>
    <x v="33"/>
    <x v="29"/>
    <x v="28"/>
    <x v="24"/>
    <x v="0"/>
    <x v="0"/>
    <x v="0"/>
    <n v="222"/>
    <n v="9"/>
    <x v="0"/>
  </r>
  <r>
    <x v="1"/>
    <x v="2"/>
    <x v="5"/>
    <x v="0"/>
    <x v="0"/>
    <x v="29"/>
    <n v="79"/>
    <n v="71"/>
    <x v="72"/>
    <x v="0"/>
    <x v="8"/>
    <x v="19"/>
    <x v="0"/>
    <x v="29"/>
    <x v="19"/>
    <x v="28"/>
    <x v="0"/>
    <x v="0"/>
    <x v="0"/>
    <n v="221"/>
    <n v="8"/>
    <x v="0"/>
  </r>
  <r>
    <x v="1"/>
    <x v="0"/>
    <x v="5"/>
    <x v="0"/>
    <x v="0"/>
    <x v="23"/>
    <n v="76"/>
    <n v="65"/>
    <x v="72"/>
    <x v="0"/>
    <x v="13"/>
    <x v="22"/>
    <x v="26"/>
    <x v="23"/>
    <x v="25"/>
    <x v="33"/>
    <x v="0"/>
    <x v="0"/>
    <x v="0"/>
    <n v="221"/>
    <n v="15"/>
    <x v="0"/>
  </r>
  <r>
    <x v="0"/>
    <x v="2"/>
    <x v="3"/>
    <x v="0"/>
    <x v="1"/>
    <x v="39"/>
    <n v="78"/>
    <n v="80"/>
    <x v="72"/>
    <x v="0"/>
    <x v="14"/>
    <x v="2"/>
    <x v="24"/>
    <x v="39"/>
    <x v="20"/>
    <x v="24"/>
    <x v="0"/>
    <x v="0"/>
    <x v="0"/>
    <n v="221"/>
    <n v="17"/>
    <x v="0"/>
  </r>
  <r>
    <x v="0"/>
    <x v="3"/>
    <x v="0"/>
    <x v="0"/>
    <x v="1"/>
    <x v="36"/>
    <n v="74"/>
    <n v="81"/>
    <x v="72"/>
    <x v="0"/>
    <x v="8"/>
    <x v="20"/>
    <x v="20"/>
    <x v="36"/>
    <x v="24"/>
    <x v="13"/>
    <x v="0"/>
    <x v="0"/>
    <x v="0"/>
    <n v="221"/>
    <n v="15"/>
    <x v="0"/>
  </r>
  <r>
    <x v="0"/>
    <x v="2"/>
    <x v="0"/>
    <x v="1"/>
    <x v="1"/>
    <x v="36"/>
    <n v="74"/>
    <n v="81"/>
    <x v="72"/>
    <x v="0"/>
    <x v="8"/>
    <x v="20"/>
    <x v="20"/>
    <x v="36"/>
    <x v="24"/>
    <x v="13"/>
    <x v="0"/>
    <x v="0"/>
    <x v="0"/>
    <n v="221"/>
    <n v="15"/>
    <x v="0"/>
  </r>
  <r>
    <x v="1"/>
    <x v="4"/>
    <x v="3"/>
    <x v="0"/>
    <x v="1"/>
    <x v="21"/>
    <n v="72"/>
    <n v="70"/>
    <x v="73"/>
    <x v="0"/>
    <x v="12"/>
    <x v="11"/>
    <x v="19"/>
    <x v="21"/>
    <x v="27"/>
    <x v="31"/>
    <x v="0"/>
    <x v="0"/>
    <x v="0"/>
    <n v="220"/>
    <n v="8"/>
    <x v="0"/>
  </r>
  <r>
    <x v="0"/>
    <x v="2"/>
    <x v="1"/>
    <x v="0"/>
    <x v="0"/>
    <x v="30"/>
    <n v="80"/>
    <n v="71"/>
    <x v="73"/>
    <x v="0"/>
    <x v="10"/>
    <x v="15"/>
    <x v="12"/>
    <x v="30"/>
    <x v="21"/>
    <x v="28"/>
    <x v="0"/>
    <x v="0"/>
    <x v="0"/>
    <n v="220"/>
    <n v="11"/>
    <x v="0"/>
  </r>
  <r>
    <x v="0"/>
    <x v="2"/>
    <x v="2"/>
    <x v="1"/>
    <x v="1"/>
    <x v="34"/>
    <n v="79"/>
    <n v="77"/>
    <x v="73"/>
    <x v="0"/>
    <x v="14"/>
    <x v="11"/>
    <x v="13"/>
    <x v="34"/>
    <x v="19"/>
    <x v="23"/>
    <x v="0"/>
    <x v="0"/>
    <x v="0"/>
    <n v="220"/>
    <n v="15"/>
    <x v="0"/>
  </r>
  <r>
    <x v="1"/>
    <x v="3"/>
    <x v="1"/>
    <x v="0"/>
    <x v="0"/>
    <x v="23"/>
    <n v="76"/>
    <n v="64"/>
    <x v="73"/>
    <x v="0"/>
    <x v="13"/>
    <x v="21"/>
    <x v="41"/>
    <x v="23"/>
    <x v="25"/>
    <x v="34"/>
    <x v="0"/>
    <x v="0"/>
    <x v="0"/>
    <n v="220"/>
    <n v="16"/>
    <x v="0"/>
  </r>
  <r>
    <x v="1"/>
    <x v="1"/>
    <x v="2"/>
    <x v="0"/>
    <x v="0"/>
    <x v="26"/>
    <n v="74"/>
    <n v="72"/>
    <x v="73"/>
    <x v="0"/>
    <x v="0"/>
    <x v="11"/>
    <x v="21"/>
    <x v="26"/>
    <x v="24"/>
    <x v="30"/>
    <x v="0"/>
    <x v="0"/>
    <x v="0"/>
    <n v="220"/>
    <n v="2"/>
    <x v="0"/>
  </r>
  <r>
    <x v="1"/>
    <x v="1"/>
    <x v="1"/>
    <x v="0"/>
    <x v="0"/>
    <x v="23"/>
    <n v="68"/>
    <n v="72"/>
    <x v="73"/>
    <x v="0"/>
    <x v="16"/>
    <x v="12"/>
    <x v="19"/>
    <x v="23"/>
    <x v="29"/>
    <x v="30"/>
    <x v="0"/>
    <x v="0"/>
    <x v="0"/>
    <n v="220"/>
    <n v="12"/>
    <x v="0"/>
  </r>
  <r>
    <x v="1"/>
    <x v="1"/>
    <x v="3"/>
    <x v="0"/>
    <x v="0"/>
    <x v="24"/>
    <n v="71"/>
    <n v="73"/>
    <x v="73"/>
    <x v="0"/>
    <x v="29"/>
    <x v="2"/>
    <x v="9"/>
    <x v="24"/>
    <x v="28"/>
    <x v="26"/>
    <x v="0"/>
    <x v="0"/>
    <x v="0"/>
    <n v="220"/>
    <n v="5"/>
    <x v="0"/>
  </r>
  <r>
    <x v="1"/>
    <x v="2"/>
    <x v="4"/>
    <x v="0"/>
    <x v="0"/>
    <x v="22"/>
    <n v="72"/>
    <n v="69"/>
    <x v="73"/>
    <x v="0"/>
    <x v="18"/>
    <x v="7"/>
    <x v="28"/>
    <x v="22"/>
    <x v="27"/>
    <x v="29"/>
    <x v="0"/>
    <x v="0"/>
    <x v="0"/>
    <n v="220"/>
    <n v="10"/>
    <x v="0"/>
  </r>
  <r>
    <x v="0"/>
    <x v="3"/>
    <x v="2"/>
    <x v="1"/>
    <x v="1"/>
    <x v="39"/>
    <n v="78"/>
    <n v="79"/>
    <x v="73"/>
    <x v="0"/>
    <x v="14"/>
    <x v="4"/>
    <x v="34"/>
    <x v="39"/>
    <x v="20"/>
    <x v="21"/>
    <x v="0"/>
    <x v="0"/>
    <x v="0"/>
    <n v="220"/>
    <n v="16"/>
    <x v="0"/>
  </r>
  <r>
    <x v="0"/>
    <x v="0"/>
    <x v="2"/>
    <x v="1"/>
    <x v="0"/>
    <x v="26"/>
    <n v="74"/>
    <n v="72"/>
    <x v="73"/>
    <x v="0"/>
    <x v="0"/>
    <x v="11"/>
    <x v="21"/>
    <x v="26"/>
    <x v="24"/>
    <x v="30"/>
    <x v="0"/>
    <x v="0"/>
    <x v="0"/>
    <n v="220"/>
    <n v="2"/>
    <x v="0"/>
  </r>
  <r>
    <x v="0"/>
    <x v="3"/>
    <x v="5"/>
    <x v="0"/>
    <x v="0"/>
    <x v="35"/>
    <n v="81"/>
    <n v="73"/>
    <x v="74"/>
    <x v="0"/>
    <x v="17"/>
    <x v="19"/>
    <x v="8"/>
    <x v="35"/>
    <x v="17"/>
    <x v="26"/>
    <x v="0"/>
    <x v="0"/>
    <x v="0"/>
    <n v="219"/>
    <n v="16"/>
    <x v="0"/>
  </r>
  <r>
    <x v="1"/>
    <x v="4"/>
    <x v="4"/>
    <x v="1"/>
    <x v="0"/>
    <x v="27"/>
    <n v="74"/>
    <n v="72"/>
    <x v="74"/>
    <x v="0"/>
    <x v="1"/>
    <x v="11"/>
    <x v="4"/>
    <x v="27"/>
    <x v="24"/>
    <x v="30"/>
    <x v="0"/>
    <x v="0"/>
    <x v="0"/>
    <n v="219"/>
    <n v="2"/>
    <x v="0"/>
  </r>
  <r>
    <x v="0"/>
    <x v="1"/>
    <x v="2"/>
    <x v="0"/>
    <x v="0"/>
    <x v="24"/>
    <n v="72"/>
    <n v="71"/>
    <x v="74"/>
    <x v="0"/>
    <x v="13"/>
    <x v="1"/>
    <x v="30"/>
    <x v="24"/>
    <x v="27"/>
    <x v="28"/>
    <x v="0"/>
    <x v="0"/>
    <x v="0"/>
    <n v="219"/>
    <n v="5"/>
    <x v="0"/>
  </r>
  <r>
    <x v="0"/>
    <x v="3"/>
    <x v="5"/>
    <x v="0"/>
    <x v="1"/>
    <x v="30"/>
    <n v="76"/>
    <n v="74"/>
    <x v="74"/>
    <x v="0"/>
    <x v="7"/>
    <x v="11"/>
    <x v="10"/>
    <x v="30"/>
    <x v="25"/>
    <x v="27"/>
    <x v="0"/>
    <x v="0"/>
    <x v="0"/>
    <n v="219"/>
    <n v="7"/>
    <x v="0"/>
  </r>
  <r>
    <x v="1"/>
    <x v="1"/>
    <x v="3"/>
    <x v="0"/>
    <x v="0"/>
    <x v="22"/>
    <n v="73"/>
    <n v="67"/>
    <x v="74"/>
    <x v="0"/>
    <x v="12"/>
    <x v="16"/>
    <x v="31"/>
    <x v="22"/>
    <x v="22"/>
    <x v="35"/>
    <x v="0"/>
    <x v="0"/>
    <x v="0"/>
    <n v="219"/>
    <n v="12"/>
    <x v="0"/>
  </r>
  <r>
    <x v="1"/>
    <x v="0"/>
    <x v="3"/>
    <x v="0"/>
    <x v="0"/>
    <x v="24"/>
    <n v="71"/>
    <n v="72"/>
    <x v="74"/>
    <x v="0"/>
    <x v="29"/>
    <x v="4"/>
    <x v="17"/>
    <x v="24"/>
    <x v="28"/>
    <x v="30"/>
    <x v="0"/>
    <x v="0"/>
    <x v="0"/>
    <n v="219"/>
    <n v="5"/>
    <x v="0"/>
  </r>
  <r>
    <x v="0"/>
    <x v="1"/>
    <x v="5"/>
    <x v="0"/>
    <x v="0"/>
    <x v="30"/>
    <n v="77"/>
    <n v="73"/>
    <x v="74"/>
    <x v="0"/>
    <x v="8"/>
    <x v="10"/>
    <x v="3"/>
    <x v="30"/>
    <x v="23"/>
    <x v="26"/>
    <x v="0"/>
    <x v="0"/>
    <x v="0"/>
    <n v="219"/>
    <n v="8"/>
    <x v="0"/>
  </r>
  <r>
    <x v="0"/>
    <x v="2"/>
    <x v="0"/>
    <x v="1"/>
    <x v="0"/>
    <x v="40"/>
    <n v="78"/>
    <n v="79"/>
    <x v="74"/>
    <x v="0"/>
    <x v="17"/>
    <x v="4"/>
    <x v="24"/>
    <x v="40"/>
    <x v="20"/>
    <x v="21"/>
    <x v="0"/>
    <x v="0"/>
    <x v="0"/>
    <n v="219"/>
    <n v="17"/>
    <x v="0"/>
  </r>
  <r>
    <x v="1"/>
    <x v="2"/>
    <x v="2"/>
    <x v="0"/>
    <x v="1"/>
    <x v="21"/>
    <n v="72"/>
    <n v="69"/>
    <x v="74"/>
    <x v="0"/>
    <x v="12"/>
    <x v="7"/>
    <x v="14"/>
    <x v="21"/>
    <x v="27"/>
    <x v="29"/>
    <x v="0"/>
    <x v="0"/>
    <x v="0"/>
    <n v="219"/>
    <n v="9"/>
    <x v="0"/>
  </r>
  <r>
    <x v="0"/>
    <x v="3"/>
    <x v="0"/>
    <x v="0"/>
    <x v="0"/>
    <x v="32"/>
    <n v="72"/>
    <n v="74"/>
    <x v="75"/>
    <x v="0"/>
    <x v="0"/>
    <x v="2"/>
    <x v="12"/>
    <x v="32"/>
    <x v="27"/>
    <x v="27"/>
    <x v="0"/>
    <x v="0"/>
    <x v="0"/>
    <n v="218"/>
    <n v="2"/>
    <x v="0"/>
  </r>
  <r>
    <x v="0"/>
    <x v="0"/>
    <x v="5"/>
    <x v="1"/>
    <x v="1"/>
    <x v="36"/>
    <n v="74"/>
    <n v="78"/>
    <x v="75"/>
    <x v="0"/>
    <x v="8"/>
    <x v="12"/>
    <x v="22"/>
    <x v="36"/>
    <x v="24"/>
    <x v="20"/>
    <x v="0"/>
    <x v="0"/>
    <x v="0"/>
    <n v="218"/>
    <n v="12"/>
    <x v="0"/>
  </r>
  <r>
    <x v="1"/>
    <x v="1"/>
    <x v="2"/>
    <x v="0"/>
    <x v="0"/>
    <x v="25"/>
    <n v="74"/>
    <n v="69"/>
    <x v="75"/>
    <x v="0"/>
    <x v="28"/>
    <x v="8"/>
    <x v="16"/>
    <x v="25"/>
    <x v="24"/>
    <x v="29"/>
    <x v="0"/>
    <x v="0"/>
    <x v="0"/>
    <n v="218"/>
    <n v="6"/>
    <x v="0"/>
  </r>
  <r>
    <x v="0"/>
    <x v="1"/>
    <x v="5"/>
    <x v="0"/>
    <x v="0"/>
    <x v="30"/>
    <n v="72"/>
    <n v="77"/>
    <x v="75"/>
    <x v="0"/>
    <x v="2"/>
    <x v="6"/>
    <x v="8"/>
    <x v="30"/>
    <x v="27"/>
    <x v="23"/>
    <x v="0"/>
    <x v="0"/>
    <x v="0"/>
    <n v="218"/>
    <n v="8"/>
    <x v="0"/>
  </r>
  <r>
    <x v="0"/>
    <x v="0"/>
    <x v="3"/>
    <x v="0"/>
    <x v="0"/>
    <x v="31"/>
    <n v="76"/>
    <n v="75"/>
    <x v="75"/>
    <x v="0"/>
    <x v="30"/>
    <x v="1"/>
    <x v="8"/>
    <x v="31"/>
    <x v="25"/>
    <x v="22"/>
    <x v="0"/>
    <x v="0"/>
    <x v="0"/>
    <n v="218"/>
    <n v="9"/>
    <x v="0"/>
  </r>
  <r>
    <x v="1"/>
    <x v="1"/>
    <x v="4"/>
    <x v="0"/>
    <x v="0"/>
    <x v="27"/>
    <n v="70"/>
    <n v="75"/>
    <x v="75"/>
    <x v="0"/>
    <x v="5"/>
    <x v="6"/>
    <x v="12"/>
    <x v="27"/>
    <x v="31"/>
    <x v="22"/>
    <x v="0"/>
    <x v="0"/>
    <x v="0"/>
    <n v="218"/>
    <n v="5"/>
    <x v="0"/>
  </r>
  <r>
    <x v="0"/>
    <x v="2"/>
    <x v="2"/>
    <x v="0"/>
    <x v="1"/>
    <x v="31"/>
    <n v="74"/>
    <n v="77"/>
    <x v="75"/>
    <x v="0"/>
    <x v="7"/>
    <x v="5"/>
    <x v="23"/>
    <x v="31"/>
    <x v="24"/>
    <x v="23"/>
    <x v="0"/>
    <x v="0"/>
    <x v="0"/>
    <n v="218"/>
    <n v="10"/>
    <x v="0"/>
  </r>
  <r>
    <x v="0"/>
    <x v="3"/>
    <x v="5"/>
    <x v="0"/>
    <x v="0"/>
    <x v="26"/>
    <n v="72"/>
    <n v="72"/>
    <x v="75"/>
    <x v="0"/>
    <x v="19"/>
    <x v="0"/>
    <x v="21"/>
    <x v="26"/>
    <x v="27"/>
    <x v="30"/>
    <x v="0"/>
    <x v="0"/>
    <x v="0"/>
    <n v="218"/>
    <n v="2"/>
    <x v="0"/>
  </r>
  <r>
    <x v="0"/>
    <x v="2"/>
    <x v="3"/>
    <x v="0"/>
    <x v="1"/>
    <x v="28"/>
    <n v="72"/>
    <n v="76"/>
    <x v="75"/>
    <x v="0"/>
    <x v="3"/>
    <x v="12"/>
    <x v="6"/>
    <x v="28"/>
    <x v="27"/>
    <x v="25"/>
    <x v="0"/>
    <x v="0"/>
    <x v="0"/>
    <n v="218"/>
    <n v="6"/>
    <x v="0"/>
  </r>
  <r>
    <x v="0"/>
    <x v="2"/>
    <x v="1"/>
    <x v="0"/>
    <x v="1"/>
    <x v="40"/>
    <n v="76"/>
    <n v="80"/>
    <x v="75"/>
    <x v="0"/>
    <x v="33"/>
    <x v="12"/>
    <x v="27"/>
    <x v="40"/>
    <x v="25"/>
    <x v="24"/>
    <x v="0"/>
    <x v="0"/>
    <x v="0"/>
    <n v="218"/>
    <n v="18"/>
    <x v="0"/>
  </r>
  <r>
    <x v="0"/>
    <x v="1"/>
    <x v="3"/>
    <x v="0"/>
    <x v="0"/>
    <x v="30"/>
    <n v="74"/>
    <n v="74"/>
    <x v="76"/>
    <x v="0"/>
    <x v="6"/>
    <x v="0"/>
    <x v="10"/>
    <x v="30"/>
    <x v="24"/>
    <x v="27"/>
    <x v="0"/>
    <x v="0"/>
    <x v="0"/>
    <n v="217"/>
    <n v="5"/>
    <x v="0"/>
  </r>
  <r>
    <x v="1"/>
    <x v="1"/>
    <x v="5"/>
    <x v="0"/>
    <x v="0"/>
    <x v="24"/>
    <n v="73"/>
    <n v="68"/>
    <x v="76"/>
    <x v="0"/>
    <x v="5"/>
    <x v="8"/>
    <x v="19"/>
    <x v="24"/>
    <x v="22"/>
    <x v="32"/>
    <x v="0"/>
    <x v="0"/>
    <x v="0"/>
    <n v="217"/>
    <n v="8"/>
    <x v="0"/>
  </r>
  <r>
    <x v="0"/>
    <x v="0"/>
    <x v="3"/>
    <x v="1"/>
    <x v="0"/>
    <x v="29"/>
    <n v="76"/>
    <n v="70"/>
    <x v="76"/>
    <x v="0"/>
    <x v="6"/>
    <x v="16"/>
    <x v="4"/>
    <x v="29"/>
    <x v="25"/>
    <x v="31"/>
    <x v="0"/>
    <x v="0"/>
    <x v="0"/>
    <n v="217"/>
    <n v="6"/>
    <x v="0"/>
  </r>
  <r>
    <x v="0"/>
    <x v="0"/>
    <x v="3"/>
    <x v="0"/>
    <x v="0"/>
    <x v="29"/>
    <n v="70"/>
    <n v="76"/>
    <x v="76"/>
    <x v="0"/>
    <x v="28"/>
    <x v="13"/>
    <x v="10"/>
    <x v="29"/>
    <x v="31"/>
    <x v="25"/>
    <x v="0"/>
    <x v="0"/>
    <x v="0"/>
    <n v="217"/>
    <n v="6"/>
    <x v="0"/>
  </r>
  <r>
    <x v="0"/>
    <x v="2"/>
    <x v="1"/>
    <x v="0"/>
    <x v="0"/>
    <x v="35"/>
    <n v="76"/>
    <n v="76"/>
    <x v="76"/>
    <x v="0"/>
    <x v="10"/>
    <x v="0"/>
    <x v="11"/>
    <x v="35"/>
    <x v="25"/>
    <x v="25"/>
    <x v="0"/>
    <x v="0"/>
    <x v="0"/>
    <n v="217"/>
    <n v="11"/>
    <x v="0"/>
  </r>
  <r>
    <x v="0"/>
    <x v="0"/>
    <x v="1"/>
    <x v="0"/>
    <x v="1"/>
    <x v="35"/>
    <n v="75"/>
    <n v="77"/>
    <x v="76"/>
    <x v="0"/>
    <x v="20"/>
    <x v="2"/>
    <x v="22"/>
    <x v="35"/>
    <x v="26"/>
    <x v="23"/>
    <x v="0"/>
    <x v="0"/>
    <x v="0"/>
    <n v="217"/>
    <n v="12"/>
    <x v="0"/>
  </r>
  <r>
    <x v="0"/>
    <x v="1"/>
    <x v="1"/>
    <x v="0"/>
    <x v="0"/>
    <x v="29"/>
    <n v="71"/>
    <n v="74"/>
    <x v="77"/>
    <x v="0"/>
    <x v="0"/>
    <x v="5"/>
    <x v="2"/>
    <x v="29"/>
    <x v="28"/>
    <x v="27"/>
    <x v="0"/>
    <x v="0"/>
    <x v="0"/>
    <n v="216"/>
    <n v="3"/>
    <x v="0"/>
  </r>
  <r>
    <x v="1"/>
    <x v="1"/>
    <x v="0"/>
    <x v="0"/>
    <x v="1"/>
    <x v="37"/>
    <n v="74"/>
    <n v="74"/>
    <x v="77"/>
    <x v="0"/>
    <x v="26"/>
    <x v="0"/>
    <x v="6"/>
    <x v="37"/>
    <x v="24"/>
    <x v="27"/>
    <x v="0"/>
    <x v="0"/>
    <x v="0"/>
    <n v="216"/>
    <n v="6"/>
    <x v="0"/>
  </r>
  <r>
    <x v="1"/>
    <x v="1"/>
    <x v="3"/>
    <x v="0"/>
    <x v="1"/>
    <x v="35"/>
    <n v="77"/>
    <n v="74"/>
    <x v="77"/>
    <x v="0"/>
    <x v="27"/>
    <x v="7"/>
    <x v="33"/>
    <x v="35"/>
    <x v="23"/>
    <x v="27"/>
    <x v="0"/>
    <x v="0"/>
    <x v="0"/>
    <n v="216"/>
    <n v="12"/>
    <x v="0"/>
  </r>
  <r>
    <x v="0"/>
    <x v="2"/>
    <x v="2"/>
    <x v="0"/>
    <x v="1"/>
    <x v="35"/>
    <n v="74"/>
    <n v="77"/>
    <x v="77"/>
    <x v="0"/>
    <x v="30"/>
    <x v="5"/>
    <x v="22"/>
    <x v="35"/>
    <x v="24"/>
    <x v="23"/>
    <x v="0"/>
    <x v="0"/>
    <x v="0"/>
    <n v="216"/>
    <n v="12"/>
    <x v="0"/>
  </r>
  <r>
    <x v="0"/>
    <x v="2"/>
    <x v="1"/>
    <x v="1"/>
    <x v="0"/>
    <x v="35"/>
    <n v="77"/>
    <n v="74"/>
    <x v="77"/>
    <x v="0"/>
    <x v="27"/>
    <x v="7"/>
    <x v="33"/>
    <x v="35"/>
    <x v="23"/>
    <x v="27"/>
    <x v="0"/>
    <x v="0"/>
    <x v="0"/>
    <n v="216"/>
    <n v="12"/>
    <x v="0"/>
  </r>
  <r>
    <x v="1"/>
    <x v="3"/>
    <x v="3"/>
    <x v="0"/>
    <x v="1"/>
    <x v="29"/>
    <n v="75"/>
    <n v="70"/>
    <x v="77"/>
    <x v="0"/>
    <x v="4"/>
    <x v="8"/>
    <x v="4"/>
    <x v="29"/>
    <x v="26"/>
    <x v="31"/>
    <x v="0"/>
    <x v="0"/>
    <x v="0"/>
    <n v="216"/>
    <n v="5"/>
    <x v="0"/>
  </r>
  <r>
    <x v="0"/>
    <x v="2"/>
    <x v="1"/>
    <x v="0"/>
    <x v="0"/>
    <x v="35"/>
    <n v="77"/>
    <n v="74"/>
    <x v="77"/>
    <x v="0"/>
    <x v="27"/>
    <x v="7"/>
    <x v="33"/>
    <x v="35"/>
    <x v="23"/>
    <x v="27"/>
    <x v="0"/>
    <x v="0"/>
    <x v="0"/>
    <n v="216"/>
    <n v="12"/>
    <x v="0"/>
  </r>
  <r>
    <x v="0"/>
    <x v="2"/>
    <x v="1"/>
    <x v="0"/>
    <x v="0"/>
    <x v="36"/>
    <n v="77"/>
    <n v="73"/>
    <x v="77"/>
    <x v="0"/>
    <x v="10"/>
    <x v="10"/>
    <x v="7"/>
    <x v="36"/>
    <x v="23"/>
    <x v="26"/>
    <x v="0"/>
    <x v="0"/>
    <x v="0"/>
    <n v="216"/>
    <n v="11"/>
    <x v="0"/>
  </r>
  <r>
    <x v="0"/>
    <x v="2"/>
    <x v="2"/>
    <x v="1"/>
    <x v="1"/>
    <x v="35"/>
    <n v="76"/>
    <n v="75"/>
    <x v="77"/>
    <x v="0"/>
    <x v="10"/>
    <x v="1"/>
    <x v="23"/>
    <x v="35"/>
    <x v="25"/>
    <x v="22"/>
    <x v="0"/>
    <x v="0"/>
    <x v="0"/>
    <n v="216"/>
    <n v="11"/>
    <x v="0"/>
  </r>
  <r>
    <x v="0"/>
    <x v="2"/>
    <x v="2"/>
    <x v="0"/>
    <x v="0"/>
    <x v="30"/>
    <n v="73"/>
    <n v="73"/>
    <x v="78"/>
    <x v="0"/>
    <x v="4"/>
    <x v="0"/>
    <x v="3"/>
    <x v="30"/>
    <x v="22"/>
    <x v="26"/>
    <x v="0"/>
    <x v="0"/>
    <x v="0"/>
    <n v="215"/>
    <n v="4"/>
    <x v="0"/>
  </r>
  <r>
    <x v="1"/>
    <x v="2"/>
    <x v="1"/>
    <x v="0"/>
    <x v="0"/>
    <x v="30"/>
    <n v="77"/>
    <n v="69"/>
    <x v="78"/>
    <x v="0"/>
    <x v="8"/>
    <x v="19"/>
    <x v="0"/>
    <x v="30"/>
    <x v="23"/>
    <x v="29"/>
    <x v="0"/>
    <x v="0"/>
    <x v="0"/>
    <n v="215"/>
    <n v="8"/>
    <x v="0"/>
  </r>
  <r>
    <x v="0"/>
    <x v="2"/>
    <x v="3"/>
    <x v="0"/>
    <x v="0"/>
    <x v="32"/>
    <n v="72"/>
    <n v="71"/>
    <x v="78"/>
    <x v="0"/>
    <x v="0"/>
    <x v="1"/>
    <x v="4"/>
    <x v="32"/>
    <x v="27"/>
    <x v="28"/>
    <x v="0"/>
    <x v="0"/>
    <x v="0"/>
    <n v="215"/>
    <n v="1"/>
    <x v="0"/>
  </r>
  <r>
    <x v="1"/>
    <x v="1"/>
    <x v="2"/>
    <x v="0"/>
    <x v="1"/>
    <x v="24"/>
    <n v="70"/>
    <n v="69"/>
    <x v="78"/>
    <x v="0"/>
    <x v="12"/>
    <x v="1"/>
    <x v="5"/>
    <x v="24"/>
    <x v="31"/>
    <x v="29"/>
    <x v="0"/>
    <x v="0"/>
    <x v="0"/>
    <n v="215"/>
    <n v="7"/>
    <x v="0"/>
  </r>
  <r>
    <x v="1"/>
    <x v="1"/>
    <x v="5"/>
    <x v="1"/>
    <x v="0"/>
    <x v="25"/>
    <n v="74"/>
    <n v="66"/>
    <x v="78"/>
    <x v="0"/>
    <x v="28"/>
    <x v="19"/>
    <x v="14"/>
    <x v="25"/>
    <x v="24"/>
    <x v="36"/>
    <x v="0"/>
    <x v="0"/>
    <x v="0"/>
    <n v="215"/>
    <n v="9"/>
    <x v="0"/>
  </r>
  <r>
    <x v="0"/>
    <x v="1"/>
    <x v="4"/>
    <x v="0"/>
    <x v="1"/>
    <x v="28"/>
    <n v="71"/>
    <n v="74"/>
    <x v="78"/>
    <x v="0"/>
    <x v="1"/>
    <x v="5"/>
    <x v="3"/>
    <x v="28"/>
    <x v="28"/>
    <x v="27"/>
    <x v="0"/>
    <x v="0"/>
    <x v="0"/>
    <n v="215"/>
    <n v="4"/>
    <x v="0"/>
  </r>
  <r>
    <x v="1"/>
    <x v="2"/>
    <x v="5"/>
    <x v="0"/>
    <x v="0"/>
    <x v="28"/>
    <n v="74"/>
    <n v="71"/>
    <x v="78"/>
    <x v="0"/>
    <x v="4"/>
    <x v="7"/>
    <x v="1"/>
    <x v="28"/>
    <x v="24"/>
    <x v="28"/>
    <x v="0"/>
    <x v="0"/>
    <x v="0"/>
    <n v="215"/>
    <n v="4"/>
    <x v="0"/>
  </r>
  <r>
    <x v="1"/>
    <x v="1"/>
    <x v="5"/>
    <x v="0"/>
    <x v="0"/>
    <x v="30"/>
    <n v="75"/>
    <n v="71"/>
    <x v="78"/>
    <x v="0"/>
    <x v="26"/>
    <x v="10"/>
    <x v="12"/>
    <x v="30"/>
    <x v="26"/>
    <x v="28"/>
    <x v="0"/>
    <x v="0"/>
    <x v="0"/>
    <n v="215"/>
    <n v="6"/>
    <x v="0"/>
  </r>
  <r>
    <x v="1"/>
    <x v="2"/>
    <x v="1"/>
    <x v="0"/>
    <x v="0"/>
    <x v="24"/>
    <n v="70"/>
    <n v="68"/>
    <x v="79"/>
    <x v="0"/>
    <x v="12"/>
    <x v="11"/>
    <x v="19"/>
    <x v="24"/>
    <x v="31"/>
    <x v="32"/>
    <x v="0"/>
    <x v="0"/>
    <x v="0"/>
    <n v="214"/>
    <n v="8"/>
    <x v="0"/>
  </r>
  <r>
    <x v="1"/>
    <x v="2"/>
    <x v="1"/>
    <x v="0"/>
    <x v="0"/>
    <x v="26"/>
    <n v="73"/>
    <n v="67"/>
    <x v="79"/>
    <x v="0"/>
    <x v="28"/>
    <x v="16"/>
    <x v="5"/>
    <x v="26"/>
    <x v="22"/>
    <x v="35"/>
    <x v="0"/>
    <x v="0"/>
    <x v="0"/>
    <n v="214"/>
    <n v="7"/>
    <x v="0"/>
  </r>
  <r>
    <x v="1"/>
    <x v="1"/>
    <x v="1"/>
    <x v="1"/>
    <x v="0"/>
    <x v="25"/>
    <n v="66"/>
    <n v="73"/>
    <x v="79"/>
    <x v="0"/>
    <x v="23"/>
    <x v="20"/>
    <x v="21"/>
    <x v="25"/>
    <x v="30"/>
    <x v="26"/>
    <x v="0"/>
    <x v="0"/>
    <x v="0"/>
    <n v="214"/>
    <n v="9"/>
    <x v="0"/>
  </r>
  <r>
    <x v="1"/>
    <x v="0"/>
    <x v="1"/>
    <x v="0"/>
    <x v="0"/>
    <x v="24"/>
    <n v="71"/>
    <n v="67"/>
    <x v="79"/>
    <x v="0"/>
    <x v="29"/>
    <x v="10"/>
    <x v="14"/>
    <x v="24"/>
    <x v="28"/>
    <x v="35"/>
    <x v="0"/>
    <x v="0"/>
    <x v="0"/>
    <n v="214"/>
    <n v="9"/>
    <x v="0"/>
  </r>
  <r>
    <x v="0"/>
    <x v="1"/>
    <x v="0"/>
    <x v="1"/>
    <x v="0"/>
    <x v="39"/>
    <n v="73"/>
    <n v="78"/>
    <x v="79"/>
    <x v="0"/>
    <x v="20"/>
    <x v="6"/>
    <x v="20"/>
    <x v="39"/>
    <x v="22"/>
    <x v="20"/>
    <x v="0"/>
    <x v="0"/>
    <x v="0"/>
    <n v="214"/>
    <n v="15"/>
    <x v="0"/>
  </r>
  <r>
    <x v="0"/>
    <x v="1"/>
    <x v="1"/>
    <x v="0"/>
    <x v="1"/>
    <x v="41"/>
    <n v="78"/>
    <n v="79"/>
    <x v="79"/>
    <x v="0"/>
    <x v="41"/>
    <x v="4"/>
    <x v="42"/>
    <x v="41"/>
    <x v="20"/>
    <x v="21"/>
    <x v="0"/>
    <x v="0"/>
    <x v="0"/>
    <n v="214"/>
    <n v="22"/>
    <x v="0"/>
  </r>
  <r>
    <x v="0"/>
    <x v="1"/>
    <x v="2"/>
    <x v="0"/>
    <x v="0"/>
    <x v="37"/>
    <n v="71"/>
    <n v="75"/>
    <x v="79"/>
    <x v="0"/>
    <x v="2"/>
    <x v="12"/>
    <x v="7"/>
    <x v="37"/>
    <x v="28"/>
    <x v="22"/>
    <x v="0"/>
    <x v="0"/>
    <x v="0"/>
    <n v="214"/>
    <n v="7"/>
    <x v="0"/>
  </r>
  <r>
    <x v="0"/>
    <x v="1"/>
    <x v="1"/>
    <x v="0"/>
    <x v="0"/>
    <x v="34"/>
    <n v="76"/>
    <n v="74"/>
    <x v="79"/>
    <x v="0"/>
    <x v="27"/>
    <x v="11"/>
    <x v="23"/>
    <x v="34"/>
    <x v="25"/>
    <x v="27"/>
    <x v="0"/>
    <x v="0"/>
    <x v="0"/>
    <n v="214"/>
    <n v="12"/>
    <x v="0"/>
  </r>
  <r>
    <x v="0"/>
    <x v="2"/>
    <x v="0"/>
    <x v="1"/>
    <x v="0"/>
    <x v="31"/>
    <n v="75"/>
    <n v="72"/>
    <x v="79"/>
    <x v="0"/>
    <x v="8"/>
    <x v="7"/>
    <x v="10"/>
    <x v="31"/>
    <x v="26"/>
    <x v="30"/>
    <x v="0"/>
    <x v="0"/>
    <x v="0"/>
    <n v="214"/>
    <n v="8"/>
    <x v="0"/>
  </r>
  <r>
    <x v="0"/>
    <x v="2"/>
    <x v="1"/>
    <x v="0"/>
    <x v="1"/>
    <x v="41"/>
    <n v="77"/>
    <n v="80"/>
    <x v="79"/>
    <x v="0"/>
    <x v="21"/>
    <x v="5"/>
    <x v="43"/>
    <x v="41"/>
    <x v="23"/>
    <x v="24"/>
    <x v="0"/>
    <x v="0"/>
    <x v="0"/>
    <n v="214"/>
    <n v="23"/>
    <x v="0"/>
  </r>
  <r>
    <x v="1"/>
    <x v="1"/>
    <x v="2"/>
    <x v="0"/>
    <x v="1"/>
    <x v="19"/>
    <n v="68"/>
    <n v="69"/>
    <x v="79"/>
    <x v="0"/>
    <x v="23"/>
    <x v="4"/>
    <x v="19"/>
    <x v="19"/>
    <x v="29"/>
    <x v="29"/>
    <x v="0"/>
    <x v="0"/>
    <x v="0"/>
    <n v="214"/>
    <n v="9"/>
    <x v="0"/>
  </r>
  <r>
    <x v="0"/>
    <x v="2"/>
    <x v="5"/>
    <x v="0"/>
    <x v="0"/>
    <x v="36"/>
    <n v="71"/>
    <n v="76"/>
    <x v="80"/>
    <x v="0"/>
    <x v="6"/>
    <x v="6"/>
    <x v="23"/>
    <x v="36"/>
    <x v="28"/>
    <x v="25"/>
    <x v="0"/>
    <x v="0"/>
    <x v="0"/>
    <n v="213"/>
    <n v="10"/>
    <x v="0"/>
  </r>
  <r>
    <x v="1"/>
    <x v="3"/>
    <x v="3"/>
    <x v="0"/>
    <x v="0"/>
    <x v="22"/>
    <n v="67"/>
    <n v="67"/>
    <x v="80"/>
    <x v="0"/>
    <x v="16"/>
    <x v="0"/>
    <x v="31"/>
    <x v="22"/>
    <x v="32"/>
    <x v="35"/>
    <x v="0"/>
    <x v="0"/>
    <x v="0"/>
    <n v="213"/>
    <n v="12"/>
    <x v="0"/>
  </r>
  <r>
    <x v="1"/>
    <x v="3"/>
    <x v="5"/>
    <x v="1"/>
    <x v="0"/>
    <x v="36"/>
    <n v="77"/>
    <n v="70"/>
    <x v="80"/>
    <x v="0"/>
    <x v="10"/>
    <x v="3"/>
    <x v="3"/>
    <x v="36"/>
    <x v="23"/>
    <x v="31"/>
    <x v="0"/>
    <x v="0"/>
    <x v="0"/>
    <n v="213"/>
    <n v="11"/>
    <x v="0"/>
  </r>
  <r>
    <x v="0"/>
    <x v="0"/>
    <x v="0"/>
    <x v="0"/>
    <x v="0"/>
    <x v="35"/>
    <n v="73"/>
    <n v="75"/>
    <x v="80"/>
    <x v="0"/>
    <x v="8"/>
    <x v="2"/>
    <x v="23"/>
    <x v="35"/>
    <x v="22"/>
    <x v="22"/>
    <x v="0"/>
    <x v="0"/>
    <x v="0"/>
    <n v="213"/>
    <n v="10"/>
    <x v="0"/>
  </r>
  <r>
    <x v="1"/>
    <x v="0"/>
    <x v="1"/>
    <x v="0"/>
    <x v="1"/>
    <x v="29"/>
    <n v="74"/>
    <n v="68"/>
    <x v="80"/>
    <x v="0"/>
    <x v="2"/>
    <x v="16"/>
    <x v="9"/>
    <x v="29"/>
    <x v="24"/>
    <x v="32"/>
    <x v="0"/>
    <x v="0"/>
    <x v="0"/>
    <n v="213"/>
    <n v="6"/>
    <x v="0"/>
  </r>
  <r>
    <x v="1"/>
    <x v="2"/>
    <x v="0"/>
    <x v="0"/>
    <x v="1"/>
    <x v="29"/>
    <n v="74"/>
    <n v="68"/>
    <x v="80"/>
    <x v="0"/>
    <x v="2"/>
    <x v="16"/>
    <x v="9"/>
    <x v="29"/>
    <x v="24"/>
    <x v="32"/>
    <x v="0"/>
    <x v="0"/>
    <x v="0"/>
    <n v="213"/>
    <n v="6"/>
    <x v="0"/>
  </r>
  <r>
    <x v="0"/>
    <x v="1"/>
    <x v="3"/>
    <x v="1"/>
    <x v="1"/>
    <x v="38"/>
    <n v="78"/>
    <n v="76"/>
    <x v="80"/>
    <x v="0"/>
    <x v="35"/>
    <x v="11"/>
    <x v="24"/>
    <x v="38"/>
    <x v="20"/>
    <x v="25"/>
    <x v="0"/>
    <x v="0"/>
    <x v="0"/>
    <n v="213"/>
    <n v="19"/>
    <x v="0"/>
  </r>
  <r>
    <x v="0"/>
    <x v="0"/>
    <x v="3"/>
    <x v="0"/>
    <x v="1"/>
    <x v="36"/>
    <n v="74"/>
    <n v="73"/>
    <x v="80"/>
    <x v="0"/>
    <x v="8"/>
    <x v="1"/>
    <x v="7"/>
    <x v="36"/>
    <x v="24"/>
    <x v="26"/>
    <x v="0"/>
    <x v="0"/>
    <x v="0"/>
    <n v="213"/>
    <n v="8"/>
    <x v="0"/>
  </r>
  <r>
    <x v="0"/>
    <x v="1"/>
    <x v="5"/>
    <x v="0"/>
    <x v="0"/>
    <x v="31"/>
    <n v="72"/>
    <n v="74"/>
    <x v="80"/>
    <x v="0"/>
    <x v="6"/>
    <x v="2"/>
    <x v="7"/>
    <x v="31"/>
    <x v="27"/>
    <x v="27"/>
    <x v="0"/>
    <x v="0"/>
    <x v="0"/>
    <n v="213"/>
    <n v="7"/>
    <x v="0"/>
  </r>
  <r>
    <x v="0"/>
    <x v="1"/>
    <x v="3"/>
    <x v="1"/>
    <x v="0"/>
    <x v="34"/>
    <n v="74"/>
    <n v="75"/>
    <x v="80"/>
    <x v="0"/>
    <x v="20"/>
    <x v="4"/>
    <x v="11"/>
    <x v="34"/>
    <x v="24"/>
    <x v="22"/>
    <x v="0"/>
    <x v="0"/>
    <x v="0"/>
    <n v="213"/>
    <n v="11"/>
    <x v="0"/>
  </r>
  <r>
    <x v="1"/>
    <x v="1"/>
    <x v="5"/>
    <x v="1"/>
    <x v="0"/>
    <x v="26"/>
    <n v="70"/>
    <n v="69"/>
    <x v="80"/>
    <x v="0"/>
    <x v="13"/>
    <x v="1"/>
    <x v="30"/>
    <x v="26"/>
    <x v="31"/>
    <x v="29"/>
    <x v="0"/>
    <x v="0"/>
    <x v="0"/>
    <n v="213"/>
    <n v="5"/>
    <x v="0"/>
  </r>
  <r>
    <x v="1"/>
    <x v="4"/>
    <x v="0"/>
    <x v="0"/>
    <x v="0"/>
    <x v="19"/>
    <n v="67"/>
    <n v="68"/>
    <x v="81"/>
    <x v="0"/>
    <x v="24"/>
    <x v="4"/>
    <x v="14"/>
    <x v="19"/>
    <x v="32"/>
    <x v="32"/>
    <x v="0"/>
    <x v="0"/>
    <x v="0"/>
    <n v="212"/>
    <n v="10"/>
    <x v="0"/>
  </r>
  <r>
    <x v="0"/>
    <x v="3"/>
    <x v="4"/>
    <x v="1"/>
    <x v="1"/>
    <x v="42"/>
    <n v="76"/>
    <n v="78"/>
    <x v="81"/>
    <x v="0"/>
    <x v="32"/>
    <x v="2"/>
    <x v="44"/>
    <x v="42"/>
    <x v="25"/>
    <x v="20"/>
    <x v="0"/>
    <x v="0"/>
    <x v="0"/>
    <n v="212"/>
    <n v="20"/>
    <x v="0"/>
  </r>
  <r>
    <x v="0"/>
    <x v="2"/>
    <x v="3"/>
    <x v="1"/>
    <x v="1"/>
    <x v="31"/>
    <n v="75"/>
    <n v="70"/>
    <x v="81"/>
    <x v="0"/>
    <x v="8"/>
    <x v="8"/>
    <x v="2"/>
    <x v="31"/>
    <x v="26"/>
    <x v="31"/>
    <x v="0"/>
    <x v="0"/>
    <x v="0"/>
    <n v="212"/>
    <n v="8"/>
    <x v="0"/>
  </r>
  <r>
    <x v="1"/>
    <x v="2"/>
    <x v="5"/>
    <x v="0"/>
    <x v="1"/>
    <x v="25"/>
    <n v="69"/>
    <n v="68"/>
    <x v="81"/>
    <x v="0"/>
    <x v="12"/>
    <x v="1"/>
    <x v="5"/>
    <x v="25"/>
    <x v="33"/>
    <x v="32"/>
    <x v="0"/>
    <x v="0"/>
    <x v="0"/>
    <n v="212"/>
    <n v="7"/>
    <x v="0"/>
  </r>
  <r>
    <x v="0"/>
    <x v="2"/>
    <x v="0"/>
    <x v="0"/>
    <x v="0"/>
    <x v="31"/>
    <n v="69"/>
    <n v="75"/>
    <x v="82"/>
    <x v="0"/>
    <x v="3"/>
    <x v="13"/>
    <x v="8"/>
    <x v="31"/>
    <x v="33"/>
    <x v="22"/>
    <x v="0"/>
    <x v="0"/>
    <x v="0"/>
    <n v="211"/>
    <n v="8"/>
    <x v="0"/>
  </r>
  <r>
    <x v="0"/>
    <x v="2"/>
    <x v="0"/>
    <x v="0"/>
    <x v="0"/>
    <x v="35"/>
    <n v="72"/>
    <n v="74"/>
    <x v="82"/>
    <x v="0"/>
    <x v="7"/>
    <x v="2"/>
    <x v="33"/>
    <x v="35"/>
    <x v="27"/>
    <x v="27"/>
    <x v="0"/>
    <x v="0"/>
    <x v="0"/>
    <n v="211"/>
    <n v="9"/>
    <x v="0"/>
  </r>
  <r>
    <x v="0"/>
    <x v="2"/>
    <x v="3"/>
    <x v="0"/>
    <x v="0"/>
    <x v="39"/>
    <n v="74"/>
    <n v="74"/>
    <x v="82"/>
    <x v="0"/>
    <x v="10"/>
    <x v="0"/>
    <x v="11"/>
    <x v="39"/>
    <x v="24"/>
    <x v="27"/>
    <x v="0"/>
    <x v="0"/>
    <x v="0"/>
    <n v="211"/>
    <n v="11"/>
    <x v="0"/>
  </r>
  <r>
    <x v="0"/>
    <x v="1"/>
    <x v="2"/>
    <x v="0"/>
    <x v="0"/>
    <x v="38"/>
    <n v="72"/>
    <n v="80"/>
    <x v="82"/>
    <x v="0"/>
    <x v="11"/>
    <x v="17"/>
    <x v="29"/>
    <x v="38"/>
    <x v="27"/>
    <x v="24"/>
    <x v="0"/>
    <x v="0"/>
    <x v="0"/>
    <n v="211"/>
    <n v="21"/>
    <x v="0"/>
  </r>
  <r>
    <x v="0"/>
    <x v="0"/>
    <x v="0"/>
    <x v="0"/>
    <x v="1"/>
    <x v="29"/>
    <n v="70"/>
    <n v="70"/>
    <x v="82"/>
    <x v="0"/>
    <x v="28"/>
    <x v="0"/>
    <x v="4"/>
    <x v="29"/>
    <x v="31"/>
    <x v="31"/>
    <x v="0"/>
    <x v="0"/>
    <x v="0"/>
    <n v="211"/>
    <n v="1"/>
    <x v="0"/>
  </r>
  <r>
    <x v="1"/>
    <x v="2"/>
    <x v="3"/>
    <x v="1"/>
    <x v="1"/>
    <x v="31"/>
    <n v="74"/>
    <n v="70"/>
    <x v="82"/>
    <x v="0"/>
    <x v="7"/>
    <x v="10"/>
    <x v="2"/>
    <x v="31"/>
    <x v="24"/>
    <x v="31"/>
    <x v="0"/>
    <x v="0"/>
    <x v="0"/>
    <n v="211"/>
    <n v="7"/>
    <x v="0"/>
  </r>
  <r>
    <x v="1"/>
    <x v="2"/>
    <x v="5"/>
    <x v="0"/>
    <x v="0"/>
    <x v="15"/>
    <n v="66"/>
    <n v="64"/>
    <x v="82"/>
    <x v="0"/>
    <x v="22"/>
    <x v="11"/>
    <x v="40"/>
    <x v="15"/>
    <x v="30"/>
    <x v="34"/>
    <x v="0"/>
    <x v="0"/>
    <x v="0"/>
    <n v="211"/>
    <n v="17"/>
    <x v="0"/>
  </r>
  <r>
    <x v="0"/>
    <x v="0"/>
    <x v="1"/>
    <x v="0"/>
    <x v="0"/>
    <x v="37"/>
    <n v="76"/>
    <n v="67"/>
    <x v="82"/>
    <x v="0"/>
    <x v="8"/>
    <x v="15"/>
    <x v="4"/>
    <x v="37"/>
    <x v="25"/>
    <x v="35"/>
    <x v="0"/>
    <x v="0"/>
    <x v="0"/>
    <n v="211"/>
    <n v="9"/>
    <x v="0"/>
  </r>
  <r>
    <x v="0"/>
    <x v="3"/>
    <x v="3"/>
    <x v="1"/>
    <x v="1"/>
    <x v="35"/>
    <n v="75"/>
    <n v="70"/>
    <x v="83"/>
    <x v="0"/>
    <x v="20"/>
    <x v="8"/>
    <x v="10"/>
    <x v="35"/>
    <x v="26"/>
    <x v="31"/>
    <x v="0"/>
    <x v="0"/>
    <x v="0"/>
    <n v="210"/>
    <n v="10"/>
    <x v="0"/>
  </r>
  <r>
    <x v="1"/>
    <x v="0"/>
    <x v="3"/>
    <x v="0"/>
    <x v="0"/>
    <x v="24"/>
    <n v="67"/>
    <n v="67"/>
    <x v="83"/>
    <x v="0"/>
    <x v="23"/>
    <x v="0"/>
    <x v="14"/>
    <x v="24"/>
    <x v="32"/>
    <x v="35"/>
    <x v="0"/>
    <x v="0"/>
    <x v="0"/>
    <n v="210"/>
    <n v="9"/>
    <x v="0"/>
  </r>
  <r>
    <x v="1"/>
    <x v="3"/>
    <x v="5"/>
    <x v="0"/>
    <x v="1"/>
    <x v="27"/>
    <n v="69"/>
    <n v="68"/>
    <x v="83"/>
    <x v="0"/>
    <x v="13"/>
    <x v="1"/>
    <x v="30"/>
    <x v="27"/>
    <x v="33"/>
    <x v="32"/>
    <x v="0"/>
    <x v="0"/>
    <x v="0"/>
    <n v="210"/>
    <n v="5"/>
    <x v="0"/>
  </r>
  <r>
    <x v="0"/>
    <x v="1"/>
    <x v="4"/>
    <x v="1"/>
    <x v="1"/>
    <x v="33"/>
    <n v="71"/>
    <n v="78"/>
    <x v="83"/>
    <x v="0"/>
    <x v="20"/>
    <x v="20"/>
    <x v="24"/>
    <x v="33"/>
    <x v="28"/>
    <x v="20"/>
    <x v="0"/>
    <x v="0"/>
    <x v="0"/>
    <n v="210"/>
    <n v="17"/>
    <x v="0"/>
  </r>
  <r>
    <x v="0"/>
    <x v="2"/>
    <x v="5"/>
    <x v="1"/>
    <x v="0"/>
    <x v="36"/>
    <n v="76"/>
    <n v="68"/>
    <x v="83"/>
    <x v="0"/>
    <x v="20"/>
    <x v="19"/>
    <x v="12"/>
    <x v="36"/>
    <x v="25"/>
    <x v="32"/>
    <x v="0"/>
    <x v="0"/>
    <x v="0"/>
    <n v="210"/>
    <n v="10"/>
    <x v="0"/>
  </r>
  <r>
    <x v="1"/>
    <x v="0"/>
    <x v="0"/>
    <x v="1"/>
    <x v="1"/>
    <x v="28"/>
    <n v="68"/>
    <n v="72"/>
    <x v="83"/>
    <x v="0"/>
    <x v="19"/>
    <x v="12"/>
    <x v="12"/>
    <x v="28"/>
    <x v="29"/>
    <x v="30"/>
    <x v="0"/>
    <x v="0"/>
    <x v="0"/>
    <n v="210"/>
    <n v="4"/>
    <x v="0"/>
  </r>
  <r>
    <x v="0"/>
    <x v="2"/>
    <x v="5"/>
    <x v="0"/>
    <x v="1"/>
    <x v="42"/>
    <n v="75"/>
    <n v="77"/>
    <x v="83"/>
    <x v="0"/>
    <x v="25"/>
    <x v="2"/>
    <x v="37"/>
    <x v="42"/>
    <x v="26"/>
    <x v="23"/>
    <x v="0"/>
    <x v="0"/>
    <x v="0"/>
    <n v="210"/>
    <n v="19"/>
    <x v="0"/>
  </r>
  <r>
    <x v="1"/>
    <x v="1"/>
    <x v="5"/>
    <x v="0"/>
    <x v="0"/>
    <x v="28"/>
    <n v="70"/>
    <n v="70"/>
    <x v="83"/>
    <x v="0"/>
    <x v="0"/>
    <x v="0"/>
    <x v="0"/>
    <x v="28"/>
    <x v="31"/>
    <x v="31"/>
    <x v="0"/>
    <x v="0"/>
    <x v="0"/>
    <n v="210"/>
    <n v="0"/>
    <x v="0"/>
  </r>
  <r>
    <x v="0"/>
    <x v="2"/>
    <x v="2"/>
    <x v="0"/>
    <x v="0"/>
    <x v="35"/>
    <n v="69"/>
    <n v="76"/>
    <x v="83"/>
    <x v="0"/>
    <x v="4"/>
    <x v="20"/>
    <x v="11"/>
    <x v="35"/>
    <x v="33"/>
    <x v="25"/>
    <x v="0"/>
    <x v="0"/>
    <x v="0"/>
    <n v="210"/>
    <n v="11"/>
    <x v="0"/>
  </r>
  <r>
    <x v="1"/>
    <x v="0"/>
    <x v="2"/>
    <x v="0"/>
    <x v="0"/>
    <x v="14"/>
    <n v="67"/>
    <n v="61"/>
    <x v="83"/>
    <x v="0"/>
    <x v="22"/>
    <x v="16"/>
    <x v="39"/>
    <x v="14"/>
    <x v="32"/>
    <x v="37"/>
    <x v="0"/>
    <x v="0"/>
    <x v="0"/>
    <n v="210"/>
    <n v="21"/>
    <x v="0"/>
  </r>
  <r>
    <x v="1"/>
    <x v="2"/>
    <x v="3"/>
    <x v="1"/>
    <x v="0"/>
    <x v="23"/>
    <n v="64"/>
    <n v="66"/>
    <x v="83"/>
    <x v="0"/>
    <x v="44"/>
    <x v="2"/>
    <x v="15"/>
    <x v="23"/>
    <x v="34"/>
    <x v="36"/>
    <x v="0"/>
    <x v="0"/>
    <x v="0"/>
    <n v="210"/>
    <n v="16"/>
    <x v="0"/>
  </r>
  <r>
    <x v="1"/>
    <x v="2"/>
    <x v="4"/>
    <x v="1"/>
    <x v="1"/>
    <x v="32"/>
    <n v="66"/>
    <n v="72"/>
    <x v="83"/>
    <x v="0"/>
    <x v="12"/>
    <x v="13"/>
    <x v="0"/>
    <x v="32"/>
    <x v="30"/>
    <x v="30"/>
    <x v="0"/>
    <x v="0"/>
    <x v="0"/>
    <n v="210"/>
    <n v="6"/>
    <x v="0"/>
  </r>
  <r>
    <x v="0"/>
    <x v="2"/>
    <x v="1"/>
    <x v="1"/>
    <x v="0"/>
    <x v="43"/>
    <n v="75"/>
    <n v="74"/>
    <x v="84"/>
    <x v="0"/>
    <x v="14"/>
    <x v="1"/>
    <x v="18"/>
    <x v="43"/>
    <x v="26"/>
    <x v="27"/>
    <x v="0"/>
    <x v="0"/>
    <x v="0"/>
    <n v="209"/>
    <n v="15"/>
    <x v="0"/>
  </r>
  <r>
    <x v="1"/>
    <x v="2"/>
    <x v="2"/>
    <x v="0"/>
    <x v="0"/>
    <x v="25"/>
    <n v="72"/>
    <n v="62"/>
    <x v="84"/>
    <x v="0"/>
    <x v="5"/>
    <x v="9"/>
    <x v="35"/>
    <x v="25"/>
    <x v="27"/>
    <x v="38"/>
    <x v="0"/>
    <x v="0"/>
    <x v="0"/>
    <n v="209"/>
    <n v="13"/>
    <x v="0"/>
  </r>
  <r>
    <x v="1"/>
    <x v="4"/>
    <x v="5"/>
    <x v="0"/>
    <x v="0"/>
    <x v="29"/>
    <n v="74"/>
    <n v="64"/>
    <x v="84"/>
    <x v="0"/>
    <x v="2"/>
    <x v="9"/>
    <x v="5"/>
    <x v="29"/>
    <x v="24"/>
    <x v="34"/>
    <x v="0"/>
    <x v="0"/>
    <x v="0"/>
    <n v="209"/>
    <n v="10"/>
    <x v="0"/>
  </r>
  <r>
    <x v="0"/>
    <x v="4"/>
    <x v="1"/>
    <x v="0"/>
    <x v="1"/>
    <x v="35"/>
    <n v="70"/>
    <n v="74"/>
    <x v="84"/>
    <x v="0"/>
    <x v="6"/>
    <x v="12"/>
    <x v="33"/>
    <x v="35"/>
    <x v="31"/>
    <x v="27"/>
    <x v="0"/>
    <x v="0"/>
    <x v="0"/>
    <n v="209"/>
    <n v="9"/>
    <x v="0"/>
  </r>
  <r>
    <x v="1"/>
    <x v="1"/>
    <x v="5"/>
    <x v="1"/>
    <x v="0"/>
    <x v="36"/>
    <n v="74"/>
    <n v="69"/>
    <x v="84"/>
    <x v="0"/>
    <x v="8"/>
    <x v="8"/>
    <x v="2"/>
    <x v="36"/>
    <x v="24"/>
    <x v="29"/>
    <x v="0"/>
    <x v="0"/>
    <x v="0"/>
    <n v="209"/>
    <n v="8"/>
    <x v="0"/>
  </r>
  <r>
    <x v="0"/>
    <x v="2"/>
    <x v="1"/>
    <x v="0"/>
    <x v="1"/>
    <x v="37"/>
    <n v="67"/>
    <n v="73"/>
    <x v="85"/>
    <x v="0"/>
    <x v="28"/>
    <x v="13"/>
    <x v="10"/>
    <x v="37"/>
    <x v="32"/>
    <x v="26"/>
    <x v="0"/>
    <x v="0"/>
    <x v="0"/>
    <n v="208"/>
    <n v="6"/>
    <x v="0"/>
  </r>
  <r>
    <x v="1"/>
    <x v="2"/>
    <x v="3"/>
    <x v="0"/>
    <x v="0"/>
    <x v="27"/>
    <n v="74"/>
    <n v="61"/>
    <x v="85"/>
    <x v="0"/>
    <x v="1"/>
    <x v="23"/>
    <x v="31"/>
    <x v="27"/>
    <x v="24"/>
    <x v="37"/>
    <x v="0"/>
    <x v="0"/>
    <x v="0"/>
    <n v="208"/>
    <n v="13"/>
    <x v="0"/>
  </r>
  <r>
    <x v="1"/>
    <x v="1"/>
    <x v="2"/>
    <x v="0"/>
    <x v="1"/>
    <x v="29"/>
    <n v="69"/>
    <n v="68"/>
    <x v="85"/>
    <x v="0"/>
    <x v="19"/>
    <x v="1"/>
    <x v="9"/>
    <x v="29"/>
    <x v="33"/>
    <x v="32"/>
    <x v="0"/>
    <x v="0"/>
    <x v="0"/>
    <n v="208"/>
    <n v="3"/>
    <x v="0"/>
  </r>
  <r>
    <x v="0"/>
    <x v="3"/>
    <x v="5"/>
    <x v="0"/>
    <x v="0"/>
    <x v="36"/>
    <n v="72"/>
    <n v="70"/>
    <x v="85"/>
    <x v="0"/>
    <x v="26"/>
    <x v="11"/>
    <x v="3"/>
    <x v="36"/>
    <x v="27"/>
    <x v="31"/>
    <x v="0"/>
    <x v="0"/>
    <x v="0"/>
    <n v="208"/>
    <n v="6"/>
    <x v="0"/>
  </r>
  <r>
    <x v="1"/>
    <x v="2"/>
    <x v="2"/>
    <x v="0"/>
    <x v="1"/>
    <x v="31"/>
    <n v="73"/>
    <n v="68"/>
    <x v="85"/>
    <x v="0"/>
    <x v="26"/>
    <x v="8"/>
    <x v="1"/>
    <x v="31"/>
    <x v="22"/>
    <x v="32"/>
    <x v="0"/>
    <x v="0"/>
    <x v="0"/>
    <n v="208"/>
    <n v="6"/>
    <x v="0"/>
  </r>
  <r>
    <x v="1"/>
    <x v="3"/>
    <x v="3"/>
    <x v="1"/>
    <x v="0"/>
    <x v="25"/>
    <n v="68"/>
    <n v="65"/>
    <x v="85"/>
    <x v="0"/>
    <x v="18"/>
    <x v="7"/>
    <x v="28"/>
    <x v="25"/>
    <x v="29"/>
    <x v="33"/>
    <x v="0"/>
    <x v="0"/>
    <x v="0"/>
    <n v="208"/>
    <n v="10"/>
    <x v="0"/>
  </r>
  <r>
    <x v="0"/>
    <x v="3"/>
    <x v="5"/>
    <x v="1"/>
    <x v="0"/>
    <x v="34"/>
    <n v="73"/>
    <n v="71"/>
    <x v="85"/>
    <x v="0"/>
    <x v="30"/>
    <x v="11"/>
    <x v="7"/>
    <x v="34"/>
    <x v="22"/>
    <x v="28"/>
    <x v="0"/>
    <x v="0"/>
    <x v="0"/>
    <n v="208"/>
    <n v="9"/>
    <x v="0"/>
  </r>
  <r>
    <x v="0"/>
    <x v="1"/>
    <x v="3"/>
    <x v="1"/>
    <x v="0"/>
    <x v="30"/>
    <n v="65"/>
    <n v="74"/>
    <x v="85"/>
    <x v="0"/>
    <x v="13"/>
    <x v="18"/>
    <x v="10"/>
    <x v="30"/>
    <x v="35"/>
    <x v="27"/>
    <x v="0"/>
    <x v="0"/>
    <x v="0"/>
    <n v="208"/>
    <n v="9"/>
    <x v="0"/>
  </r>
  <r>
    <x v="0"/>
    <x v="1"/>
    <x v="0"/>
    <x v="1"/>
    <x v="0"/>
    <x v="40"/>
    <n v="72"/>
    <n v="74"/>
    <x v="85"/>
    <x v="0"/>
    <x v="20"/>
    <x v="2"/>
    <x v="22"/>
    <x v="40"/>
    <x v="27"/>
    <x v="27"/>
    <x v="0"/>
    <x v="0"/>
    <x v="0"/>
    <n v="208"/>
    <n v="12"/>
    <x v="0"/>
  </r>
  <r>
    <x v="0"/>
    <x v="1"/>
    <x v="4"/>
    <x v="0"/>
    <x v="0"/>
    <x v="40"/>
    <n v="70"/>
    <n v="75"/>
    <x v="86"/>
    <x v="0"/>
    <x v="8"/>
    <x v="6"/>
    <x v="13"/>
    <x v="40"/>
    <x v="31"/>
    <x v="22"/>
    <x v="0"/>
    <x v="0"/>
    <x v="0"/>
    <n v="207"/>
    <n v="13"/>
    <x v="0"/>
  </r>
  <r>
    <x v="0"/>
    <x v="1"/>
    <x v="1"/>
    <x v="1"/>
    <x v="1"/>
    <x v="41"/>
    <n v="74"/>
    <n v="76"/>
    <x v="86"/>
    <x v="0"/>
    <x v="25"/>
    <x v="2"/>
    <x v="37"/>
    <x v="41"/>
    <x v="24"/>
    <x v="25"/>
    <x v="0"/>
    <x v="0"/>
    <x v="0"/>
    <n v="207"/>
    <n v="19"/>
    <x v="0"/>
  </r>
  <r>
    <x v="0"/>
    <x v="1"/>
    <x v="2"/>
    <x v="0"/>
    <x v="1"/>
    <x v="33"/>
    <n v="74"/>
    <n v="72"/>
    <x v="86"/>
    <x v="0"/>
    <x v="11"/>
    <x v="11"/>
    <x v="11"/>
    <x v="33"/>
    <x v="24"/>
    <x v="30"/>
    <x v="0"/>
    <x v="0"/>
    <x v="0"/>
    <n v="207"/>
    <n v="13"/>
    <x v="0"/>
  </r>
  <r>
    <x v="1"/>
    <x v="3"/>
    <x v="2"/>
    <x v="0"/>
    <x v="0"/>
    <x v="32"/>
    <n v="68"/>
    <n v="67"/>
    <x v="86"/>
    <x v="0"/>
    <x v="13"/>
    <x v="1"/>
    <x v="30"/>
    <x v="32"/>
    <x v="29"/>
    <x v="35"/>
    <x v="0"/>
    <x v="0"/>
    <x v="0"/>
    <n v="207"/>
    <n v="5"/>
    <x v="0"/>
  </r>
  <r>
    <x v="1"/>
    <x v="2"/>
    <x v="1"/>
    <x v="1"/>
    <x v="0"/>
    <x v="27"/>
    <n v="68"/>
    <n v="66"/>
    <x v="86"/>
    <x v="0"/>
    <x v="29"/>
    <x v="11"/>
    <x v="5"/>
    <x v="27"/>
    <x v="29"/>
    <x v="36"/>
    <x v="0"/>
    <x v="0"/>
    <x v="0"/>
    <n v="207"/>
    <n v="7"/>
    <x v="0"/>
  </r>
  <r>
    <x v="1"/>
    <x v="1"/>
    <x v="5"/>
    <x v="1"/>
    <x v="1"/>
    <x v="27"/>
    <n v="68"/>
    <n v="66"/>
    <x v="86"/>
    <x v="0"/>
    <x v="29"/>
    <x v="11"/>
    <x v="5"/>
    <x v="27"/>
    <x v="29"/>
    <x v="36"/>
    <x v="0"/>
    <x v="0"/>
    <x v="0"/>
    <n v="207"/>
    <n v="7"/>
    <x v="0"/>
  </r>
  <r>
    <x v="0"/>
    <x v="0"/>
    <x v="0"/>
    <x v="0"/>
    <x v="0"/>
    <x v="34"/>
    <n v="73"/>
    <n v="70"/>
    <x v="86"/>
    <x v="0"/>
    <x v="30"/>
    <x v="7"/>
    <x v="6"/>
    <x v="34"/>
    <x v="22"/>
    <x v="31"/>
    <x v="0"/>
    <x v="0"/>
    <x v="0"/>
    <n v="207"/>
    <n v="9"/>
    <x v="0"/>
  </r>
  <r>
    <x v="0"/>
    <x v="2"/>
    <x v="0"/>
    <x v="0"/>
    <x v="1"/>
    <x v="44"/>
    <n v="79"/>
    <n v="72"/>
    <x v="86"/>
    <x v="0"/>
    <x v="45"/>
    <x v="3"/>
    <x v="34"/>
    <x v="44"/>
    <x v="19"/>
    <x v="30"/>
    <x v="0"/>
    <x v="0"/>
    <x v="0"/>
    <n v="207"/>
    <n v="23"/>
    <x v="0"/>
  </r>
  <r>
    <x v="0"/>
    <x v="2"/>
    <x v="3"/>
    <x v="1"/>
    <x v="1"/>
    <x v="39"/>
    <n v="73"/>
    <n v="71"/>
    <x v="86"/>
    <x v="0"/>
    <x v="20"/>
    <x v="11"/>
    <x v="8"/>
    <x v="39"/>
    <x v="22"/>
    <x v="28"/>
    <x v="0"/>
    <x v="0"/>
    <x v="0"/>
    <n v="207"/>
    <n v="10"/>
    <x v="0"/>
  </r>
  <r>
    <x v="1"/>
    <x v="1"/>
    <x v="0"/>
    <x v="1"/>
    <x v="1"/>
    <x v="33"/>
    <n v="70"/>
    <n v="76"/>
    <x v="86"/>
    <x v="0"/>
    <x v="30"/>
    <x v="13"/>
    <x v="20"/>
    <x v="33"/>
    <x v="31"/>
    <x v="25"/>
    <x v="0"/>
    <x v="0"/>
    <x v="0"/>
    <n v="207"/>
    <n v="15"/>
    <x v="0"/>
  </r>
  <r>
    <x v="0"/>
    <x v="1"/>
    <x v="1"/>
    <x v="1"/>
    <x v="0"/>
    <x v="45"/>
    <n v="76"/>
    <n v="76"/>
    <x v="86"/>
    <x v="0"/>
    <x v="41"/>
    <x v="0"/>
    <x v="29"/>
    <x v="45"/>
    <x v="25"/>
    <x v="25"/>
    <x v="0"/>
    <x v="0"/>
    <x v="0"/>
    <n v="207"/>
    <n v="21"/>
    <x v="0"/>
  </r>
  <r>
    <x v="1"/>
    <x v="1"/>
    <x v="1"/>
    <x v="0"/>
    <x v="0"/>
    <x v="25"/>
    <n v="68"/>
    <n v="64"/>
    <x v="86"/>
    <x v="0"/>
    <x v="18"/>
    <x v="10"/>
    <x v="32"/>
    <x v="25"/>
    <x v="29"/>
    <x v="34"/>
    <x v="0"/>
    <x v="0"/>
    <x v="0"/>
    <n v="207"/>
    <n v="11"/>
    <x v="0"/>
  </r>
  <r>
    <x v="0"/>
    <x v="2"/>
    <x v="3"/>
    <x v="0"/>
    <x v="0"/>
    <x v="43"/>
    <n v="72"/>
    <n v="74"/>
    <x v="87"/>
    <x v="0"/>
    <x v="27"/>
    <x v="2"/>
    <x v="18"/>
    <x v="43"/>
    <x v="27"/>
    <x v="27"/>
    <x v="0"/>
    <x v="0"/>
    <x v="0"/>
    <n v="206"/>
    <n v="14"/>
    <x v="0"/>
  </r>
  <r>
    <x v="1"/>
    <x v="0"/>
    <x v="0"/>
    <x v="0"/>
    <x v="0"/>
    <x v="14"/>
    <n v="62"/>
    <n v="62"/>
    <x v="87"/>
    <x v="0"/>
    <x v="46"/>
    <x v="0"/>
    <x v="45"/>
    <x v="14"/>
    <x v="36"/>
    <x v="38"/>
    <x v="0"/>
    <x v="0"/>
    <x v="0"/>
    <n v="206"/>
    <n v="20"/>
    <x v="0"/>
  </r>
  <r>
    <x v="1"/>
    <x v="1"/>
    <x v="3"/>
    <x v="0"/>
    <x v="0"/>
    <x v="24"/>
    <n v="64"/>
    <n v="66"/>
    <x v="87"/>
    <x v="0"/>
    <x v="16"/>
    <x v="2"/>
    <x v="28"/>
    <x v="24"/>
    <x v="34"/>
    <x v="36"/>
    <x v="0"/>
    <x v="0"/>
    <x v="0"/>
    <n v="206"/>
    <n v="12"/>
    <x v="0"/>
  </r>
  <r>
    <x v="1"/>
    <x v="1"/>
    <x v="1"/>
    <x v="0"/>
    <x v="1"/>
    <x v="31"/>
    <n v="72"/>
    <n v="67"/>
    <x v="87"/>
    <x v="0"/>
    <x v="6"/>
    <x v="8"/>
    <x v="0"/>
    <x v="31"/>
    <x v="27"/>
    <x v="35"/>
    <x v="0"/>
    <x v="0"/>
    <x v="0"/>
    <n v="206"/>
    <n v="5"/>
    <x v="0"/>
  </r>
  <r>
    <x v="0"/>
    <x v="2"/>
    <x v="5"/>
    <x v="0"/>
    <x v="0"/>
    <x v="39"/>
    <n v="69"/>
    <n v="74"/>
    <x v="87"/>
    <x v="0"/>
    <x v="26"/>
    <x v="6"/>
    <x v="11"/>
    <x v="39"/>
    <x v="33"/>
    <x v="27"/>
    <x v="0"/>
    <x v="0"/>
    <x v="0"/>
    <n v="206"/>
    <n v="11"/>
    <x v="0"/>
  </r>
  <r>
    <x v="0"/>
    <x v="2"/>
    <x v="1"/>
    <x v="0"/>
    <x v="0"/>
    <x v="40"/>
    <n v="74"/>
    <n v="70"/>
    <x v="87"/>
    <x v="0"/>
    <x v="27"/>
    <x v="10"/>
    <x v="8"/>
    <x v="40"/>
    <x v="24"/>
    <x v="31"/>
    <x v="0"/>
    <x v="0"/>
    <x v="0"/>
    <n v="206"/>
    <n v="12"/>
    <x v="0"/>
  </r>
  <r>
    <x v="0"/>
    <x v="2"/>
    <x v="1"/>
    <x v="0"/>
    <x v="1"/>
    <x v="45"/>
    <n v="72"/>
    <n v="79"/>
    <x v="87"/>
    <x v="0"/>
    <x v="25"/>
    <x v="20"/>
    <x v="46"/>
    <x v="45"/>
    <x v="27"/>
    <x v="21"/>
    <x v="0"/>
    <x v="0"/>
    <x v="0"/>
    <n v="206"/>
    <n v="24"/>
    <x v="0"/>
  </r>
  <r>
    <x v="1"/>
    <x v="2"/>
    <x v="1"/>
    <x v="1"/>
    <x v="1"/>
    <x v="35"/>
    <n v="73"/>
    <n v="68"/>
    <x v="87"/>
    <x v="0"/>
    <x v="8"/>
    <x v="8"/>
    <x v="2"/>
    <x v="35"/>
    <x v="22"/>
    <x v="32"/>
    <x v="0"/>
    <x v="0"/>
    <x v="0"/>
    <n v="206"/>
    <n v="8"/>
    <x v="0"/>
  </r>
  <r>
    <x v="1"/>
    <x v="1"/>
    <x v="1"/>
    <x v="0"/>
    <x v="0"/>
    <x v="23"/>
    <n v="63"/>
    <n v="63"/>
    <x v="87"/>
    <x v="0"/>
    <x v="37"/>
    <x v="0"/>
    <x v="40"/>
    <x v="23"/>
    <x v="37"/>
    <x v="39"/>
    <x v="0"/>
    <x v="0"/>
    <x v="0"/>
    <n v="206"/>
    <n v="17"/>
    <x v="0"/>
  </r>
  <r>
    <x v="1"/>
    <x v="1"/>
    <x v="5"/>
    <x v="1"/>
    <x v="0"/>
    <x v="30"/>
    <n v="70"/>
    <n v="67"/>
    <x v="87"/>
    <x v="0"/>
    <x v="1"/>
    <x v="7"/>
    <x v="21"/>
    <x v="30"/>
    <x v="31"/>
    <x v="35"/>
    <x v="0"/>
    <x v="0"/>
    <x v="0"/>
    <n v="206"/>
    <n v="3"/>
    <x v="0"/>
  </r>
  <r>
    <x v="1"/>
    <x v="2"/>
    <x v="5"/>
    <x v="0"/>
    <x v="0"/>
    <x v="28"/>
    <n v="70"/>
    <n v="65"/>
    <x v="88"/>
    <x v="0"/>
    <x v="0"/>
    <x v="8"/>
    <x v="30"/>
    <x v="28"/>
    <x v="31"/>
    <x v="33"/>
    <x v="0"/>
    <x v="0"/>
    <x v="0"/>
    <n v="205"/>
    <n v="5"/>
    <x v="0"/>
  </r>
  <r>
    <x v="0"/>
    <x v="0"/>
    <x v="3"/>
    <x v="0"/>
    <x v="1"/>
    <x v="39"/>
    <n v="72"/>
    <n v="70"/>
    <x v="88"/>
    <x v="0"/>
    <x v="30"/>
    <x v="11"/>
    <x v="7"/>
    <x v="39"/>
    <x v="27"/>
    <x v="31"/>
    <x v="0"/>
    <x v="0"/>
    <x v="0"/>
    <n v="205"/>
    <n v="9"/>
    <x v="0"/>
  </r>
  <r>
    <x v="1"/>
    <x v="2"/>
    <x v="4"/>
    <x v="1"/>
    <x v="1"/>
    <x v="40"/>
    <n v="68"/>
    <n v="75"/>
    <x v="88"/>
    <x v="0"/>
    <x v="26"/>
    <x v="20"/>
    <x v="13"/>
    <x v="40"/>
    <x v="29"/>
    <x v="22"/>
    <x v="0"/>
    <x v="0"/>
    <x v="0"/>
    <n v="205"/>
    <n v="13"/>
    <x v="0"/>
  </r>
  <r>
    <x v="0"/>
    <x v="0"/>
    <x v="3"/>
    <x v="0"/>
    <x v="0"/>
    <x v="40"/>
    <n v="73"/>
    <n v="70"/>
    <x v="88"/>
    <x v="0"/>
    <x v="10"/>
    <x v="7"/>
    <x v="8"/>
    <x v="40"/>
    <x v="22"/>
    <x v="31"/>
    <x v="0"/>
    <x v="0"/>
    <x v="0"/>
    <n v="205"/>
    <n v="11"/>
    <x v="0"/>
  </r>
  <r>
    <x v="0"/>
    <x v="2"/>
    <x v="1"/>
    <x v="1"/>
    <x v="0"/>
    <x v="34"/>
    <n v="73"/>
    <n v="68"/>
    <x v="88"/>
    <x v="0"/>
    <x v="30"/>
    <x v="8"/>
    <x v="3"/>
    <x v="34"/>
    <x v="22"/>
    <x v="32"/>
    <x v="0"/>
    <x v="0"/>
    <x v="0"/>
    <n v="205"/>
    <n v="9"/>
    <x v="0"/>
  </r>
  <r>
    <x v="1"/>
    <x v="4"/>
    <x v="3"/>
    <x v="0"/>
    <x v="0"/>
    <x v="30"/>
    <n v="67"/>
    <n v="69"/>
    <x v="88"/>
    <x v="0"/>
    <x v="19"/>
    <x v="2"/>
    <x v="0"/>
    <x v="30"/>
    <x v="32"/>
    <x v="29"/>
    <x v="0"/>
    <x v="0"/>
    <x v="0"/>
    <n v="205"/>
    <n v="2"/>
    <x v="0"/>
  </r>
  <r>
    <x v="1"/>
    <x v="2"/>
    <x v="2"/>
    <x v="1"/>
    <x v="0"/>
    <x v="30"/>
    <n v="71"/>
    <n v="65"/>
    <x v="88"/>
    <x v="0"/>
    <x v="3"/>
    <x v="16"/>
    <x v="17"/>
    <x v="30"/>
    <x v="28"/>
    <x v="33"/>
    <x v="0"/>
    <x v="0"/>
    <x v="0"/>
    <n v="205"/>
    <n v="6"/>
    <x v="0"/>
  </r>
  <r>
    <x v="1"/>
    <x v="2"/>
    <x v="2"/>
    <x v="0"/>
    <x v="0"/>
    <x v="27"/>
    <n v="66"/>
    <n v="66"/>
    <x v="88"/>
    <x v="0"/>
    <x v="18"/>
    <x v="0"/>
    <x v="5"/>
    <x v="27"/>
    <x v="30"/>
    <x v="36"/>
    <x v="0"/>
    <x v="0"/>
    <x v="0"/>
    <n v="205"/>
    <n v="7"/>
    <x v="0"/>
  </r>
  <r>
    <x v="1"/>
    <x v="3"/>
    <x v="5"/>
    <x v="0"/>
    <x v="1"/>
    <x v="32"/>
    <n v="65"/>
    <n v="68"/>
    <x v="88"/>
    <x v="0"/>
    <x v="18"/>
    <x v="5"/>
    <x v="17"/>
    <x v="32"/>
    <x v="35"/>
    <x v="32"/>
    <x v="0"/>
    <x v="0"/>
    <x v="0"/>
    <n v="205"/>
    <n v="7"/>
    <x v="0"/>
  </r>
  <r>
    <x v="1"/>
    <x v="0"/>
    <x v="3"/>
    <x v="0"/>
    <x v="0"/>
    <x v="37"/>
    <n v="72"/>
    <n v="65"/>
    <x v="88"/>
    <x v="0"/>
    <x v="4"/>
    <x v="3"/>
    <x v="9"/>
    <x v="37"/>
    <x v="27"/>
    <x v="33"/>
    <x v="0"/>
    <x v="0"/>
    <x v="0"/>
    <n v="205"/>
    <n v="7"/>
    <x v="0"/>
  </r>
  <r>
    <x v="1"/>
    <x v="2"/>
    <x v="4"/>
    <x v="0"/>
    <x v="0"/>
    <x v="29"/>
    <n v="67"/>
    <n v="67"/>
    <x v="88"/>
    <x v="0"/>
    <x v="13"/>
    <x v="0"/>
    <x v="17"/>
    <x v="29"/>
    <x v="32"/>
    <x v="35"/>
    <x v="0"/>
    <x v="0"/>
    <x v="0"/>
    <n v="205"/>
    <n v="4"/>
    <x v="0"/>
  </r>
  <r>
    <x v="1"/>
    <x v="1"/>
    <x v="1"/>
    <x v="1"/>
    <x v="1"/>
    <x v="33"/>
    <n v="71"/>
    <n v="73"/>
    <x v="88"/>
    <x v="0"/>
    <x v="20"/>
    <x v="2"/>
    <x v="22"/>
    <x v="33"/>
    <x v="28"/>
    <x v="26"/>
    <x v="0"/>
    <x v="0"/>
    <x v="0"/>
    <n v="205"/>
    <n v="12"/>
    <x v="0"/>
  </r>
  <r>
    <x v="0"/>
    <x v="0"/>
    <x v="5"/>
    <x v="1"/>
    <x v="1"/>
    <x v="41"/>
    <n v="75"/>
    <n v="73"/>
    <x v="88"/>
    <x v="0"/>
    <x v="32"/>
    <x v="11"/>
    <x v="34"/>
    <x v="41"/>
    <x v="26"/>
    <x v="26"/>
    <x v="0"/>
    <x v="0"/>
    <x v="0"/>
    <n v="205"/>
    <n v="18"/>
    <x v="0"/>
  </r>
  <r>
    <x v="0"/>
    <x v="1"/>
    <x v="1"/>
    <x v="0"/>
    <x v="0"/>
    <x v="35"/>
    <n v="69"/>
    <n v="70"/>
    <x v="89"/>
    <x v="0"/>
    <x v="4"/>
    <x v="4"/>
    <x v="10"/>
    <x v="35"/>
    <x v="33"/>
    <x v="31"/>
    <x v="0"/>
    <x v="0"/>
    <x v="0"/>
    <n v="204"/>
    <n v="5"/>
    <x v="0"/>
  </r>
  <r>
    <x v="1"/>
    <x v="4"/>
    <x v="2"/>
    <x v="1"/>
    <x v="0"/>
    <x v="37"/>
    <n v="72"/>
    <n v="64"/>
    <x v="89"/>
    <x v="0"/>
    <x v="4"/>
    <x v="19"/>
    <x v="17"/>
    <x v="37"/>
    <x v="27"/>
    <x v="34"/>
    <x v="0"/>
    <x v="0"/>
    <x v="0"/>
    <n v="204"/>
    <n v="8"/>
    <x v="0"/>
  </r>
  <r>
    <x v="0"/>
    <x v="2"/>
    <x v="1"/>
    <x v="1"/>
    <x v="1"/>
    <x v="37"/>
    <n v="67"/>
    <n v="69"/>
    <x v="89"/>
    <x v="0"/>
    <x v="28"/>
    <x v="2"/>
    <x v="1"/>
    <x v="37"/>
    <x v="32"/>
    <x v="29"/>
    <x v="0"/>
    <x v="0"/>
    <x v="0"/>
    <n v="204"/>
    <n v="2"/>
    <x v="0"/>
  </r>
  <r>
    <x v="0"/>
    <x v="2"/>
    <x v="2"/>
    <x v="0"/>
    <x v="0"/>
    <x v="39"/>
    <n v="73"/>
    <n v="68"/>
    <x v="89"/>
    <x v="0"/>
    <x v="20"/>
    <x v="8"/>
    <x v="10"/>
    <x v="39"/>
    <x v="22"/>
    <x v="32"/>
    <x v="0"/>
    <x v="0"/>
    <x v="0"/>
    <n v="204"/>
    <n v="10"/>
    <x v="0"/>
  </r>
  <r>
    <x v="1"/>
    <x v="4"/>
    <x v="5"/>
    <x v="1"/>
    <x v="1"/>
    <x v="32"/>
    <n v="67"/>
    <n v="65"/>
    <x v="89"/>
    <x v="0"/>
    <x v="29"/>
    <x v="11"/>
    <x v="5"/>
    <x v="32"/>
    <x v="32"/>
    <x v="33"/>
    <x v="0"/>
    <x v="0"/>
    <x v="0"/>
    <n v="204"/>
    <n v="7"/>
    <x v="0"/>
  </r>
  <r>
    <x v="1"/>
    <x v="0"/>
    <x v="0"/>
    <x v="0"/>
    <x v="1"/>
    <x v="24"/>
    <n v="62"/>
    <n v="66"/>
    <x v="89"/>
    <x v="0"/>
    <x v="31"/>
    <x v="12"/>
    <x v="28"/>
    <x v="24"/>
    <x v="36"/>
    <x v="36"/>
    <x v="0"/>
    <x v="0"/>
    <x v="0"/>
    <n v="204"/>
    <n v="14"/>
    <x v="0"/>
  </r>
  <r>
    <x v="1"/>
    <x v="4"/>
    <x v="5"/>
    <x v="0"/>
    <x v="0"/>
    <x v="37"/>
    <n v="70"/>
    <n v="66"/>
    <x v="89"/>
    <x v="0"/>
    <x v="3"/>
    <x v="10"/>
    <x v="21"/>
    <x v="37"/>
    <x v="31"/>
    <x v="36"/>
    <x v="0"/>
    <x v="0"/>
    <x v="0"/>
    <n v="204"/>
    <n v="4"/>
    <x v="0"/>
  </r>
  <r>
    <x v="1"/>
    <x v="3"/>
    <x v="5"/>
    <x v="0"/>
    <x v="0"/>
    <x v="22"/>
    <n v="60"/>
    <n v="65"/>
    <x v="89"/>
    <x v="0"/>
    <x v="43"/>
    <x v="6"/>
    <x v="15"/>
    <x v="22"/>
    <x v="38"/>
    <x v="33"/>
    <x v="0"/>
    <x v="0"/>
    <x v="0"/>
    <n v="204"/>
    <n v="19"/>
    <x v="0"/>
  </r>
  <r>
    <x v="0"/>
    <x v="3"/>
    <x v="2"/>
    <x v="0"/>
    <x v="1"/>
    <x v="43"/>
    <n v="70"/>
    <n v="74"/>
    <x v="89"/>
    <x v="0"/>
    <x v="20"/>
    <x v="12"/>
    <x v="18"/>
    <x v="43"/>
    <x v="31"/>
    <x v="27"/>
    <x v="0"/>
    <x v="0"/>
    <x v="0"/>
    <n v="204"/>
    <n v="14"/>
    <x v="0"/>
  </r>
  <r>
    <x v="0"/>
    <x v="2"/>
    <x v="3"/>
    <x v="1"/>
    <x v="0"/>
    <x v="40"/>
    <n v="72"/>
    <n v="70"/>
    <x v="89"/>
    <x v="0"/>
    <x v="20"/>
    <x v="11"/>
    <x v="8"/>
    <x v="40"/>
    <x v="27"/>
    <x v="31"/>
    <x v="0"/>
    <x v="0"/>
    <x v="0"/>
    <n v="204"/>
    <n v="10"/>
    <x v="0"/>
  </r>
  <r>
    <x v="0"/>
    <x v="2"/>
    <x v="1"/>
    <x v="0"/>
    <x v="1"/>
    <x v="38"/>
    <n v="73"/>
    <n v="72"/>
    <x v="89"/>
    <x v="0"/>
    <x v="33"/>
    <x v="1"/>
    <x v="13"/>
    <x v="38"/>
    <x v="22"/>
    <x v="30"/>
    <x v="0"/>
    <x v="0"/>
    <x v="0"/>
    <n v="204"/>
    <n v="14"/>
    <x v="0"/>
  </r>
  <r>
    <x v="0"/>
    <x v="0"/>
    <x v="3"/>
    <x v="0"/>
    <x v="0"/>
    <x v="37"/>
    <n v="70"/>
    <n v="66"/>
    <x v="89"/>
    <x v="0"/>
    <x v="3"/>
    <x v="10"/>
    <x v="21"/>
    <x v="37"/>
    <x v="31"/>
    <x v="36"/>
    <x v="0"/>
    <x v="0"/>
    <x v="0"/>
    <n v="204"/>
    <n v="4"/>
    <x v="0"/>
  </r>
  <r>
    <x v="1"/>
    <x v="1"/>
    <x v="5"/>
    <x v="0"/>
    <x v="0"/>
    <x v="32"/>
    <n v="66"/>
    <n v="66"/>
    <x v="89"/>
    <x v="0"/>
    <x v="12"/>
    <x v="0"/>
    <x v="16"/>
    <x v="32"/>
    <x v="30"/>
    <x v="36"/>
    <x v="0"/>
    <x v="0"/>
    <x v="0"/>
    <n v="204"/>
    <n v="6"/>
    <x v="0"/>
  </r>
  <r>
    <x v="0"/>
    <x v="1"/>
    <x v="3"/>
    <x v="0"/>
    <x v="0"/>
    <x v="40"/>
    <n v="70"/>
    <n v="72"/>
    <x v="89"/>
    <x v="0"/>
    <x v="8"/>
    <x v="2"/>
    <x v="23"/>
    <x v="40"/>
    <x v="31"/>
    <x v="30"/>
    <x v="0"/>
    <x v="0"/>
    <x v="0"/>
    <n v="204"/>
    <n v="10"/>
    <x v="0"/>
  </r>
  <r>
    <x v="1"/>
    <x v="3"/>
    <x v="0"/>
    <x v="0"/>
    <x v="0"/>
    <x v="39"/>
    <n v="71"/>
    <n v="69"/>
    <x v="90"/>
    <x v="0"/>
    <x v="8"/>
    <x v="11"/>
    <x v="6"/>
    <x v="39"/>
    <x v="28"/>
    <x v="29"/>
    <x v="0"/>
    <x v="0"/>
    <x v="0"/>
    <n v="203"/>
    <n v="8"/>
    <x v="0"/>
  </r>
  <r>
    <x v="0"/>
    <x v="2"/>
    <x v="5"/>
    <x v="0"/>
    <x v="0"/>
    <x v="33"/>
    <n v="72"/>
    <n v="70"/>
    <x v="90"/>
    <x v="0"/>
    <x v="10"/>
    <x v="11"/>
    <x v="33"/>
    <x v="33"/>
    <x v="27"/>
    <x v="31"/>
    <x v="0"/>
    <x v="0"/>
    <x v="0"/>
    <n v="203"/>
    <n v="11"/>
    <x v="0"/>
  </r>
  <r>
    <x v="0"/>
    <x v="3"/>
    <x v="2"/>
    <x v="0"/>
    <x v="0"/>
    <x v="36"/>
    <n v="69"/>
    <n v="68"/>
    <x v="90"/>
    <x v="0"/>
    <x v="2"/>
    <x v="1"/>
    <x v="12"/>
    <x v="36"/>
    <x v="33"/>
    <x v="32"/>
    <x v="0"/>
    <x v="0"/>
    <x v="0"/>
    <n v="203"/>
    <n v="3"/>
    <x v="0"/>
  </r>
  <r>
    <x v="1"/>
    <x v="2"/>
    <x v="5"/>
    <x v="0"/>
    <x v="1"/>
    <x v="32"/>
    <n v="67"/>
    <n v="64"/>
    <x v="90"/>
    <x v="0"/>
    <x v="29"/>
    <x v="7"/>
    <x v="19"/>
    <x v="32"/>
    <x v="32"/>
    <x v="34"/>
    <x v="0"/>
    <x v="0"/>
    <x v="0"/>
    <n v="203"/>
    <n v="8"/>
    <x v="0"/>
  </r>
  <r>
    <x v="1"/>
    <x v="1"/>
    <x v="3"/>
    <x v="1"/>
    <x v="0"/>
    <x v="19"/>
    <n v="62"/>
    <n v="64"/>
    <x v="90"/>
    <x v="0"/>
    <x v="22"/>
    <x v="2"/>
    <x v="35"/>
    <x v="19"/>
    <x v="36"/>
    <x v="34"/>
    <x v="0"/>
    <x v="0"/>
    <x v="0"/>
    <n v="203"/>
    <n v="15"/>
    <x v="0"/>
  </r>
  <r>
    <x v="1"/>
    <x v="1"/>
    <x v="0"/>
    <x v="1"/>
    <x v="0"/>
    <x v="37"/>
    <n v="68"/>
    <n v="67"/>
    <x v="90"/>
    <x v="0"/>
    <x v="0"/>
    <x v="1"/>
    <x v="4"/>
    <x v="37"/>
    <x v="29"/>
    <x v="35"/>
    <x v="0"/>
    <x v="0"/>
    <x v="0"/>
    <n v="203"/>
    <n v="1"/>
    <x v="0"/>
  </r>
  <r>
    <x v="1"/>
    <x v="2"/>
    <x v="5"/>
    <x v="0"/>
    <x v="0"/>
    <x v="29"/>
    <n v="66"/>
    <n v="65"/>
    <x v="91"/>
    <x v="0"/>
    <x v="29"/>
    <x v="1"/>
    <x v="16"/>
    <x v="29"/>
    <x v="30"/>
    <x v="33"/>
    <x v="0"/>
    <x v="0"/>
    <x v="0"/>
    <n v="202"/>
    <n v="6"/>
    <x v="0"/>
  </r>
  <r>
    <x v="0"/>
    <x v="1"/>
    <x v="0"/>
    <x v="0"/>
    <x v="0"/>
    <x v="38"/>
    <n v="70"/>
    <n v="73"/>
    <x v="91"/>
    <x v="0"/>
    <x v="10"/>
    <x v="5"/>
    <x v="18"/>
    <x v="38"/>
    <x v="31"/>
    <x v="26"/>
    <x v="0"/>
    <x v="0"/>
    <x v="0"/>
    <n v="202"/>
    <n v="14"/>
    <x v="0"/>
  </r>
  <r>
    <x v="0"/>
    <x v="2"/>
    <x v="1"/>
    <x v="1"/>
    <x v="0"/>
    <x v="41"/>
    <n v="78"/>
    <n v="67"/>
    <x v="91"/>
    <x v="0"/>
    <x v="41"/>
    <x v="22"/>
    <x v="23"/>
    <x v="41"/>
    <x v="20"/>
    <x v="35"/>
    <x v="0"/>
    <x v="0"/>
    <x v="0"/>
    <n v="202"/>
    <n v="21"/>
    <x v="0"/>
  </r>
  <r>
    <x v="1"/>
    <x v="3"/>
    <x v="1"/>
    <x v="1"/>
    <x v="1"/>
    <x v="30"/>
    <n v="70"/>
    <n v="63"/>
    <x v="91"/>
    <x v="0"/>
    <x v="1"/>
    <x v="3"/>
    <x v="16"/>
    <x v="30"/>
    <x v="31"/>
    <x v="39"/>
    <x v="0"/>
    <x v="0"/>
    <x v="0"/>
    <n v="202"/>
    <n v="7"/>
    <x v="0"/>
  </r>
  <r>
    <x v="1"/>
    <x v="2"/>
    <x v="2"/>
    <x v="0"/>
    <x v="0"/>
    <x v="27"/>
    <n v="66"/>
    <n v="63"/>
    <x v="91"/>
    <x v="0"/>
    <x v="18"/>
    <x v="7"/>
    <x v="28"/>
    <x v="27"/>
    <x v="30"/>
    <x v="39"/>
    <x v="0"/>
    <x v="0"/>
    <x v="0"/>
    <n v="202"/>
    <n v="10"/>
    <x v="0"/>
  </r>
  <r>
    <x v="1"/>
    <x v="1"/>
    <x v="3"/>
    <x v="0"/>
    <x v="1"/>
    <x v="29"/>
    <n v="61"/>
    <n v="69"/>
    <x v="92"/>
    <x v="0"/>
    <x v="24"/>
    <x v="17"/>
    <x v="21"/>
    <x v="29"/>
    <x v="39"/>
    <x v="29"/>
    <x v="0"/>
    <x v="0"/>
    <x v="0"/>
    <n v="201"/>
    <n v="10"/>
    <x v="0"/>
  </r>
  <r>
    <x v="1"/>
    <x v="1"/>
    <x v="3"/>
    <x v="0"/>
    <x v="1"/>
    <x v="19"/>
    <n v="62"/>
    <n v="62"/>
    <x v="92"/>
    <x v="0"/>
    <x v="22"/>
    <x v="0"/>
    <x v="26"/>
    <x v="19"/>
    <x v="36"/>
    <x v="38"/>
    <x v="0"/>
    <x v="0"/>
    <x v="0"/>
    <n v="201"/>
    <n v="15"/>
    <x v="0"/>
  </r>
  <r>
    <x v="0"/>
    <x v="4"/>
    <x v="2"/>
    <x v="1"/>
    <x v="0"/>
    <x v="38"/>
    <n v="73"/>
    <n v="69"/>
    <x v="92"/>
    <x v="0"/>
    <x v="33"/>
    <x v="10"/>
    <x v="23"/>
    <x v="38"/>
    <x v="22"/>
    <x v="29"/>
    <x v="0"/>
    <x v="0"/>
    <x v="0"/>
    <n v="201"/>
    <n v="14"/>
    <x v="0"/>
  </r>
  <r>
    <x v="1"/>
    <x v="1"/>
    <x v="2"/>
    <x v="0"/>
    <x v="0"/>
    <x v="27"/>
    <n v="66"/>
    <n v="62"/>
    <x v="92"/>
    <x v="0"/>
    <x v="18"/>
    <x v="10"/>
    <x v="32"/>
    <x v="27"/>
    <x v="30"/>
    <x v="38"/>
    <x v="0"/>
    <x v="0"/>
    <x v="0"/>
    <n v="201"/>
    <n v="11"/>
    <x v="0"/>
  </r>
  <r>
    <x v="1"/>
    <x v="1"/>
    <x v="3"/>
    <x v="0"/>
    <x v="0"/>
    <x v="31"/>
    <n v="64"/>
    <n v="70"/>
    <x v="92"/>
    <x v="0"/>
    <x v="5"/>
    <x v="13"/>
    <x v="2"/>
    <x v="31"/>
    <x v="34"/>
    <x v="31"/>
    <x v="0"/>
    <x v="0"/>
    <x v="0"/>
    <n v="201"/>
    <n v="6"/>
    <x v="0"/>
  </r>
  <r>
    <x v="0"/>
    <x v="2"/>
    <x v="5"/>
    <x v="0"/>
    <x v="0"/>
    <x v="35"/>
    <n v="69"/>
    <n v="67"/>
    <x v="92"/>
    <x v="0"/>
    <x v="4"/>
    <x v="11"/>
    <x v="12"/>
    <x v="35"/>
    <x v="33"/>
    <x v="35"/>
    <x v="0"/>
    <x v="0"/>
    <x v="0"/>
    <n v="201"/>
    <n v="4"/>
    <x v="0"/>
  </r>
  <r>
    <x v="0"/>
    <x v="4"/>
    <x v="0"/>
    <x v="0"/>
    <x v="0"/>
    <x v="38"/>
    <n v="72"/>
    <n v="70"/>
    <x v="92"/>
    <x v="0"/>
    <x v="11"/>
    <x v="11"/>
    <x v="11"/>
    <x v="38"/>
    <x v="27"/>
    <x v="31"/>
    <x v="0"/>
    <x v="0"/>
    <x v="0"/>
    <n v="201"/>
    <n v="13"/>
    <x v="0"/>
  </r>
  <r>
    <x v="1"/>
    <x v="2"/>
    <x v="3"/>
    <x v="0"/>
    <x v="0"/>
    <x v="30"/>
    <n v="64"/>
    <n v="68"/>
    <x v="92"/>
    <x v="0"/>
    <x v="29"/>
    <x v="12"/>
    <x v="4"/>
    <x v="30"/>
    <x v="34"/>
    <x v="32"/>
    <x v="0"/>
    <x v="0"/>
    <x v="0"/>
    <n v="201"/>
    <n v="5"/>
    <x v="0"/>
  </r>
  <r>
    <x v="0"/>
    <x v="2"/>
    <x v="1"/>
    <x v="0"/>
    <x v="0"/>
    <x v="39"/>
    <n v="67"/>
    <n v="70"/>
    <x v="93"/>
    <x v="0"/>
    <x v="4"/>
    <x v="5"/>
    <x v="7"/>
    <x v="39"/>
    <x v="32"/>
    <x v="31"/>
    <x v="0"/>
    <x v="0"/>
    <x v="0"/>
    <n v="200"/>
    <n v="7"/>
    <x v="0"/>
  </r>
  <r>
    <x v="0"/>
    <x v="0"/>
    <x v="1"/>
    <x v="0"/>
    <x v="0"/>
    <x v="36"/>
    <n v="65"/>
    <n v="69"/>
    <x v="93"/>
    <x v="0"/>
    <x v="28"/>
    <x v="12"/>
    <x v="2"/>
    <x v="36"/>
    <x v="35"/>
    <x v="29"/>
    <x v="0"/>
    <x v="0"/>
    <x v="0"/>
    <n v="200"/>
    <n v="4"/>
    <x v="0"/>
  </r>
  <r>
    <x v="0"/>
    <x v="3"/>
    <x v="2"/>
    <x v="0"/>
    <x v="1"/>
    <x v="43"/>
    <n v="70"/>
    <n v="70"/>
    <x v="93"/>
    <x v="0"/>
    <x v="20"/>
    <x v="0"/>
    <x v="23"/>
    <x v="43"/>
    <x v="31"/>
    <x v="31"/>
    <x v="0"/>
    <x v="0"/>
    <x v="0"/>
    <n v="200"/>
    <n v="10"/>
    <x v="0"/>
  </r>
  <r>
    <x v="0"/>
    <x v="2"/>
    <x v="3"/>
    <x v="0"/>
    <x v="0"/>
    <x v="38"/>
    <n v="71"/>
    <n v="70"/>
    <x v="93"/>
    <x v="0"/>
    <x v="27"/>
    <x v="1"/>
    <x v="11"/>
    <x v="38"/>
    <x v="28"/>
    <x v="31"/>
    <x v="0"/>
    <x v="0"/>
    <x v="0"/>
    <n v="200"/>
    <n v="12"/>
    <x v="0"/>
  </r>
  <r>
    <x v="1"/>
    <x v="0"/>
    <x v="0"/>
    <x v="0"/>
    <x v="0"/>
    <x v="37"/>
    <n v="68"/>
    <n v="64"/>
    <x v="93"/>
    <x v="0"/>
    <x v="0"/>
    <x v="10"/>
    <x v="17"/>
    <x v="37"/>
    <x v="29"/>
    <x v="34"/>
    <x v="0"/>
    <x v="0"/>
    <x v="0"/>
    <n v="200"/>
    <n v="4"/>
    <x v="0"/>
  </r>
  <r>
    <x v="0"/>
    <x v="2"/>
    <x v="5"/>
    <x v="0"/>
    <x v="0"/>
    <x v="43"/>
    <n v="68"/>
    <n v="72"/>
    <x v="93"/>
    <x v="0"/>
    <x v="8"/>
    <x v="12"/>
    <x v="22"/>
    <x v="43"/>
    <x v="29"/>
    <x v="30"/>
    <x v="0"/>
    <x v="0"/>
    <x v="0"/>
    <n v="200"/>
    <n v="12"/>
    <x v="0"/>
  </r>
  <r>
    <x v="0"/>
    <x v="2"/>
    <x v="3"/>
    <x v="0"/>
    <x v="0"/>
    <x v="40"/>
    <n v="69"/>
    <n v="69"/>
    <x v="93"/>
    <x v="0"/>
    <x v="7"/>
    <x v="0"/>
    <x v="7"/>
    <x v="40"/>
    <x v="33"/>
    <x v="29"/>
    <x v="0"/>
    <x v="0"/>
    <x v="0"/>
    <n v="200"/>
    <n v="7"/>
    <x v="0"/>
  </r>
  <r>
    <x v="0"/>
    <x v="2"/>
    <x v="1"/>
    <x v="0"/>
    <x v="0"/>
    <x v="42"/>
    <n v="73"/>
    <n v="68"/>
    <x v="94"/>
    <x v="0"/>
    <x v="14"/>
    <x v="8"/>
    <x v="23"/>
    <x v="42"/>
    <x v="22"/>
    <x v="32"/>
    <x v="0"/>
    <x v="0"/>
    <x v="0"/>
    <n v="199"/>
    <n v="15"/>
    <x v="0"/>
  </r>
  <r>
    <x v="1"/>
    <x v="0"/>
    <x v="1"/>
    <x v="0"/>
    <x v="0"/>
    <x v="32"/>
    <n v="64"/>
    <n v="63"/>
    <x v="94"/>
    <x v="0"/>
    <x v="9"/>
    <x v="1"/>
    <x v="14"/>
    <x v="32"/>
    <x v="34"/>
    <x v="39"/>
    <x v="0"/>
    <x v="0"/>
    <x v="0"/>
    <n v="199"/>
    <n v="9"/>
    <x v="0"/>
  </r>
  <r>
    <x v="1"/>
    <x v="0"/>
    <x v="2"/>
    <x v="1"/>
    <x v="1"/>
    <x v="27"/>
    <n v="67"/>
    <n v="59"/>
    <x v="94"/>
    <x v="0"/>
    <x v="12"/>
    <x v="19"/>
    <x v="15"/>
    <x v="27"/>
    <x v="32"/>
    <x v="40"/>
    <x v="0"/>
    <x v="0"/>
    <x v="0"/>
    <n v="199"/>
    <n v="14"/>
    <x v="0"/>
  </r>
  <r>
    <x v="1"/>
    <x v="4"/>
    <x v="0"/>
    <x v="1"/>
    <x v="0"/>
    <x v="40"/>
    <n v="72"/>
    <n v="65"/>
    <x v="94"/>
    <x v="0"/>
    <x v="20"/>
    <x v="3"/>
    <x v="2"/>
    <x v="40"/>
    <x v="27"/>
    <x v="33"/>
    <x v="0"/>
    <x v="0"/>
    <x v="0"/>
    <n v="199"/>
    <n v="10"/>
    <x v="0"/>
  </r>
  <r>
    <x v="0"/>
    <x v="2"/>
    <x v="5"/>
    <x v="0"/>
    <x v="0"/>
    <x v="38"/>
    <n v="72"/>
    <n v="68"/>
    <x v="94"/>
    <x v="0"/>
    <x v="11"/>
    <x v="10"/>
    <x v="33"/>
    <x v="38"/>
    <x v="27"/>
    <x v="32"/>
    <x v="0"/>
    <x v="0"/>
    <x v="0"/>
    <n v="199"/>
    <n v="13"/>
    <x v="0"/>
  </r>
  <r>
    <x v="1"/>
    <x v="1"/>
    <x v="5"/>
    <x v="0"/>
    <x v="0"/>
    <x v="36"/>
    <n v="69"/>
    <n v="63"/>
    <x v="95"/>
    <x v="0"/>
    <x v="2"/>
    <x v="16"/>
    <x v="9"/>
    <x v="36"/>
    <x v="33"/>
    <x v="39"/>
    <x v="0"/>
    <x v="0"/>
    <x v="0"/>
    <n v="198"/>
    <n v="6"/>
    <x v="0"/>
  </r>
  <r>
    <x v="0"/>
    <x v="0"/>
    <x v="4"/>
    <x v="0"/>
    <x v="0"/>
    <x v="40"/>
    <n v="68"/>
    <n v="68"/>
    <x v="95"/>
    <x v="0"/>
    <x v="26"/>
    <x v="0"/>
    <x v="6"/>
    <x v="40"/>
    <x v="29"/>
    <x v="32"/>
    <x v="0"/>
    <x v="0"/>
    <x v="0"/>
    <n v="198"/>
    <n v="6"/>
    <x v="0"/>
  </r>
  <r>
    <x v="0"/>
    <x v="3"/>
    <x v="1"/>
    <x v="1"/>
    <x v="0"/>
    <x v="46"/>
    <n v="76"/>
    <n v="70"/>
    <x v="95"/>
    <x v="0"/>
    <x v="47"/>
    <x v="16"/>
    <x v="27"/>
    <x v="46"/>
    <x v="25"/>
    <x v="31"/>
    <x v="0"/>
    <x v="0"/>
    <x v="0"/>
    <n v="198"/>
    <n v="24"/>
    <x v="0"/>
  </r>
  <r>
    <x v="1"/>
    <x v="4"/>
    <x v="2"/>
    <x v="0"/>
    <x v="1"/>
    <x v="40"/>
    <n v="67"/>
    <n v="69"/>
    <x v="95"/>
    <x v="0"/>
    <x v="6"/>
    <x v="2"/>
    <x v="7"/>
    <x v="40"/>
    <x v="32"/>
    <x v="29"/>
    <x v="0"/>
    <x v="0"/>
    <x v="0"/>
    <n v="198"/>
    <n v="7"/>
    <x v="0"/>
  </r>
  <r>
    <x v="0"/>
    <x v="1"/>
    <x v="5"/>
    <x v="0"/>
    <x v="1"/>
    <x v="44"/>
    <n v="68"/>
    <n v="74"/>
    <x v="95"/>
    <x v="0"/>
    <x v="27"/>
    <x v="13"/>
    <x v="27"/>
    <x v="44"/>
    <x v="29"/>
    <x v="27"/>
    <x v="0"/>
    <x v="0"/>
    <x v="0"/>
    <n v="198"/>
    <n v="18"/>
    <x v="0"/>
  </r>
  <r>
    <x v="0"/>
    <x v="1"/>
    <x v="2"/>
    <x v="0"/>
    <x v="1"/>
    <x v="34"/>
    <n v="60"/>
    <n v="74"/>
    <x v="95"/>
    <x v="0"/>
    <x v="13"/>
    <x v="24"/>
    <x v="23"/>
    <x v="34"/>
    <x v="38"/>
    <x v="27"/>
    <x v="0"/>
    <x v="0"/>
    <x v="0"/>
    <n v="198"/>
    <n v="14"/>
    <x v="0"/>
  </r>
  <r>
    <x v="0"/>
    <x v="2"/>
    <x v="0"/>
    <x v="0"/>
    <x v="1"/>
    <x v="38"/>
    <n v="64"/>
    <n v="75"/>
    <x v="95"/>
    <x v="0"/>
    <x v="6"/>
    <x v="25"/>
    <x v="34"/>
    <x v="38"/>
    <x v="34"/>
    <x v="22"/>
    <x v="0"/>
    <x v="0"/>
    <x v="0"/>
    <n v="198"/>
    <n v="16"/>
    <x v="0"/>
  </r>
  <r>
    <x v="0"/>
    <x v="2"/>
    <x v="1"/>
    <x v="0"/>
    <x v="0"/>
    <x v="34"/>
    <n v="64"/>
    <n v="70"/>
    <x v="95"/>
    <x v="0"/>
    <x v="0"/>
    <x v="13"/>
    <x v="6"/>
    <x v="34"/>
    <x v="34"/>
    <x v="31"/>
    <x v="0"/>
    <x v="0"/>
    <x v="0"/>
    <n v="198"/>
    <n v="6"/>
    <x v="0"/>
  </r>
  <r>
    <x v="1"/>
    <x v="3"/>
    <x v="5"/>
    <x v="0"/>
    <x v="1"/>
    <x v="24"/>
    <n v="62"/>
    <n v="60"/>
    <x v="95"/>
    <x v="0"/>
    <x v="31"/>
    <x v="11"/>
    <x v="41"/>
    <x v="24"/>
    <x v="36"/>
    <x v="41"/>
    <x v="0"/>
    <x v="0"/>
    <x v="0"/>
    <n v="198"/>
    <n v="16"/>
    <x v="0"/>
  </r>
  <r>
    <x v="0"/>
    <x v="0"/>
    <x v="1"/>
    <x v="1"/>
    <x v="1"/>
    <x v="41"/>
    <n v="68"/>
    <n v="73"/>
    <x v="95"/>
    <x v="0"/>
    <x v="10"/>
    <x v="6"/>
    <x v="34"/>
    <x v="41"/>
    <x v="29"/>
    <x v="26"/>
    <x v="0"/>
    <x v="0"/>
    <x v="0"/>
    <n v="198"/>
    <n v="16"/>
    <x v="0"/>
  </r>
  <r>
    <x v="0"/>
    <x v="2"/>
    <x v="5"/>
    <x v="0"/>
    <x v="1"/>
    <x v="43"/>
    <n v="64"/>
    <n v="74"/>
    <x v="95"/>
    <x v="0"/>
    <x v="4"/>
    <x v="26"/>
    <x v="18"/>
    <x v="43"/>
    <x v="34"/>
    <x v="27"/>
    <x v="0"/>
    <x v="0"/>
    <x v="0"/>
    <n v="198"/>
    <n v="14"/>
    <x v="0"/>
  </r>
  <r>
    <x v="1"/>
    <x v="0"/>
    <x v="2"/>
    <x v="0"/>
    <x v="1"/>
    <x v="26"/>
    <n v="64"/>
    <n v="60"/>
    <x v="95"/>
    <x v="0"/>
    <x v="24"/>
    <x v="10"/>
    <x v="15"/>
    <x v="26"/>
    <x v="34"/>
    <x v="41"/>
    <x v="0"/>
    <x v="0"/>
    <x v="0"/>
    <n v="198"/>
    <n v="14"/>
    <x v="0"/>
  </r>
  <r>
    <x v="1"/>
    <x v="2"/>
    <x v="1"/>
    <x v="1"/>
    <x v="1"/>
    <x v="35"/>
    <n v="67"/>
    <n v="65"/>
    <x v="96"/>
    <x v="0"/>
    <x v="3"/>
    <x v="11"/>
    <x v="0"/>
    <x v="35"/>
    <x v="32"/>
    <x v="33"/>
    <x v="0"/>
    <x v="0"/>
    <x v="0"/>
    <n v="197"/>
    <n v="2"/>
    <x v="0"/>
  </r>
  <r>
    <x v="0"/>
    <x v="0"/>
    <x v="5"/>
    <x v="0"/>
    <x v="1"/>
    <x v="38"/>
    <n v="63"/>
    <n v="75"/>
    <x v="96"/>
    <x v="0"/>
    <x v="4"/>
    <x v="14"/>
    <x v="34"/>
    <x v="38"/>
    <x v="37"/>
    <x v="22"/>
    <x v="0"/>
    <x v="0"/>
    <x v="0"/>
    <n v="197"/>
    <n v="16"/>
    <x v="0"/>
  </r>
  <r>
    <x v="0"/>
    <x v="2"/>
    <x v="5"/>
    <x v="0"/>
    <x v="0"/>
    <x v="33"/>
    <n v="73"/>
    <n v="63"/>
    <x v="96"/>
    <x v="0"/>
    <x v="27"/>
    <x v="9"/>
    <x v="12"/>
    <x v="33"/>
    <x v="22"/>
    <x v="39"/>
    <x v="0"/>
    <x v="0"/>
    <x v="0"/>
    <n v="197"/>
    <n v="12"/>
    <x v="0"/>
  </r>
  <r>
    <x v="1"/>
    <x v="1"/>
    <x v="1"/>
    <x v="0"/>
    <x v="0"/>
    <x v="29"/>
    <n v="66"/>
    <n v="60"/>
    <x v="96"/>
    <x v="0"/>
    <x v="29"/>
    <x v="16"/>
    <x v="32"/>
    <x v="29"/>
    <x v="30"/>
    <x v="41"/>
    <x v="0"/>
    <x v="0"/>
    <x v="0"/>
    <n v="197"/>
    <n v="11"/>
    <x v="0"/>
  </r>
  <r>
    <x v="1"/>
    <x v="3"/>
    <x v="2"/>
    <x v="0"/>
    <x v="1"/>
    <x v="39"/>
    <n v="67"/>
    <n v="67"/>
    <x v="96"/>
    <x v="0"/>
    <x v="4"/>
    <x v="0"/>
    <x v="3"/>
    <x v="39"/>
    <x v="32"/>
    <x v="35"/>
    <x v="0"/>
    <x v="0"/>
    <x v="0"/>
    <n v="197"/>
    <n v="4"/>
    <x v="0"/>
  </r>
  <r>
    <x v="1"/>
    <x v="2"/>
    <x v="3"/>
    <x v="1"/>
    <x v="0"/>
    <x v="37"/>
    <n v="68"/>
    <n v="61"/>
    <x v="96"/>
    <x v="0"/>
    <x v="0"/>
    <x v="3"/>
    <x v="5"/>
    <x v="37"/>
    <x v="29"/>
    <x v="37"/>
    <x v="0"/>
    <x v="0"/>
    <x v="0"/>
    <n v="197"/>
    <n v="7"/>
    <x v="0"/>
  </r>
  <r>
    <x v="0"/>
    <x v="1"/>
    <x v="5"/>
    <x v="1"/>
    <x v="1"/>
    <x v="35"/>
    <n v="61"/>
    <n v="71"/>
    <x v="96"/>
    <x v="0"/>
    <x v="13"/>
    <x v="26"/>
    <x v="6"/>
    <x v="35"/>
    <x v="39"/>
    <x v="28"/>
    <x v="0"/>
    <x v="0"/>
    <x v="0"/>
    <n v="197"/>
    <n v="10"/>
    <x v="0"/>
  </r>
  <r>
    <x v="1"/>
    <x v="1"/>
    <x v="2"/>
    <x v="0"/>
    <x v="1"/>
    <x v="40"/>
    <n v="66"/>
    <n v="68"/>
    <x v="97"/>
    <x v="0"/>
    <x v="4"/>
    <x v="2"/>
    <x v="6"/>
    <x v="40"/>
    <x v="30"/>
    <x v="32"/>
    <x v="0"/>
    <x v="0"/>
    <x v="0"/>
    <n v="196"/>
    <n v="6"/>
    <x v="0"/>
  </r>
  <r>
    <x v="1"/>
    <x v="1"/>
    <x v="0"/>
    <x v="1"/>
    <x v="0"/>
    <x v="39"/>
    <n v="66"/>
    <n v="67"/>
    <x v="97"/>
    <x v="0"/>
    <x v="2"/>
    <x v="4"/>
    <x v="3"/>
    <x v="39"/>
    <x v="30"/>
    <x v="35"/>
    <x v="0"/>
    <x v="0"/>
    <x v="0"/>
    <n v="196"/>
    <n v="4"/>
    <x v="0"/>
  </r>
  <r>
    <x v="0"/>
    <x v="3"/>
    <x v="5"/>
    <x v="0"/>
    <x v="1"/>
    <x v="42"/>
    <n v="70"/>
    <n v="68"/>
    <x v="97"/>
    <x v="0"/>
    <x v="27"/>
    <x v="11"/>
    <x v="23"/>
    <x v="42"/>
    <x v="31"/>
    <x v="32"/>
    <x v="0"/>
    <x v="0"/>
    <x v="0"/>
    <n v="196"/>
    <n v="12"/>
    <x v="0"/>
  </r>
  <r>
    <x v="1"/>
    <x v="1"/>
    <x v="0"/>
    <x v="0"/>
    <x v="1"/>
    <x v="31"/>
    <n v="61"/>
    <n v="68"/>
    <x v="97"/>
    <x v="0"/>
    <x v="12"/>
    <x v="20"/>
    <x v="1"/>
    <x v="31"/>
    <x v="39"/>
    <x v="32"/>
    <x v="0"/>
    <x v="0"/>
    <x v="0"/>
    <n v="196"/>
    <n v="7"/>
    <x v="0"/>
  </r>
  <r>
    <x v="0"/>
    <x v="3"/>
    <x v="3"/>
    <x v="0"/>
    <x v="0"/>
    <x v="40"/>
    <n v="67"/>
    <n v="67"/>
    <x v="97"/>
    <x v="0"/>
    <x v="6"/>
    <x v="0"/>
    <x v="10"/>
    <x v="40"/>
    <x v="32"/>
    <x v="35"/>
    <x v="0"/>
    <x v="0"/>
    <x v="0"/>
    <n v="196"/>
    <n v="5"/>
    <x v="0"/>
  </r>
  <r>
    <x v="1"/>
    <x v="1"/>
    <x v="2"/>
    <x v="0"/>
    <x v="0"/>
    <x v="30"/>
    <n v="66"/>
    <n v="61"/>
    <x v="97"/>
    <x v="0"/>
    <x v="5"/>
    <x v="8"/>
    <x v="19"/>
    <x v="30"/>
    <x v="30"/>
    <x v="37"/>
    <x v="0"/>
    <x v="0"/>
    <x v="0"/>
    <n v="196"/>
    <n v="8"/>
    <x v="0"/>
  </r>
  <r>
    <x v="1"/>
    <x v="3"/>
    <x v="3"/>
    <x v="0"/>
    <x v="1"/>
    <x v="40"/>
    <n v="66"/>
    <n v="68"/>
    <x v="97"/>
    <x v="0"/>
    <x v="4"/>
    <x v="2"/>
    <x v="6"/>
    <x v="40"/>
    <x v="30"/>
    <x v="32"/>
    <x v="0"/>
    <x v="0"/>
    <x v="0"/>
    <n v="196"/>
    <n v="6"/>
    <x v="0"/>
  </r>
  <r>
    <x v="0"/>
    <x v="3"/>
    <x v="2"/>
    <x v="0"/>
    <x v="0"/>
    <x v="41"/>
    <n v="67"/>
    <n v="72"/>
    <x v="97"/>
    <x v="0"/>
    <x v="20"/>
    <x v="6"/>
    <x v="20"/>
    <x v="41"/>
    <x v="32"/>
    <x v="30"/>
    <x v="0"/>
    <x v="0"/>
    <x v="0"/>
    <n v="196"/>
    <n v="15"/>
    <x v="0"/>
  </r>
  <r>
    <x v="0"/>
    <x v="1"/>
    <x v="3"/>
    <x v="1"/>
    <x v="0"/>
    <x v="43"/>
    <n v="66"/>
    <n v="70"/>
    <x v="97"/>
    <x v="0"/>
    <x v="26"/>
    <x v="12"/>
    <x v="23"/>
    <x v="43"/>
    <x v="30"/>
    <x v="31"/>
    <x v="0"/>
    <x v="0"/>
    <x v="0"/>
    <n v="196"/>
    <n v="10"/>
    <x v="0"/>
  </r>
  <r>
    <x v="1"/>
    <x v="1"/>
    <x v="5"/>
    <x v="1"/>
    <x v="1"/>
    <x v="34"/>
    <n v="64"/>
    <n v="67"/>
    <x v="98"/>
    <x v="0"/>
    <x v="0"/>
    <x v="5"/>
    <x v="2"/>
    <x v="34"/>
    <x v="34"/>
    <x v="35"/>
    <x v="0"/>
    <x v="0"/>
    <x v="0"/>
    <n v="195"/>
    <n v="3"/>
    <x v="0"/>
  </r>
  <r>
    <x v="0"/>
    <x v="4"/>
    <x v="3"/>
    <x v="0"/>
    <x v="0"/>
    <x v="42"/>
    <n v="70"/>
    <n v="67"/>
    <x v="98"/>
    <x v="0"/>
    <x v="27"/>
    <x v="7"/>
    <x v="33"/>
    <x v="42"/>
    <x v="31"/>
    <x v="35"/>
    <x v="0"/>
    <x v="0"/>
    <x v="0"/>
    <n v="195"/>
    <n v="12"/>
    <x v="0"/>
  </r>
  <r>
    <x v="0"/>
    <x v="3"/>
    <x v="1"/>
    <x v="0"/>
    <x v="1"/>
    <x v="38"/>
    <n v="70"/>
    <n v="66"/>
    <x v="98"/>
    <x v="0"/>
    <x v="10"/>
    <x v="10"/>
    <x v="7"/>
    <x v="38"/>
    <x v="31"/>
    <x v="36"/>
    <x v="0"/>
    <x v="0"/>
    <x v="0"/>
    <n v="195"/>
    <n v="11"/>
    <x v="0"/>
  </r>
  <r>
    <x v="0"/>
    <x v="3"/>
    <x v="3"/>
    <x v="1"/>
    <x v="0"/>
    <x v="33"/>
    <n v="68"/>
    <n v="66"/>
    <x v="98"/>
    <x v="0"/>
    <x v="7"/>
    <x v="11"/>
    <x v="10"/>
    <x v="33"/>
    <x v="29"/>
    <x v="36"/>
    <x v="0"/>
    <x v="0"/>
    <x v="0"/>
    <n v="195"/>
    <n v="7"/>
    <x v="0"/>
  </r>
  <r>
    <x v="1"/>
    <x v="1"/>
    <x v="3"/>
    <x v="1"/>
    <x v="0"/>
    <x v="30"/>
    <n v="66"/>
    <n v="60"/>
    <x v="98"/>
    <x v="0"/>
    <x v="5"/>
    <x v="16"/>
    <x v="14"/>
    <x v="30"/>
    <x v="30"/>
    <x v="41"/>
    <x v="0"/>
    <x v="0"/>
    <x v="0"/>
    <n v="195"/>
    <n v="9"/>
    <x v="0"/>
  </r>
  <r>
    <x v="1"/>
    <x v="4"/>
    <x v="0"/>
    <x v="0"/>
    <x v="1"/>
    <x v="25"/>
    <n v="58"/>
    <n v="62"/>
    <x v="98"/>
    <x v="0"/>
    <x v="37"/>
    <x v="12"/>
    <x v="35"/>
    <x v="25"/>
    <x v="40"/>
    <x v="38"/>
    <x v="0"/>
    <x v="0"/>
    <x v="0"/>
    <n v="195"/>
    <n v="17"/>
    <x v="0"/>
  </r>
  <r>
    <x v="1"/>
    <x v="3"/>
    <x v="5"/>
    <x v="0"/>
    <x v="0"/>
    <x v="28"/>
    <n v="65"/>
    <n v="60"/>
    <x v="98"/>
    <x v="0"/>
    <x v="29"/>
    <x v="8"/>
    <x v="28"/>
    <x v="28"/>
    <x v="35"/>
    <x v="41"/>
    <x v="0"/>
    <x v="0"/>
    <x v="0"/>
    <n v="195"/>
    <n v="10"/>
    <x v="0"/>
  </r>
  <r>
    <x v="0"/>
    <x v="1"/>
    <x v="3"/>
    <x v="1"/>
    <x v="0"/>
    <x v="45"/>
    <n v="71"/>
    <n v="69"/>
    <x v="98"/>
    <x v="0"/>
    <x v="17"/>
    <x v="11"/>
    <x v="18"/>
    <x v="45"/>
    <x v="28"/>
    <x v="29"/>
    <x v="0"/>
    <x v="0"/>
    <x v="0"/>
    <n v="195"/>
    <n v="16"/>
    <x v="0"/>
  </r>
  <r>
    <x v="0"/>
    <x v="2"/>
    <x v="5"/>
    <x v="1"/>
    <x v="1"/>
    <x v="38"/>
    <n v="71"/>
    <n v="65"/>
    <x v="98"/>
    <x v="0"/>
    <x v="27"/>
    <x v="16"/>
    <x v="6"/>
    <x v="38"/>
    <x v="28"/>
    <x v="33"/>
    <x v="0"/>
    <x v="0"/>
    <x v="0"/>
    <n v="195"/>
    <n v="12"/>
    <x v="0"/>
  </r>
  <r>
    <x v="0"/>
    <x v="1"/>
    <x v="3"/>
    <x v="1"/>
    <x v="1"/>
    <x v="42"/>
    <n v="63"/>
    <n v="73"/>
    <x v="99"/>
    <x v="0"/>
    <x v="6"/>
    <x v="26"/>
    <x v="20"/>
    <x v="42"/>
    <x v="37"/>
    <x v="26"/>
    <x v="0"/>
    <x v="0"/>
    <x v="0"/>
    <n v="194"/>
    <n v="15"/>
    <x v="0"/>
  </r>
  <r>
    <x v="0"/>
    <x v="1"/>
    <x v="0"/>
    <x v="0"/>
    <x v="0"/>
    <x v="35"/>
    <n v="67"/>
    <n v="62"/>
    <x v="99"/>
    <x v="0"/>
    <x v="3"/>
    <x v="8"/>
    <x v="9"/>
    <x v="35"/>
    <x v="32"/>
    <x v="38"/>
    <x v="0"/>
    <x v="0"/>
    <x v="0"/>
    <n v="194"/>
    <n v="5"/>
    <x v="0"/>
  </r>
  <r>
    <x v="0"/>
    <x v="3"/>
    <x v="1"/>
    <x v="0"/>
    <x v="0"/>
    <x v="41"/>
    <n v="69"/>
    <n v="68"/>
    <x v="99"/>
    <x v="0"/>
    <x v="27"/>
    <x v="1"/>
    <x v="11"/>
    <x v="41"/>
    <x v="33"/>
    <x v="32"/>
    <x v="0"/>
    <x v="0"/>
    <x v="0"/>
    <n v="194"/>
    <n v="12"/>
    <x v="0"/>
  </r>
  <r>
    <x v="1"/>
    <x v="3"/>
    <x v="2"/>
    <x v="0"/>
    <x v="0"/>
    <x v="26"/>
    <n v="63"/>
    <n v="57"/>
    <x v="99"/>
    <x v="0"/>
    <x v="15"/>
    <x v="16"/>
    <x v="40"/>
    <x v="26"/>
    <x v="37"/>
    <x v="42"/>
    <x v="0"/>
    <x v="0"/>
    <x v="0"/>
    <n v="194"/>
    <n v="17"/>
    <x v="0"/>
  </r>
  <r>
    <x v="1"/>
    <x v="2"/>
    <x v="4"/>
    <x v="1"/>
    <x v="0"/>
    <x v="33"/>
    <n v="67"/>
    <n v="66"/>
    <x v="99"/>
    <x v="0"/>
    <x v="26"/>
    <x v="1"/>
    <x v="10"/>
    <x v="33"/>
    <x v="32"/>
    <x v="36"/>
    <x v="0"/>
    <x v="0"/>
    <x v="0"/>
    <n v="194"/>
    <n v="6"/>
    <x v="0"/>
  </r>
  <r>
    <x v="0"/>
    <x v="1"/>
    <x v="1"/>
    <x v="0"/>
    <x v="0"/>
    <x v="38"/>
    <n v="70"/>
    <n v="65"/>
    <x v="99"/>
    <x v="0"/>
    <x v="10"/>
    <x v="8"/>
    <x v="6"/>
    <x v="38"/>
    <x v="31"/>
    <x v="33"/>
    <x v="0"/>
    <x v="0"/>
    <x v="0"/>
    <n v="194"/>
    <n v="11"/>
    <x v="0"/>
  </r>
  <r>
    <x v="0"/>
    <x v="1"/>
    <x v="3"/>
    <x v="0"/>
    <x v="0"/>
    <x v="39"/>
    <n v="64"/>
    <n v="67"/>
    <x v="99"/>
    <x v="0"/>
    <x v="1"/>
    <x v="5"/>
    <x v="3"/>
    <x v="39"/>
    <x v="34"/>
    <x v="35"/>
    <x v="0"/>
    <x v="0"/>
    <x v="0"/>
    <n v="194"/>
    <n v="4"/>
    <x v="0"/>
  </r>
  <r>
    <x v="1"/>
    <x v="2"/>
    <x v="1"/>
    <x v="1"/>
    <x v="0"/>
    <x v="37"/>
    <n v="65"/>
    <n v="61"/>
    <x v="99"/>
    <x v="0"/>
    <x v="5"/>
    <x v="10"/>
    <x v="5"/>
    <x v="37"/>
    <x v="35"/>
    <x v="37"/>
    <x v="0"/>
    <x v="0"/>
    <x v="0"/>
    <n v="194"/>
    <n v="7"/>
    <x v="0"/>
  </r>
  <r>
    <x v="0"/>
    <x v="2"/>
    <x v="1"/>
    <x v="1"/>
    <x v="1"/>
    <x v="44"/>
    <n v="68"/>
    <n v="70"/>
    <x v="99"/>
    <x v="0"/>
    <x v="27"/>
    <x v="2"/>
    <x v="18"/>
    <x v="44"/>
    <x v="29"/>
    <x v="31"/>
    <x v="0"/>
    <x v="0"/>
    <x v="0"/>
    <n v="194"/>
    <n v="14"/>
    <x v="0"/>
  </r>
  <r>
    <x v="1"/>
    <x v="0"/>
    <x v="5"/>
    <x v="0"/>
    <x v="0"/>
    <x v="27"/>
    <n v="64"/>
    <n v="57"/>
    <x v="99"/>
    <x v="0"/>
    <x v="23"/>
    <x v="3"/>
    <x v="41"/>
    <x v="27"/>
    <x v="34"/>
    <x v="42"/>
    <x v="0"/>
    <x v="0"/>
    <x v="0"/>
    <n v="194"/>
    <n v="16"/>
    <x v="0"/>
  </r>
  <r>
    <x v="0"/>
    <x v="0"/>
    <x v="4"/>
    <x v="1"/>
    <x v="0"/>
    <x v="44"/>
    <n v="72"/>
    <n v="65"/>
    <x v="100"/>
    <x v="0"/>
    <x v="17"/>
    <x v="3"/>
    <x v="33"/>
    <x v="44"/>
    <x v="27"/>
    <x v="33"/>
    <x v="0"/>
    <x v="0"/>
    <x v="0"/>
    <n v="193"/>
    <n v="16"/>
    <x v="0"/>
  </r>
  <r>
    <x v="1"/>
    <x v="3"/>
    <x v="2"/>
    <x v="0"/>
    <x v="1"/>
    <x v="35"/>
    <n v="66"/>
    <n v="62"/>
    <x v="100"/>
    <x v="0"/>
    <x v="1"/>
    <x v="10"/>
    <x v="9"/>
    <x v="35"/>
    <x v="30"/>
    <x v="38"/>
    <x v="0"/>
    <x v="0"/>
    <x v="0"/>
    <n v="193"/>
    <n v="4"/>
    <x v="0"/>
  </r>
  <r>
    <x v="1"/>
    <x v="0"/>
    <x v="1"/>
    <x v="0"/>
    <x v="1"/>
    <x v="36"/>
    <n v="63"/>
    <n v="64"/>
    <x v="100"/>
    <x v="0"/>
    <x v="5"/>
    <x v="4"/>
    <x v="21"/>
    <x v="36"/>
    <x v="37"/>
    <x v="34"/>
    <x v="0"/>
    <x v="0"/>
    <x v="0"/>
    <n v="193"/>
    <n v="3"/>
    <x v="0"/>
  </r>
  <r>
    <x v="1"/>
    <x v="2"/>
    <x v="2"/>
    <x v="1"/>
    <x v="1"/>
    <x v="38"/>
    <n v="69"/>
    <n v="65"/>
    <x v="100"/>
    <x v="0"/>
    <x v="20"/>
    <x v="10"/>
    <x v="6"/>
    <x v="38"/>
    <x v="33"/>
    <x v="33"/>
    <x v="0"/>
    <x v="0"/>
    <x v="0"/>
    <n v="193"/>
    <n v="10"/>
    <x v="0"/>
  </r>
  <r>
    <x v="1"/>
    <x v="2"/>
    <x v="0"/>
    <x v="0"/>
    <x v="0"/>
    <x v="30"/>
    <n v="63"/>
    <n v="61"/>
    <x v="100"/>
    <x v="0"/>
    <x v="12"/>
    <x v="11"/>
    <x v="19"/>
    <x v="30"/>
    <x v="37"/>
    <x v="37"/>
    <x v="0"/>
    <x v="0"/>
    <x v="0"/>
    <n v="193"/>
    <n v="8"/>
    <x v="0"/>
  </r>
  <r>
    <x v="1"/>
    <x v="3"/>
    <x v="1"/>
    <x v="0"/>
    <x v="1"/>
    <x v="35"/>
    <n v="65"/>
    <n v="63"/>
    <x v="100"/>
    <x v="0"/>
    <x v="0"/>
    <x v="11"/>
    <x v="21"/>
    <x v="35"/>
    <x v="35"/>
    <x v="39"/>
    <x v="0"/>
    <x v="0"/>
    <x v="0"/>
    <n v="193"/>
    <n v="2"/>
    <x v="0"/>
  </r>
  <r>
    <x v="0"/>
    <x v="1"/>
    <x v="4"/>
    <x v="0"/>
    <x v="0"/>
    <x v="34"/>
    <n v="63"/>
    <n v="66"/>
    <x v="100"/>
    <x v="0"/>
    <x v="28"/>
    <x v="5"/>
    <x v="12"/>
    <x v="34"/>
    <x v="37"/>
    <x v="36"/>
    <x v="0"/>
    <x v="0"/>
    <x v="0"/>
    <n v="193"/>
    <n v="3"/>
    <x v="0"/>
  </r>
  <r>
    <x v="0"/>
    <x v="2"/>
    <x v="5"/>
    <x v="1"/>
    <x v="0"/>
    <x v="40"/>
    <n v="67"/>
    <n v="64"/>
    <x v="100"/>
    <x v="0"/>
    <x v="6"/>
    <x v="7"/>
    <x v="12"/>
    <x v="40"/>
    <x v="32"/>
    <x v="34"/>
    <x v="0"/>
    <x v="0"/>
    <x v="0"/>
    <n v="193"/>
    <n v="5"/>
    <x v="0"/>
  </r>
  <r>
    <x v="0"/>
    <x v="3"/>
    <x v="1"/>
    <x v="1"/>
    <x v="0"/>
    <x v="47"/>
    <n v="70"/>
    <n v="70"/>
    <x v="100"/>
    <x v="0"/>
    <x v="25"/>
    <x v="0"/>
    <x v="24"/>
    <x v="47"/>
    <x v="31"/>
    <x v="31"/>
    <x v="0"/>
    <x v="0"/>
    <x v="0"/>
    <n v="193"/>
    <n v="17"/>
    <x v="0"/>
  </r>
  <r>
    <x v="1"/>
    <x v="2"/>
    <x v="0"/>
    <x v="0"/>
    <x v="1"/>
    <x v="39"/>
    <n v="64"/>
    <n v="66"/>
    <x v="100"/>
    <x v="0"/>
    <x v="1"/>
    <x v="2"/>
    <x v="2"/>
    <x v="39"/>
    <x v="34"/>
    <x v="36"/>
    <x v="0"/>
    <x v="0"/>
    <x v="0"/>
    <n v="193"/>
    <n v="3"/>
    <x v="0"/>
  </r>
  <r>
    <x v="1"/>
    <x v="3"/>
    <x v="2"/>
    <x v="0"/>
    <x v="0"/>
    <x v="31"/>
    <n v="64"/>
    <n v="61"/>
    <x v="101"/>
    <x v="0"/>
    <x v="5"/>
    <x v="7"/>
    <x v="16"/>
    <x v="31"/>
    <x v="34"/>
    <x v="37"/>
    <x v="0"/>
    <x v="0"/>
    <x v="0"/>
    <n v="192"/>
    <n v="6"/>
    <x v="0"/>
  </r>
  <r>
    <x v="1"/>
    <x v="1"/>
    <x v="1"/>
    <x v="1"/>
    <x v="0"/>
    <x v="36"/>
    <n v="62"/>
    <n v="64"/>
    <x v="101"/>
    <x v="0"/>
    <x v="13"/>
    <x v="2"/>
    <x v="21"/>
    <x v="36"/>
    <x v="36"/>
    <x v="34"/>
    <x v="0"/>
    <x v="0"/>
    <x v="0"/>
    <n v="192"/>
    <n v="4"/>
    <x v="0"/>
  </r>
  <r>
    <x v="0"/>
    <x v="3"/>
    <x v="2"/>
    <x v="0"/>
    <x v="0"/>
    <x v="40"/>
    <n v="64"/>
    <n v="66"/>
    <x v="101"/>
    <x v="0"/>
    <x v="3"/>
    <x v="2"/>
    <x v="3"/>
    <x v="40"/>
    <x v="34"/>
    <x v="36"/>
    <x v="0"/>
    <x v="0"/>
    <x v="0"/>
    <n v="192"/>
    <n v="4"/>
    <x v="0"/>
  </r>
  <r>
    <x v="1"/>
    <x v="2"/>
    <x v="5"/>
    <x v="0"/>
    <x v="0"/>
    <x v="29"/>
    <n v="60"/>
    <n v="61"/>
    <x v="101"/>
    <x v="0"/>
    <x v="15"/>
    <x v="4"/>
    <x v="28"/>
    <x v="29"/>
    <x v="38"/>
    <x v="37"/>
    <x v="0"/>
    <x v="0"/>
    <x v="0"/>
    <n v="192"/>
    <n v="11"/>
    <x v="0"/>
  </r>
  <r>
    <x v="1"/>
    <x v="4"/>
    <x v="0"/>
    <x v="0"/>
    <x v="0"/>
    <x v="36"/>
    <n v="64"/>
    <n v="62"/>
    <x v="101"/>
    <x v="0"/>
    <x v="19"/>
    <x v="11"/>
    <x v="17"/>
    <x v="36"/>
    <x v="34"/>
    <x v="38"/>
    <x v="0"/>
    <x v="0"/>
    <x v="0"/>
    <n v="192"/>
    <n v="4"/>
    <x v="0"/>
  </r>
  <r>
    <x v="1"/>
    <x v="1"/>
    <x v="3"/>
    <x v="1"/>
    <x v="1"/>
    <x v="30"/>
    <n v="60"/>
    <n v="63"/>
    <x v="101"/>
    <x v="0"/>
    <x v="23"/>
    <x v="5"/>
    <x v="16"/>
    <x v="30"/>
    <x v="38"/>
    <x v="39"/>
    <x v="0"/>
    <x v="0"/>
    <x v="0"/>
    <n v="192"/>
    <n v="9"/>
    <x v="0"/>
  </r>
  <r>
    <x v="0"/>
    <x v="3"/>
    <x v="3"/>
    <x v="1"/>
    <x v="1"/>
    <x v="47"/>
    <n v="66"/>
    <n v="73"/>
    <x v="101"/>
    <x v="0"/>
    <x v="11"/>
    <x v="20"/>
    <x v="44"/>
    <x v="47"/>
    <x v="30"/>
    <x v="26"/>
    <x v="0"/>
    <x v="0"/>
    <x v="0"/>
    <n v="192"/>
    <n v="20"/>
    <x v="0"/>
  </r>
  <r>
    <x v="0"/>
    <x v="4"/>
    <x v="5"/>
    <x v="0"/>
    <x v="0"/>
    <x v="33"/>
    <n v="68"/>
    <n v="63"/>
    <x v="101"/>
    <x v="0"/>
    <x v="7"/>
    <x v="8"/>
    <x v="12"/>
    <x v="33"/>
    <x v="29"/>
    <x v="39"/>
    <x v="0"/>
    <x v="0"/>
    <x v="0"/>
    <n v="192"/>
    <n v="7"/>
    <x v="0"/>
  </r>
  <r>
    <x v="0"/>
    <x v="3"/>
    <x v="1"/>
    <x v="0"/>
    <x v="1"/>
    <x v="46"/>
    <n v="66"/>
    <n v="73"/>
    <x v="102"/>
    <x v="0"/>
    <x v="33"/>
    <x v="20"/>
    <x v="29"/>
    <x v="46"/>
    <x v="30"/>
    <x v="26"/>
    <x v="0"/>
    <x v="0"/>
    <x v="0"/>
    <n v="191"/>
    <n v="21"/>
    <x v="0"/>
  </r>
  <r>
    <x v="0"/>
    <x v="3"/>
    <x v="5"/>
    <x v="0"/>
    <x v="0"/>
    <x v="35"/>
    <n v="64"/>
    <n v="62"/>
    <x v="102"/>
    <x v="0"/>
    <x v="28"/>
    <x v="11"/>
    <x v="9"/>
    <x v="35"/>
    <x v="34"/>
    <x v="38"/>
    <x v="0"/>
    <x v="0"/>
    <x v="0"/>
    <n v="191"/>
    <n v="3"/>
    <x v="0"/>
  </r>
  <r>
    <x v="0"/>
    <x v="3"/>
    <x v="1"/>
    <x v="1"/>
    <x v="0"/>
    <x v="47"/>
    <n v="71"/>
    <n v="67"/>
    <x v="102"/>
    <x v="0"/>
    <x v="32"/>
    <x v="10"/>
    <x v="18"/>
    <x v="47"/>
    <x v="28"/>
    <x v="35"/>
    <x v="0"/>
    <x v="0"/>
    <x v="0"/>
    <n v="191"/>
    <n v="18"/>
    <x v="0"/>
  </r>
  <r>
    <x v="0"/>
    <x v="2"/>
    <x v="3"/>
    <x v="1"/>
    <x v="0"/>
    <x v="40"/>
    <n v="67"/>
    <n v="62"/>
    <x v="102"/>
    <x v="0"/>
    <x v="6"/>
    <x v="8"/>
    <x v="0"/>
    <x v="40"/>
    <x v="32"/>
    <x v="38"/>
    <x v="0"/>
    <x v="0"/>
    <x v="0"/>
    <n v="191"/>
    <n v="5"/>
    <x v="0"/>
  </r>
  <r>
    <x v="0"/>
    <x v="3"/>
    <x v="2"/>
    <x v="1"/>
    <x v="1"/>
    <x v="46"/>
    <n v="67"/>
    <n v="72"/>
    <x v="102"/>
    <x v="0"/>
    <x v="14"/>
    <x v="6"/>
    <x v="44"/>
    <x v="46"/>
    <x v="32"/>
    <x v="30"/>
    <x v="0"/>
    <x v="0"/>
    <x v="0"/>
    <n v="191"/>
    <n v="20"/>
    <x v="0"/>
  </r>
  <r>
    <x v="1"/>
    <x v="3"/>
    <x v="3"/>
    <x v="0"/>
    <x v="0"/>
    <x v="36"/>
    <n v="65"/>
    <n v="60"/>
    <x v="102"/>
    <x v="0"/>
    <x v="28"/>
    <x v="8"/>
    <x v="16"/>
    <x v="36"/>
    <x v="35"/>
    <x v="41"/>
    <x v="0"/>
    <x v="0"/>
    <x v="0"/>
    <n v="191"/>
    <n v="6"/>
    <x v="0"/>
  </r>
  <r>
    <x v="1"/>
    <x v="1"/>
    <x v="3"/>
    <x v="1"/>
    <x v="0"/>
    <x v="28"/>
    <n v="63"/>
    <n v="58"/>
    <x v="102"/>
    <x v="0"/>
    <x v="18"/>
    <x v="8"/>
    <x v="31"/>
    <x v="28"/>
    <x v="37"/>
    <x v="43"/>
    <x v="0"/>
    <x v="0"/>
    <x v="0"/>
    <n v="191"/>
    <n v="12"/>
    <x v="0"/>
  </r>
  <r>
    <x v="1"/>
    <x v="0"/>
    <x v="1"/>
    <x v="0"/>
    <x v="0"/>
    <x v="32"/>
    <n v="57"/>
    <n v="62"/>
    <x v="102"/>
    <x v="0"/>
    <x v="22"/>
    <x v="6"/>
    <x v="28"/>
    <x v="32"/>
    <x v="41"/>
    <x v="38"/>
    <x v="0"/>
    <x v="0"/>
    <x v="0"/>
    <n v="191"/>
    <n v="15"/>
    <x v="0"/>
  </r>
  <r>
    <x v="1"/>
    <x v="3"/>
    <x v="3"/>
    <x v="1"/>
    <x v="1"/>
    <x v="38"/>
    <n v="65"/>
    <n v="66"/>
    <x v="103"/>
    <x v="0"/>
    <x v="26"/>
    <x v="4"/>
    <x v="7"/>
    <x v="38"/>
    <x v="35"/>
    <x v="36"/>
    <x v="0"/>
    <x v="0"/>
    <x v="0"/>
    <n v="190"/>
    <n v="7"/>
    <x v="0"/>
  </r>
  <r>
    <x v="1"/>
    <x v="1"/>
    <x v="2"/>
    <x v="0"/>
    <x v="0"/>
    <x v="40"/>
    <n v="67"/>
    <n v="61"/>
    <x v="103"/>
    <x v="0"/>
    <x v="6"/>
    <x v="16"/>
    <x v="4"/>
    <x v="40"/>
    <x v="32"/>
    <x v="37"/>
    <x v="0"/>
    <x v="0"/>
    <x v="0"/>
    <n v="190"/>
    <n v="6"/>
    <x v="0"/>
  </r>
  <r>
    <x v="0"/>
    <x v="1"/>
    <x v="5"/>
    <x v="0"/>
    <x v="0"/>
    <x v="40"/>
    <n v="64"/>
    <n v="64"/>
    <x v="103"/>
    <x v="0"/>
    <x v="3"/>
    <x v="0"/>
    <x v="12"/>
    <x v="40"/>
    <x v="34"/>
    <x v="34"/>
    <x v="0"/>
    <x v="0"/>
    <x v="0"/>
    <n v="190"/>
    <n v="2"/>
    <x v="0"/>
  </r>
  <r>
    <x v="0"/>
    <x v="4"/>
    <x v="4"/>
    <x v="1"/>
    <x v="0"/>
    <x v="48"/>
    <n v="67"/>
    <n v="73"/>
    <x v="103"/>
    <x v="0"/>
    <x v="25"/>
    <x v="13"/>
    <x v="43"/>
    <x v="48"/>
    <x v="32"/>
    <x v="26"/>
    <x v="0"/>
    <x v="0"/>
    <x v="0"/>
    <n v="190"/>
    <n v="23"/>
    <x v="0"/>
  </r>
  <r>
    <x v="0"/>
    <x v="0"/>
    <x v="1"/>
    <x v="0"/>
    <x v="0"/>
    <x v="38"/>
    <n v="62"/>
    <n v="69"/>
    <x v="103"/>
    <x v="0"/>
    <x v="2"/>
    <x v="20"/>
    <x v="23"/>
    <x v="38"/>
    <x v="36"/>
    <x v="29"/>
    <x v="0"/>
    <x v="0"/>
    <x v="0"/>
    <n v="190"/>
    <n v="10"/>
    <x v="0"/>
  </r>
  <r>
    <x v="0"/>
    <x v="3"/>
    <x v="3"/>
    <x v="0"/>
    <x v="0"/>
    <x v="39"/>
    <n v="65"/>
    <n v="61"/>
    <x v="104"/>
    <x v="0"/>
    <x v="3"/>
    <x v="10"/>
    <x v="21"/>
    <x v="39"/>
    <x v="35"/>
    <x v="37"/>
    <x v="0"/>
    <x v="0"/>
    <x v="0"/>
    <n v="189"/>
    <n v="4"/>
    <x v="0"/>
  </r>
  <r>
    <x v="0"/>
    <x v="2"/>
    <x v="3"/>
    <x v="0"/>
    <x v="0"/>
    <x v="45"/>
    <n v="69"/>
    <n v="65"/>
    <x v="104"/>
    <x v="0"/>
    <x v="33"/>
    <x v="10"/>
    <x v="23"/>
    <x v="45"/>
    <x v="33"/>
    <x v="33"/>
    <x v="0"/>
    <x v="0"/>
    <x v="0"/>
    <n v="189"/>
    <n v="14"/>
    <x v="0"/>
  </r>
  <r>
    <x v="1"/>
    <x v="1"/>
    <x v="3"/>
    <x v="0"/>
    <x v="0"/>
    <x v="37"/>
    <n v="59"/>
    <n v="62"/>
    <x v="104"/>
    <x v="0"/>
    <x v="23"/>
    <x v="5"/>
    <x v="16"/>
    <x v="37"/>
    <x v="42"/>
    <x v="38"/>
    <x v="0"/>
    <x v="0"/>
    <x v="0"/>
    <n v="189"/>
    <n v="9"/>
    <x v="0"/>
  </r>
  <r>
    <x v="1"/>
    <x v="2"/>
    <x v="1"/>
    <x v="1"/>
    <x v="0"/>
    <x v="34"/>
    <n v="66"/>
    <n v="59"/>
    <x v="104"/>
    <x v="0"/>
    <x v="3"/>
    <x v="3"/>
    <x v="30"/>
    <x v="34"/>
    <x v="30"/>
    <x v="40"/>
    <x v="0"/>
    <x v="0"/>
    <x v="0"/>
    <n v="189"/>
    <n v="7"/>
    <x v="0"/>
  </r>
  <r>
    <x v="0"/>
    <x v="1"/>
    <x v="4"/>
    <x v="0"/>
    <x v="0"/>
    <x v="45"/>
    <n v="64"/>
    <n v="70"/>
    <x v="104"/>
    <x v="0"/>
    <x v="30"/>
    <x v="13"/>
    <x v="20"/>
    <x v="45"/>
    <x v="34"/>
    <x v="31"/>
    <x v="0"/>
    <x v="0"/>
    <x v="0"/>
    <n v="189"/>
    <n v="15"/>
    <x v="0"/>
  </r>
  <r>
    <x v="1"/>
    <x v="4"/>
    <x v="1"/>
    <x v="0"/>
    <x v="1"/>
    <x v="2"/>
    <n v="92"/>
    <s v="None"/>
    <x v="105"/>
    <x v="0"/>
    <x v="29"/>
    <x v="27"/>
    <x v="47"/>
    <x v="2"/>
    <x v="4"/>
    <x v="44"/>
    <x v="0"/>
    <x v="0"/>
    <x v="0"/>
    <n v="189"/>
    <n v="5"/>
    <x v="0"/>
  </r>
  <r>
    <x v="0"/>
    <x v="2"/>
    <x v="5"/>
    <x v="1"/>
    <x v="0"/>
    <x v="47"/>
    <n v="72"/>
    <n v="64"/>
    <x v="104"/>
    <x v="0"/>
    <x v="35"/>
    <x v="19"/>
    <x v="11"/>
    <x v="47"/>
    <x v="27"/>
    <x v="34"/>
    <x v="0"/>
    <x v="0"/>
    <x v="0"/>
    <n v="189"/>
    <n v="19"/>
    <x v="0"/>
  </r>
  <r>
    <x v="0"/>
    <x v="2"/>
    <x v="3"/>
    <x v="1"/>
    <x v="1"/>
    <x v="49"/>
    <n v="73"/>
    <n v="70"/>
    <x v="106"/>
    <x v="0"/>
    <x v="48"/>
    <x v="7"/>
    <x v="48"/>
    <x v="49"/>
    <x v="22"/>
    <x v="31"/>
    <x v="1"/>
    <x v="0"/>
    <x v="0"/>
    <n v="188"/>
    <n v="28"/>
    <x v="1"/>
  </r>
  <r>
    <x v="1"/>
    <x v="3"/>
    <x v="5"/>
    <x v="0"/>
    <x v="0"/>
    <x v="43"/>
    <n v="68"/>
    <n v="60"/>
    <x v="106"/>
    <x v="0"/>
    <x v="8"/>
    <x v="19"/>
    <x v="0"/>
    <x v="43"/>
    <x v="29"/>
    <x v="41"/>
    <x v="0"/>
    <x v="0"/>
    <x v="0"/>
    <n v="188"/>
    <n v="8"/>
    <x v="0"/>
  </r>
  <r>
    <x v="1"/>
    <x v="4"/>
    <x v="5"/>
    <x v="0"/>
    <x v="0"/>
    <x v="39"/>
    <n v="63"/>
    <n v="62"/>
    <x v="106"/>
    <x v="0"/>
    <x v="0"/>
    <x v="1"/>
    <x v="4"/>
    <x v="39"/>
    <x v="37"/>
    <x v="38"/>
    <x v="0"/>
    <x v="0"/>
    <x v="0"/>
    <n v="188"/>
    <n v="1"/>
    <x v="0"/>
  </r>
  <r>
    <x v="0"/>
    <x v="1"/>
    <x v="3"/>
    <x v="1"/>
    <x v="0"/>
    <x v="42"/>
    <n v="67"/>
    <n v="62"/>
    <x v="107"/>
    <x v="0"/>
    <x v="30"/>
    <x v="8"/>
    <x v="3"/>
    <x v="42"/>
    <x v="32"/>
    <x v="38"/>
    <x v="0"/>
    <x v="0"/>
    <x v="0"/>
    <n v="187"/>
    <n v="9"/>
    <x v="0"/>
  </r>
  <r>
    <x v="0"/>
    <x v="1"/>
    <x v="5"/>
    <x v="0"/>
    <x v="1"/>
    <x v="10"/>
    <n v="99"/>
    <s v="None"/>
    <x v="108"/>
    <x v="0"/>
    <x v="10"/>
    <x v="27"/>
    <x v="47"/>
    <x v="10"/>
    <x v="2"/>
    <x v="44"/>
    <x v="0"/>
    <x v="0"/>
    <x v="0"/>
    <n v="187"/>
    <n v="11"/>
    <x v="0"/>
  </r>
  <r>
    <x v="0"/>
    <x v="1"/>
    <x v="2"/>
    <x v="0"/>
    <x v="0"/>
    <x v="38"/>
    <n v="67"/>
    <n v="61"/>
    <x v="107"/>
    <x v="0"/>
    <x v="8"/>
    <x v="16"/>
    <x v="12"/>
    <x v="38"/>
    <x v="32"/>
    <x v="37"/>
    <x v="0"/>
    <x v="0"/>
    <x v="0"/>
    <n v="187"/>
    <n v="8"/>
    <x v="0"/>
  </r>
  <r>
    <x v="1"/>
    <x v="0"/>
    <x v="3"/>
    <x v="0"/>
    <x v="0"/>
    <x v="37"/>
    <n v="60"/>
    <n v="59"/>
    <x v="107"/>
    <x v="0"/>
    <x v="9"/>
    <x v="1"/>
    <x v="14"/>
    <x v="37"/>
    <x v="38"/>
    <x v="40"/>
    <x v="0"/>
    <x v="0"/>
    <x v="0"/>
    <n v="187"/>
    <n v="9"/>
    <x v="0"/>
  </r>
  <r>
    <x v="0"/>
    <x v="0"/>
    <x v="3"/>
    <x v="0"/>
    <x v="0"/>
    <x v="33"/>
    <n v="64"/>
    <n v="62"/>
    <x v="107"/>
    <x v="0"/>
    <x v="2"/>
    <x v="11"/>
    <x v="1"/>
    <x v="33"/>
    <x v="34"/>
    <x v="38"/>
    <x v="0"/>
    <x v="0"/>
    <x v="0"/>
    <n v="187"/>
    <n v="3"/>
    <x v="0"/>
  </r>
  <r>
    <x v="0"/>
    <x v="3"/>
    <x v="5"/>
    <x v="0"/>
    <x v="0"/>
    <x v="40"/>
    <n v="62"/>
    <n v="63"/>
    <x v="107"/>
    <x v="0"/>
    <x v="0"/>
    <x v="4"/>
    <x v="1"/>
    <x v="40"/>
    <x v="36"/>
    <x v="39"/>
    <x v="0"/>
    <x v="0"/>
    <x v="0"/>
    <n v="187"/>
    <n v="1"/>
    <x v="0"/>
  </r>
  <r>
    <x v="1"/>
    <x v="2"/>
    <x v="5"/>
    <x v="0"/>
    <x v="0"/>
    <x v="40"/>
    <n v="67"/>
    <n v="58"/>
    <x v="107"/>
    <x v="0"/>
    <x v="6"/>
    <x v="15"/>
    <x v="17"/>
    <x v="40"/>
    <x v="32"/>
    <x v="43"/>
    <x v="0"/>
    <x v="0"/>
    <x v="0"/>
    <n v="187"/>
    <n v="9"/>
    <x v="0"/>
  </r>
  <r>
    <x v="0"/>
    <x v="3"/>
    <x v="5"/>
    <x v="0"/>
    <x v="0"/>
    <x v="42"/>
    <n v="68"/>
    <n v="61"/>
    <x v="107"/>
    <x v="0"/>
    <x v="20"/>
    <x v="3"/>
    <x v="2"/>
    <x v="42"/>
    <x v="29"/>
    <x v="37"/>
    <x v="0"/>
    <x v="0"/>
    <x v="0"/>
    <n v="187"/>
    <n v="10"/>
    <x v="0"/>
  </r>
  <r>
    <x v="1"/>
    <x v="1"/>
    <x v="3"/>
    <x v="0"/>
    <x v="0"/>
    <x v="32"/>
    <n v="57"/>
    <n v="58"/>
    <x v="107"/>
    <x v="0"/>
    <x v="22"/>
    <x v="4"/>
    <x v="15"/>
    <x v="32"/>
    <x v="41"/>
    <x v="43"/>
    <x v="0"/>
    <x v="0"/>
    <x v="0"/>
    <n v="187"/>
    <n v="15"/>
    <x v="0"/>
  </r>
  <r>
    <x v="1"/>
    <x v="3"/>
    <x v="0"/>
    <x v="1"/>
    <x v="0"/>
    <x v="27"/>
    <n v="56"/>
    <n v="57"/>
    <x v="109"/>
    <x v="0"/>
    <x v="37"/>
    <x v="4"/>
    <x v="41"/>
    <x v="27"/>
    <x v="43"/>
    <x v="42"/>
    <x v="0"/>
    <x v="0"/>
    <x v="0"/>
    <n v="186"/>
    <n v="17"/>
    <x v="0"/>
  </r>
  <r>
    <x v="0"/>
    <x v="3"/>
    <x v="0"/>
    <x v="0"/>
    <x v="0"/>
    <x v="46"/>
    <n v="65"/>
    <n v="69"/>
    <x v="109"/>
    <x v="0"/>
    <x v="11"/>
    <x v="12"/>
    <x v="24"/>
    <x v="46"/>
    <x v="35"/>
    <x v="29"/>
    <x v="0"/>
    <x v="0"/>
    <x v="0"/>
    <n v="186"/>
    <n v="17"/>
    <x v="0"/>
  </r>
  <r>
    <x v="0"/>
    <x v="3"/>
    <x v="5"/>
    <x v="0"/>
    <x v="0"/>
    <x v="50"/>
    <n v="64"/>
    <n v="68"/>
    <x v="109"/>
    <x v="0"/>
    <x v="20"/>
    <x v="12"/>
    <x v="18"/>
    <x v="50"/>
    <x v="34"/>
    <x v="32"/>
    <x v="0"/>
    <x v="0"/>
    <x v="0"/>
    <n v="186"/>
    <n v="14"/>
    <x v="0"/>
  </r>
  <r>
    <x v="0"/>
    <x v="3"/>
    <x v="1"/>
    <x v="0"/>
    <x v="0"/>
    <x v="42"/>
    <n v="63"/>
    <n v="65"/>
    <x v="109"/>
    <x v="0"/>
    <x v="6"/>
    <x v="2"/>
    <x v="7"/>
    <x v="42"/>
    <x v="37"/>
    <x v="33"/>
    <x v="0"/>
    <x v="0"/>
    <x v="0"/>
    <n v="186"/>
    <n v="7"/>
    <x v="0"/>
  </r>
  <r>
    <x v="0"/>
    <x v="3"/>
    <x v="2"/>
    <x v="1"/>
    <x v="1"/>
    <x v="38"/>
    <n v="63"/>
    <n v="64"/>
    <x v="109"/>
    <x v="0"/>
    <x v="4"/>
    <x v="4"/>
    <x v="10"/>
    <x v="38"/>
    <x v="37"/>
    <x v="34"/>
    <x v="0"/>
    <x v="0"/>
    <x v="0"/>
    <n v="186"/>
    <n v="5"/>
    <x v="0"/>
  </r>
  <r>
    <x v="1"/>
    <x v="2"/>
    <x v="3"/>
    <x v="0"/>
    <x v="0"/>
    <x v="39"/>
    <n v="63"/>
    <n v="60"/>
    <x v="109"/>
    <x v="0"/>
    <x v="0"/>
    <x v="7"/>
    <x v="9"/>
    <x v="39"/>
    <x v="37"/>
    <x v="41"/>
    <x v="0"/>
    <x v="0"/>
    <x v="0"/>
    <n v="186"/>
    <n v="3"/>
    <x v="0"/>
  </r>
  <r>
    <x v="0"/>
    <x v="2"/>
    <x v="3"/>
    <x v="1"/>
    <x v="0"/>
    <x v="38"/>
    <n v="62"/>
    <n v="64"/>
    <x v="110"/>
    <x v="0"/>
    <x v="2"/>
    <x v="2"/>
    <x v="10"/>
    <x v="38"/>
    <x v="36"/>
    <x v="34"/>
    <x v="0"/>
    <x v="0"/>
    <x v="0"/>
    <n v="185"/>
    <n v="5"/>
    <x v="0"/>
  </r>
  <r>
    <x v="0"/>
    <x v="3"/>
    <x v="3"/>
    <x v="1"/>
    <x v="0"/>
    <x v="42"/>
    <n v="61"/>
    <n v="66"/>
    <x v="110"/>
    <x v="0"/>
    <x v="2"/>
    <x v="6"/>
    <x v="8"/>
    <x v="42"/>
    <x v="39"/>
    <x v="36"/>
    <x v="0"/>
    <x v="0"/>
    <x v="0"/>
    <n v="185"/>
    <n v="8"/>
    <x v="0"/>
  </r>
  <r>
    <x v="1"/>
    <x v="4"/>
    <x v="1"/>
    <x v="0"/>
    <x v="0"/>
    <x v="39"/>
    <n v="61"/>
    <n v="61"/>
    <x v="110"/>
    <x v="0"/>
    <x v="19"/>
    <x v="0"/>
    <x v="21"/>
    <x v="39"/>
    <x v="39"/>
    <x v="37"/>
    <x v="0"/>
    <x v="0"/>
    <x v="0"/>
    <n v="185"/>
    <n v="2"/>
    <x v="0"/>
  </r>
  <r>
    <x v="1"/>
    <x v="2"/>
    <x v="2"/>
    <x v="1"/>
    <x v="0"/>
    <x v="37"/>
    <n v="63"/>
    <n v="54"/>
    <x v="110"/>
    <x v="0"/>
    <x v="29"/>
    <x v="15"/>
    <x v="15"/>
    <x v="37"/>
    <x v="37"/>
    <x v="45"/>
    <x v="0"/>
    <x v="0"/>
    <x v="0"/>
    <n v="185"/>
    <n v="14"/>
    <x v="0"/>
  </r>
  <r>
    <x v="0"/>
    <x v="2"/>
    <x v="4"/>
    <x v="0"/>
    <x v="1"/>
    <x v="50"/>
    <n v="64"/>
    <n v="67"/>
    <x v="110"/>
    <x v="0"/>
    <x v="20"/>
    <x v="5"/>
    <x v="13"/>
    <x v="50"/>
    <x v="34"/>
    <x v="35"/>
    <x v="0"/>
    <x v="0"/>
    <x v="0"/>
    <n v="185"/>
    <n v="13"/>
    <x v="0"/>
  </r>
  <r>
    <x v="1"/>
    <x v="2"/>
    <x v="5"/>
    <x v="1"/>
    <x v="0"/>
    <x v="50"/>
    <n v="72"/>
    <n v="59"/>
    <x v="110"/>
    <x v="0"/>
    <x v="32"/>
    <x v="23"/>
    <x v="10"/>
    <x v="50"/>
    <x v="27"/>
    <x v="40"/>
    <x v="0"/>
    <x v="0"/>
    <x v="0"/>
    <n v="185"/>
    <n v="18"/>
    <x v="0"/>
  </r>
  <r>
    <x v="1"/>
    <x v="2"/>
    <x v="1"/>
    <x v="0"/>
    <x v="0"/>
    <x v="40"/>
    <n v="65"/>
    <n v="58"/>
    <x v="110"/>
    <x v="0"/>
    <x v="2"/>
    <x v="3"/>
    <x v="17"/>
    <x v="40"/>
    <x v="35"/>
    <x v="43"/>
    <x v="0"/>
    <x v="0"/>
    <x v="0"/>
    <n v="185"/>
    <n v="7"/>
    <x v="0"/>
  </r>
  <r>
    <x v="0"/>
    <x v="3"/>
    <x v="4"/>
    <x v="1"/>
    <x v="1"/>
    <x v="46"/>
    <n v="70"/>
    <n v="62"/>
    <x v="111"/>
    <x v="0"/>
    <x v="32"/>
    <x v="19"/>
    <x v="23"/>
    <x v="46"/>
    <x v="31"/>
    <x v="38"/>
    <x v="0"/>
    <x v="0"/>
    <x v="0"/>
    <n v="184"/>
    <n v="18"/>
    <x v="0"/>
  </r>
  <r>
    <x v="0"/>
    <x v="1"/>
    <x v="1"/>
    <x v="1"/>
    <x v="0"/>
    <x v="44"/>
    <n v="65"/>
    <n v="63"/>
    <x v="111"/>
    <x v="0"/>
    <x v="30"/>
    <x v="11"/>
    <x v="7"/>
    <x v="44"/>
    <x v="35"/>
    <x v="39"/>
    <x v="0"/>
    <x v="0"/>
    <x v="0"/>
    <n v="184"/>
    <n v="9"/>
    <x v="0"/>
  </r>
  <r>
    <x v="1"/>
    <x v="2"/>
    <x v="3"/>
    <x v="0"/>
    <x v="0"/>
    <x v="33"/>
    <n v="61"/>
    <n v="62"/>
    <x v="111"/>
    <x v="0"/>
    <x v="0"/>
    <x v="4"/>
    <x v="1"/>
    <x v="33"/>
    <x v="39"/>
    <x v="38"/>
    <x v="0"/>
    <x v="0"/>
    <x v="0"/>
    <n v="184"/>
    <n v="1"/>
    <x v="0"/>
  </r>
  <r>
    <x v="1"/>
    <x v="1"/>
    <x v="0"/>
    <x v="0"/>
    <x v="0"/>
    <x v="30"/>
    <n v="58"/>
    <n v="57"/>
    <x v="111"/>
    <x v="0"/>
    <x v="15"/>
    <x v="1"/>
    <x v="31"/>
    <x v="30"/>
    <x v="40"/>
    <x v="42"/>
    <x v="0"/>
    <x v="0"/>
    <x v="0"/>
    <n v="184"/>
    <n v="12"/>
    <x v="0"/>
  </r>
  <r>
    <x v="1"/>
    <x v="1"/>
    <x v="3"/>
    <x v="1"/>
    <x v="0"/>
    <x v="39"/>
    <n v="61"/>
    <n v="60"/>
    <x v="111"/>
    <x v="0"/>
    <x v="19"/>
    <x v="1"/>
    <x v="9"/>
    <x v="39"/>
    <x v="39"/>
    <x v="41"/>
    <x v="0"/>
    <x v="0"/>
    <x v="0"/>
    <n v="184"/>
    <n v="3"/>
    <x v="0"/>
  </r>
  <r>
    <x v="1"/>
    <x v="1"/>
    <x v="1"/>
    <x v="0"/>
    <x v="1"/>
    <x v="31"/>
    <n v="54"/>
    <n v="63"/>
    <x v="111"/>
    <x v="0"/>
    <x v="34"/>
    <x v="18"/>
    <x v="17"/>
    <x v="31"/>
    <x v="44"/>
    <x v="39"/>
    <x v="0"/>
    <x v="0"/>
    <x v="0"/>
    <n v="184"/>
    <n v="13"/>
    <x v="0"/>
  </r>
  <r>
    <x v="0"/>
    <x v="3"/>
    <x v="1"/>
    <x v="1"/>
    <x v="0"/>
    <x v="50"/>
    <n v="65"/>
    <n v="65"/>
    <x v="111"/>
    <x v="0"/>
    <x v="10"/>
    <x v="0"/>
    <x v="11"/>
    <x v="50"/>
    <x v="35"/>
    <x v="33"/>
    <x v="0"/>
    <x v="0"/>
    <x v="0"/>
    <n v="184"/>
    <n v="11"/>
    <x v="0"/>
  </r>
  <r>
    <x v="1"/>
    <x v="4"/>
    <x v="2"/>
    <x v="1"/>
    <x v="1"/>
    <x v="33"/>
    <n v="62"/>
    <n v="61"/>
    <x v="111"/>
    <x v="0"/>
    <x v="1"/>
    <x v="1"/>
    <x v="0"/>
    <x v="33"/>
    <x v="36"/>
    <x v="37"/>
    <x v="0"/>
    <x v="0"/>
    <x v="0"/>
    <n v="184"/>
    <n v="1"/>
    <x v="0"/>
  </r>
  <r>
    <x v="0"/>
    <x v="4"/>
    <x v="3"/>
    <x v="0"/>
    <x v="0"/>
    <x v="50"/>
    <n v="63"/>
    <n v="67"/>
    <x v="111"/>
    <x v="0"/>
    <x v="30"/>
    <x v="12"/>
    <x v="13"/>
    <x v="50"/>
    <x v="37"/>
    <x v="35"/>
    <x v="0"/>
    <x v="0"/>
    <x v="0"/>
    <n v="184"/>
    <n v="13"/>
    <x v="0"/>
  </r>
  <r>
    <x v="1"/>
    <x v="3"/>
    <x v="0"/>
    <x v="0"/>
    <x v="0"/>
    <x v="36"/>
    <n v="60"/>
    <n v="57"/>
    <x v="112"/>
    <x v="0"/>
    <x v="12"/>
    <x v="7"/>
    <x v="14"/>
    <x v="36"/>
    <x v="38"/>
    <x v="42"/>
    <x v="0"/>
    <x v="0"/>
    <x v="0"/>
    <n v="183"/>
    <n v="9"/>
    <x v="0"/>
  </r>
  <r>
    <x v="0"/>
    <x v="2"/>
    <x v="3"/>
    <x v="0"/>
    <x v="0"/>
    <x v="50"/>
    <n v="64"/>
    <n v="65"/>
    <x v="112"/>
    <x v="0"/>
    <x v="20"/>
    <x v="4"/>
    <x v="11"/>
    <x v="50"/>
    <x v="34"/>
    <x v="33"/>
    <x v="0"/>
    <x v="0"/>
    <x v="0"/>
    <n v="183"/>
    <n v="11"/>
    <x v="0"/>
  </r>
  <r>
    <x v="1"/>
    <x v="4"/>
    <x v="2"/>
    <x v="0"/>
    <x v="0"/>
    <x v="29"/>
    <n v="62"/>
    <n v="50"/>
    <x v="112"/>
    <x v="0"/>
    <x v="23"/>
    <x v="21"/>
    <x v="39"/>
    <x v="29"/>
    <x v="36"/>
    <x v="46"/>
    <x v="0"/>
    <x v="0"/>
    <x v="0"/>
    <n v="183"/>
    <n v="21"/>
    <x v="0"/>
  </r>
  <r>
    <x v="0"/>
    <x v="2"/>
    <x v="3"/>
    <x v="0"/>
    <x v="0"/>
    <x v="42"/>
    <n v="59"/>
    <n v="66"/>
    <x v="112"/>
    <x v="0"/>
    <x v="1"/>
    <x v="20"/>
    <x v="8"/>
    <x v="42"/>
    <x v="42"/>
    <x v="36"/>
    <x v="0"/>
    <x v="0"/>
    <x v="0"/>
    <n v="183"/>
    <n v="8"/>
    <x v="0"/>
  </r>
  <r>
    <x v="1"/>
    <x v="2"/>
    <x v="4"/>
    <x v="0"/>
    <x v="0"/>
    <x v="31"/>
    <n v="57"/>
    <n v="59"/>
    <x v="112"/>
    <x v="0"/>
    <x v="24"/>
    <x v="2"/>
    <x v="19"/>
    <x v="31"/>
    <x v="41"/>
    <x v="40"/>
    <x v="0"/>
    <x v="0"/>
    <x v="0"/>
    <n v="183"/>
    <n v="10"/>
    <x v="0"/>
  </r>
  <r>
    <x v="1"/>
    <x v="0"/>
    <x v="3"/>
    <x v="0"/>
    <x v="0"/>
    <x v="30"/>
    <n v="60"/>
    <n v="54"/>
    <x v="112"/>
    <x v="0"/>
    <x v="23"/>
    <x v="16"/>
    <x v="26"/>
    <x v="30"/>
    <x v="38"/>
    <x v="45"/>
    <x v="0"/>
    <x v="0"/>
    <x v="0"/>
    <n v="183"/>
    <n v="15"/>
    <x v="0"/>
  </r>
  <r>
    <x v="0"/>
    <x v="4"/>
    <x v="1"/>
    <x v="0"/>
    <x v="1"/>
    <x v="45"/>
    <n v="65"/>
    <n v="62"/>
    <x v="113"/>
    <x v="0"/>
    <x v="20"/>
    <x v="7"/>
    <x v="7"/>
    <x v="45"/>
    <x v="35"/>
    <x v="38"/>
    <x v="0"/>
    <x v="0"/>
    <x v="0"/>
    <n v="182"/>
    <n v="10"/>
    <x v="0"/>
  </r>
  <r>
    <x v="0"/>
    <x v="2"/>
    <x v="2"/>
    <x v="1"/>
    <x v="0"/>
    <x v="45"/>
    <n v="65"/>
    <n v="62"/>
    <x v="113"/>
    <x v="0"/>
    <x v="20"/>
    <x v="7"/>
    <x v="7"/>
    <x v="45"/>
    <x v="35"/>
    <x v="38"/>
    <x v="0"/>
    <x v="0"/>
    <x v="0"/>
    <n v="182"/>
    <n v="10"/>
    <x v="0"/>
  </r>
  <r>
    <x v="1"/>
    <x v="1"/>
    <x v="3"/>
    <x v="1"/>
    <x v="0"/>
    <x v="38"/>
    <n v="62"/>
    <n v="61"/>
    <x v="113"/>
    <x v="0"/>
    <x v="2"/>
    <x v="1"/>
    <x v="12"/>
    <x v="38"/>
    <x v="36"/>
    <x v="37"/>
    <x v="0"/>
    <x v="0"/>
    <x v="0"/>
    <n v="182"/>
    <n v="3"/>
    <x v="0"/>
  </r>
  <r>
    <x v="0"/>
    <x v="1"/>
    <x v="4"/>
    <x v="0"/>
    <x v="0"/>
    <x v="47"/>
    <n v="61"/>
    <n v="68"/>
    <x v="113"/>
    <x v="0"/>
    <x v="8"/>
    <x v="20"/>
    <x v="20"/>
    <x v="47"/>
    <x v="39"/>
    <x v="32"/>
    <x v="0"/>
    <x v="0"/>
    <x v="0"/>
    <n v="182"/>
    <n v="15"/>
    <x v="0"/>
  </r>
  <r>
    <x v="1"/>
    <x v="1"/>
    <x v="3"/>
    <x v="0"/>
    <x v="0"/>
    <x v="43"/>
    <n v="63"/>
    <n v="59"/>
    <x v="113"/>
    <x v="0"/>
    <x v="2"/>
    <x v="10"/>
    <x v="4"/>
    <x v="43"/>
    <x v="37"/>
    <x v="40"/>
    <x v="0"/>
    <x v="0"/>
    <x v="0"/>
    <n v="182"/>
    <n v="4"/>
    <x v="0"/>
  </r>
  <r>
    <x v="0"/>
    <x v="4"/>
    <x v="2"/>
    <x v="0"/>
    <x v="1"/>
    <x v="51"/>
    <n v="90"/>
    <n v="92"/>
    <x v="20"/>
    <x v="0"/>
    <x v="49"/>
    <x v="2"/>
    <x v="47"/>
    <x v="51"/>
    <x v="7"/>
    <x v="10"/>
    <x v="0"/>
    <x v="0"/>
    <x v="0"/>
    <n v="182"/>
    <n v="2"/>
    <x v="0"/>
  </r>
  <r>
    <x v="1"/>
    <x v="3"/>
    <x v="3"/>
    <x v="1"/>
    <x v="1"/>
    <x v="43"/>
    <n v="62"/>
    <n v="60"/>
    <x v="113"/>
    <x v="0"/>
    <x v="3"/>
    <x v="11"/>
    <x v="0"/>
    <x v="43"/>
    <x v="36"/>
    <x v="41"/>
    <x v="0"/>
    <x v="0"/>
    <x v="0"/>
    <n v="182"/>
    <n v="2"/>
    <x v="0"/>
  </r>
  <r>
    <x v="1"/>
    <x v="1"/>
    <x v="3"/>
    <x v="0"/>
    <x v="1"/>
    <x v="39"/>
    <n v="55"/>
    <n v="63"/>
    <x v="114"/>
    <x v="0"/>
    <x v="9"/>
    <x v="17"/>
    <x v="0"/>
    <x v="39"/>
    <x v="45"/>
    <x v="39"/>
    <x v="0"/>
    <x v="0"/>
    <x v="0"/>
    <n v="181"/>
    <n v="8"/>
    <x v="0"/>
  </r>
  <r>
    <x v="1"/>
    <x v="0"/>
    <x v="5"/>
    <x v="0"/>
    <x v="0"/>
    <x v="28"/>
    <n v="55"/>
    <n v="56"/>
    <x v="114"/>
    <x v="0"/>
    <x v="22"/>
    <x v="4"/>
    <x v="15"/>
    <x v="28"/>
    <x v="45"/>
    <x v="47"/>
    <x v="0"/>
    <x v="0"/>
    <x v="0"/>
    <n v="181"/>
    <n v="15"/>
    <x v="0"/>
  </r>
  <r>
    <x v="1"/>
    <x v="2"/>
    <x v="5"/>
    <x v="0"/>
    <x v="0"/>
    <x v="37"/>
    <n v="60"/>
    <n v="53"/>
    <x v="114"/>
    <x v="0"/>
    <x v="9"/>
    <x v="3"/>
    <x v="26"/>
    <x v="37"/>
    <x v="38"/>
    <x v="48"/>
    <x v="0"/>
    <x v="0"/>
    <x v="0"/>
    <n v="181"/>
    <n v="15"/>
    <x v="0"/>
  </r>
  <r>
    <x v="1"/>
    <x v="3"/>
    <x v="0"/>
    <x v="1"/>
    <x v="0"/>
    <x v="40"/>
    <n v="63"/>
    <n v="56"/>
    <x v="114"/>
    <x v="0"/>
    <x v="1"/>
    <x v="3"/>
    <x v="16"/>
    <x v="40"/>
    <x v="37"/>
    <x v="47"/>
    <x v="0"/>
    <x v="0"/>
    <x v="0"/>
    <n v="181"/>
    <n v="7"/>
    <x v="0"/>
  </r>
  <r>
    <x v="0"/>
    <x v="0"/>
    <x v="0"/>
    <x v="1"/>
    <x v="0"/>
    <x v="33"/>
    <n v="58"/>
    <n v="62"/>
    <x v="114"/>
    <x v="0"/>
    <x v="5"/>
    <x v="12"/>
    <x v="1"/>
    <x v="33"/>
    <x v="40"/>
    <x v="38"/>
    <x v="0"/>
    <x v="0"/>
    <x v="0"/>
    <n v="181"/>
    <n v="4"/>
    <x v="0"/>
  </r>
  <r>
    <x v="1"/>
    <x v="2"/>
    <x v="2"/>
    <x v="0"/>
    <x v="0"/>
    <x v="40"/>
    <n v="64"/>
    <n v="55"/>
    <x v="114"/>
    <x v="0"/>
    <x v="3"/>
    <x v="15"/>
    <x v="5"/>
    <x v="40"/>
    <x v="34"/>
    <x v="49"/>
    <x v="0"/>
    <x v="0"/>
    <x v="0"/>
    <n v="181"/>
    <n v="9"/>
    <x v="0"/>
  </r>
  <r>
    <x v="1"/>
    <x v="1"/>
    <x v="3"/>
    <x v="1"/>
    <x v="0"/>
    <x v="40"/>
    <n v="57"/>
    <n v="62"/>
    <x v="114"/>
    <x v="0"/>
    <x v="29"/>
    <x v="6"/>
    <x v="0"/>
    <x v="40"/>
    <x v="41"/>
    <x v="38"/>
    <x v="0"/>
    <x v="0"/>
    <x v="0"/>
    <n v="181"/>
    <n v="5"/>
    <x v="0"/>
  </r>
  <r>
    <x v="1"/>
    <x v="3"/>
    <x v="3"/>
    <x v="1"/>
    <x v="0"/>
    <x v="43"/>
    <n v="60"/>
    <n v="60"/>
    <x v="115"/>
    <x v="0"/>
    <x v="0"/>
    <x v="0"/>
    <x v="0"/>
    <x v="43"/>
    <x v="38"/>
    <x v="41"/>
    <x v="0"/>
    <x v="0"/>
    <x v="0"/>
    <n v="180"/>
    <n v="0"/>
    <x v="0"/>
  </r>
  <r>
    <x v="1"/>
    <x v="2"/>
    <x v="2"/>
    <x v="0"/>
    <x v="1"/>
    <x v="39"/>
    <n v="60"/>
    <n v="57"/>
    <x v="115"/>
    <x v="0"/>
    <x v="5"/>
    <x v="7"/>
    <x v="16"/>
    <x v="39"/>
    <x v="38"/>
    <x v="42"/>
    <x v="0"/>
    <x v="0"/>
    <x v="0"/>
    <n v="180"/>
    <n v="6"/>
    <x v="0"/>
  </r>
  <r>
    <x v="1"/>
    <x v="3"/>
    <x v="3"/>
    <x v="0"/>
    <x v="0"/>
    <x v="40"/>
    <n v="61"/>
    <n v="57"/>
    <x v="115"/>
    <x v="0"/>
    <x v="28"/>
    <x v="10"/>
    <x v="30"/>
    <x v="40"/>
    <x v="39"/>
    <x v="42"/>
    <x v="0"/>
    <x v="0"/>
    <x v="0"/>
    <n v="180"/>
    <n v="5"/>
    <x v="0"/>
  </r>
  <r>
    <x v="1"/>
    <x v="2"/>
    <x v="5"/>
    <x v="0"/>
    <x v="1"/>
    <x v="30"/>
    <n v="58"/>
    <n v="53"/>
    <x v="115"/>
    <x v="0"/>
    <x v="15"/>
    <x v="8"/>
    <x v="41"/>
    <x v="30"/>
    <x v="40"/>
    <x v="48"/>
    <x v="0"/>
    <x v="0"/>
    <x v="0"/>
    <n v="180"/>
    <n v="16"/>
    <x v="0"/>
  </r>
  <r>
    <x v="0"/>
    <x v="1"/>
    <x v="4"/>
    <x v="1"/>
    <x v="1"/>
    <x v="18"/>
    <n v="95"/>
    <s v="None"/>
    <x v="23"/>
    <x v="0"/>
    <x v="20"/>
    <x v="27"/>
    <x v="47"/>
    <x v="18"/>
    <x v="6"/>
    <x v="44"/>
    <x v="0"/>
    <x v="0"/>
    <x v="0"/>
    <n v="180"/>
    <n v="10"/>
    <x v="0"/>
  </r>
  <r>
    <x v="0"/>
    <x v="3"/>
    <x v="5"/>
    <x v="1"/>
    <x v="0"/>
    <x v="48"/>
    <n v="67"/>
    <n v="63"/>
    <x v="115"/>
    <x v="0"/>
    <x v="25"/>
    <x v="10"/>
    <x v="13"/>
    <x v="48"/>
    <x v="32"/>
    <x v="39"/>
    <x v="0"/>
    <x v="0"/>
    <x v="0"/>
    <n v="180"/>
    <n v="17"/>
    <x v="0"/>
  </r>
  <r>
    <x v="0"/>
    <x v="2"/>
    <x v="2"/>
    <x v="0"/>
    <x v="1"/>
    <x v="38"/>
    <n v="54"/>
    <n v="67"/>
    <x v="115"/>
    <x v="0"/>
    <x v="29"/>
    <x v="28"/>
    <x v="8"/>
    <x v="38"/>
    <x v="44"/>
    <x v="35"/>
    <x v="0"/>
    <x v="0"/>
    <x v="0"/>
    <n v="180"/>
    <n v="13"/>
    <x v="0"/>
  </r>
  <r>
    <x v="0"/>
    <x v="2"/>
    <x v="5"/>
    <x v="1"/>
    <x v="1"/>
    <x v="48"/>
    <n v="66"/>
    <n v="64"/>
    <x v="115"/>
    <x v="0"/>
    <x v="17"/>
    <x v="11"/>
    <x v="18"/>
    <x v="48"/>
    <x v="30"/>
    <x v="34"/>
    <x v="0"/>
    <x v="0"/>
    <x v="0"/>
    <n v="180"/>
    <n v="16"/>
    <x v="0"/>
  </r>
  <r>
    <x v="0"/>
    <x v="3"/>
    <x v="3"/>
    <x v="0"/>
    <x v="1"/>
    <x v="48"/>
    <n v="64"/>
    <n v="66"/>
    <x v="115"/>
    <x v="0"/>
    <x v="33"/>
    <x v="2"/>
    <x v="34"/>
    <x v="48"/>
    <x v="34"/>
    <x v="36"/>
    <x v="0"/>
    <x v="0"/>
    <x v="0"/>
    <n v="180"/>
    <n v="16"/>
    <x v="0"/>
  </r>
  <r>
    <x v="0"/>
    <x v="3"/>
    <x v="5"/>
    <x v="0"/>
    <x v="0"/>
    <x v="42"/>
    <n v="62"/>
    <n v="59"/>
    <x v="116"/>
    <x v="0"/>
    <x v="4"/>
    <x v="7"/>
    <x v="1"/>
    <x v="42"/>
    <x v="36"/>
    <x v="40"/>
    <x v="0"/>
    <x v="0"/>
    <x v="0"/>
    <n v="179"/>
    <n v="4"/>
    <x v="0"/>
  </r>
  <r>
    <x v="0"/>
    <x v="1"/>
    <x v="5"/>
    <x v="0"/>
    <x v="1"/>
    <x v="41"/>
    <n v="58"/>
    <n v="64"/>
    <x v="116"/>
    <x v="0"/>
    <x v="1"/>
    <x v="13"/>
    <x v="7"/>
    <x v="41"/>
    <x v="40"/>
    <x v="34"/>
    <x v="0"/>
    <x v="0"/>
    <x v="0"/>
    <n v="179"/>
    <n v="7"/>
    <x v="0"/>
  </r>
  <r>
    <x v="0"/>
    <x v="1"/>
    <x v="5"/>
    <x v="0"/>
    <x v="0"/>
    <x v="52"/>
    <n v="66"/>
    <n v="62"/>
    <x v="116"/>
    <x v="0"/>
    <x v="14"/>
    <x v="10"/>
    <x v="11"/>
    <x v="52"/>
    <x v="30"/>
    <x v="38"/>
    <x v="0"/>
    <x v="0"/>
    <x v="0"/>
    <n v="179"/>
    <n v="15"/>
    <x v="0"/>
  </r>
  <r>
    <x v="0"/>
    <x v="4"/>
    <x v="2"/>
    <x v="0"/>
    <x v="0"/>
    <x v="53"/>
    <n v="66"/>
    <n v="65"/>
    <x v="116"/>
    <x v="0"/>
    <x v="32"/>
    <x v="1"/>
    <x v="24"/>
    <x v="53"/>
    <x v="30"/>
    <x v="33"/>
    <x v="1"/>
    <x v="0"/>
    <x v="0"/>
    <n v="179"/>
    <n v="18"/>
    <x v="0"/>
  </r>
  <r>
    <x v="0"/>
    <x v="2"/>
    <x v="0"/>
    <x v="0"/>
    <x v="1"/>
    <x v="46"/>
    <n v="61"/>
    <n v="66"/>
    <x v="116"/>
    <x v="0"/>
    <x v="30"/>
    <x v="6"/>
    <x v="18"/>
    <x v="46"/>
    <x v="39"/>
    <x v="36"/>
    <x v="0"/>
    <x v="0"/>
    <x v="0"/>
    <n v="179"/>
    <n v="14"/>
    <x v="0"/>
  </r>
  <r>
    <x v="1"/>
    <x v="3"/>
    <x v="3"/>
    <x v="0"/>
    <x v="0"/>
    <x v="30"/>
    <n v="54"/>
    <n v="55"/>
    <x v="117"/>
    <x v="0"/>
    <x v="22"/>
    <x v="4"/>
    <x v="15"/>
    <x v="30"/>
    <x v="44"/>
    <x v="49"/>
    <x v="0"/>
    <x v="0"/>
    <x v="0"/>
    <n v="178"/>
    <n v="15"/>
    <x v="0"/>
  </r>
  <r>
    <x v="1"/>
    <x v="4"/>
    <x v="1"/>
    <x v="1"/>
    <x v="0"/>
    <x v="40"/>
    <n v="61"/>
    <n v="55"/>
    <x v="117"/>
    <x v="0"/>
    <x v="28"/>
    <x v="16"/>
    <x v="5"/>
    <x v="40"/>
    <x v="39"/>
    <x v="49"/>
    <x v="0"/>
    <x v="0"/>
    <x v="0"/>
    <n v="178"/>
    <n v="7"/>
    <x v="0"/>
  </r>
  <r>
    <x v="1"/>
    <x v="2"/>
    <x v="3"/>
    <x v="1"/>
    <x v="0"/>
    <x v="39"/>
    <n v="61"/>
    <n v="54"/>
    <x v="117"/>
    <x v="0"/>
    <x v="19"/>
    <x v="3"/>
    <x v="14"/>
    <x v="39"/>
    <x v="39"/>
    <x v="45"/>
    <x v="0"/>
    <x v="0"/>
    <x v="0"/>
    <n v="178"/>
    <n v="9"/>
    <x v="0"/>
  </r>
  <r>
    <x v="0"/>
    <x v="2"/>
    <x v="4"/>
    <x v="1"/>
    <x v="0"/>
    <x v="46"/>
    <n v="65"/>
    <n v="61"/>
    <x v="117"/>
    <x v="0"/>
    <x v="11"/>
    <x v="10"/>
    <x v="33"/>
    <x v="46"/>
    <x v="35"/>
    <x v="37"/>
    <x v="0"/>
    <x v="0"/>
    <x v="0"/>
    <n v="178"/>
    <n v="13"/>
    <x v="0"/>
  </r>
  <r>
    <x v="0"/>
    <x v="4"/>
    <x v="3"/>
    <x v="1"/>
    <x v="0"/>
    <x v="33"/>
    <n v="60"/>
    <n v="57"/>
    <x v="117"/>
    <x v="0"/>
    <x v="28"/>
    <x v="7"/>
    <x v="17"/>
    <x v="33"/>
    <x v="38"/>
    <x v="42"/>
    <x v="0"/>
    <x v="0"/>
    <x v="0"/>
    <n v="178"/>
    <n v="4"/>
    <x v="0"/>
  </r>
  <r>
    <x v="0"/>
    <x v="4"/>
    <x v="3"/>
    <x v="0"/>
    <x v="0"/>
    <x v="44"/>
    <n v="58"/>
    <n v="64"/>
    <x v="117"/>
    <x v="0"/>
    <x v="3"/>
    <x v="13"/>
    <x v="8"/>
    <x v="44"/>
    <x v="40"/>
    <x v="34"/>
    <x v="0"/>
    <x v="0"/>
    <x v="0"/>
    <n v="178"/>
    <n v="8"/>
    <x v="0"/>
  </r>
  <r>
    <x v="1"/>
    <x v="2"/>
    <x v="3"/>
    <x v="0"/>
    <x v="0"/>
    <x v="38"/>
    <n v="60"/>
    <n v="58"/>
    <x v="118"/>
    <x v="0"/>
    <x v="1"/>
    <x v="11"/>
    <x v="4"/>
    <x v="38"/>
    <x v="38"/>
    <x v="43"/>
    <x v="0"/>
    <x v="0"/>
    <x v="0"/>
    <n v="177"/>
    <n v="2"/>
    <x v="0"/>
  </r>
  <r>
    <x v="1"/>
    <x v="4"/>
    <x v="2"/>
    <x v="1"/>
    <x v="0"/>
    <x v="35"/>
    <n v="59"/>
    <n v="53"/>
    <x v="118"/>
    <x v="0"/>
    <x v="12"/>
    <x v="16"/>
    <x v="31"/>
    <x v="35"/>
    <x v="42"/>
    <x v="48"/>
    <x v="0"/>
    <x v="0"/>
    <x v="0"/>
    <n v="177"/>
    <n v="12"/>
    <x v="0"/>
  </r>
  <r>
    <x v="1"/>
    <x v="2"/>
    <x v="5"/>
    <x v="0"/>
    <x v="0"/>
    <x v="28"/>
    <n v="56"/>
    <n v="51"/>
    <x v="118"/>
    <x v="0"/>
    <x v="31"/>
    <x v="8"/>
    <x v="49"/>
    <x v="28"/>
    <x v="43"/>
    <x v="50"/>
    <x v="0"/>
    <x v="0"/>
    <x v="0"/>
    <n v="177"/>
    <n v="19"/>
    <x v="0"/>
  </r>
  <r>
    <x v="0"/>
    <x v="3"/>
    <x v="2"/>
    <x v="0"/>
    <x v="1"/>
    <x v="50"/>
    <n v="61"/>
    <n v="62"/>
    <x v="118"/>
    <x v="0"/>
    <x v="7"/>
    <x v="4"/>
    <x v="8"/>
    <x v="50"/>
    <x v="39"/>
    <x v="38"/>
    <x v="0"/>
    <x v="0"/>
    <x v="0"/>
    <n v="177"/>
    <n v="8"/>
    <x v="0"/>
  </r>
  <r>
    <x v="1"/>
    <x v="2"/>
    <x v="2"/>
    <x v="1"/>
    <x v="1"/>
    <x v="44"/>
    <n v="61"/>
    <n v="60"/>
    <x v="118"/>
    <x v="0"/>
    <x v="6"/>
    <x v="1"/>
    <x v="3"/>
    <x v="44"/>
    <x v="39"/>
    <x v="41"/>
    <x v="0"/>
    <x v="0"/>
    <x v="0"/>
    <n v="177"/>
    <n v="5"/>
    <x v="0"/>
  </r>
  <r>
    <x v="0"/>
    <x v="1"/>
    <x v="4"/>
    <x v="0"/>
    <x v="0"/>
    <x v="50"/>
    <n v="60"/>
    <n v="63"/>
    <x v="118"/>
    <x v="0"/>
    <x v="26"/>
    <x v="5"/>
    <x v="33"/>
    <x v="50"/>
    <x v="38"/>
    <x v="39"/>
    <x v="0"/>
    <x v="0"/>
    <x v="0"/>
    <n v="177"/>
    <n v="9"/>
    <x v="0"/>
  </r>
  <r>
    <x v="1"/>
    <x v="2"/>
    <x v="3"/>
    <x v="0"/>
    <x v="0"/>
    <x v="36"/>
    <n v="59"/>
    <n v="52"/>
    <x v="118"/>
    <x v="0"/>
    <x v="18"/>
    <x v="3"/>
    <x v="15"/>
    <x v="36"/>
    <x v="42"/>
    <x v="51"/>
    <x v="0"/>
    <x v="0"/>
    <x v="0"/>
    <n v="177"/>
    <n v="14"/>
    <x v="0"/>
  </r>
  <r>
    <x v="1"/>
    <x v="4"/>
    <x v="1"/>
    <x v="0"/>
    <x v="0"/>
    <x v="31"/>
    <n v="57"/>
    <n v="53"/>
    <x v="118"/>
    <x v="0"/>
    <x v="24"/>
    <x v="10"/>
    <x v="15"/>
    <x v="31"/>
    <x v="41"/>
    <x v="48"/>
    <x v="0"/>
    <x v="0"/>
    <x v="0"/>
    <n v="177"/>
    <n v="14"/>
    <x v="0"/>
  </r>
  <r>
    <x v="0"/>
    <x v="3"/>
    <x v="1"/>
    <x v="0"/>
    <x v="0"/>
    <x v="47"/>
    <n v="58"/>
    <n v="65"/>
    <x v="119"/>
    <x v="0"/>
    <x v="6"/>
    <x v="20"/>
    <x v="22"/>
    <x v="47"/>
    <x v="40"/>
    <x v="33"/>
    <x v="0"/>
    <x v="0"/>
    <x v="0"/>
    <n v="176"/>
    <n v="12"/>
    <x v="0"/>
  </r>
  <r>
    <x v="1"/>
    <x v="3"/>
    <x v="1"/>
    <x v="0"/>
    <x v="0"/>
    <x v="35"/>
    <n v="54"/>
    <n v="57"/>
    <x v="119"/>
    <x v="0"/>
    <x v="15"/>
    <x v="5"/>
    <x v="19"/>
    <x v="35"/>
    <x v="44"/>
    <x v="42"/>
    <x v="0"/>
    <x v="0"/>
    <x v="0"/>
    <n v="176"/>
    <n v="11"/>
    <x v="0"/>
  </r>
  <r>
    <x v="0"/>
    <x v="1"/>
    <x v="2"/>
    <x v="0"/>
    <x v="0"/>
    <x v="38"/>
    <n v="58"/>
    <n v="59"/>
    <x v="119"/>
    <x v="0"/>
    <x v="28"/>
    <x v="4"/>
    <x v="0"/>
    <x v="38"/>
    <x v="40"/>
    <x v="40"/>
    <x v="0"/>
    <x v="0"/>
    <x v="0"/>
    <n v="176"/>
    <n v="1"/>
    <x v="0"/>
  </r>
  <r>
    <x v="1"/>
    <x v="1"/>
    <x v="5"/>
    <x v="1"/>
    <x v="0"/>
    <x v="39"/>
    <n v="57"/>
    <n v="56"/>
    <x v="119"/>
    <x v="0"/>
    <x v="12"/>
    <x v="1"/>
    <x v="5"/>
    <x v="39"/>
    <x v="41"/>
    <x v="47"/>
    <x v="0"/>
    <x v="0"/>
    <x v="0"/>
    <n v="176"/>
    <n v="7"/>
    <x v="0"/>
  </r>
  <r>
    <x v="0"/>
    <x v="2"/>
    <x v="3"/>
    <x v="1"/>
    <x v="0"/>
    <x v="54"/>
    <n v="64"/>
    <n v="66"/>
    <x v="119"/>
    <x v="0"/>
    <x v="32"/>
    <x v="2"/>
    <x v="44"/>
    <x v="54"/>
    <x v="34"/>
    <x v="36"/>
    <x v="1"/>
    <x v="0"/>
    <x v="0"/>
    <n v="176"/>
    <n v="20"/>
    <x v="0"/>
  </r>
  <r>
    <x v="0"/>
    <x v="2"/>
    <x v="1"/>
    <x v="1"/>
    <x v="0"/>
    <x v="47"/>
    <n v="61"/>
    <n v="62"/>
    <x v="119"/>
    <x v="0"/>
    <x v="8"/>
    <x v="4"/>
    <x v="33"/>
    <x v="47"/>
    <x v="39"/>
    <x v="38"/>
    <x v="0"/>
    <x v="0"/>
    <x v="0"/>
    <n v="176"/>
    <n v="9"/>
    <x v="0"/>
  </r>
  <r>
    <x v="1"/>
    <x v="0"/>
    <x v="2"/>
    <x v="0"/>
    <x v="1"/>
    <x v="37"/>
    <n v="51"/>
    <n v="57"/>
    <x v="119"/>
    <x v="0"/>
    <x v="37"/>
    <x v="13"/>
    <x v="32"/>
    <x v="37"/>
    <x v="46"/>
    <x v="42"/>
    <x v="0"/>
    <x v="0"/>
    <x v="0"/>
    <n v="176"/>
    <n v="17"/>
    <x v="0"/>
  </r>
  <r>
    <x v="1"/>
    <x v="2"/>
    <x v="5"/>
    <x v="1"/>
    <x v="0"/>
    <x v="33"/>
    <n v="60"/>
    <n v="55"/>
    <x v="119"/>
    <x v="0"/>
    <x v="28"/>
    <x v="8"/>
    <x v="16"/>
    <x v="33"/>
    <x v="38"/>
    <x v="49"/>
    <x v="0"/>
    <x v="0"/>
    <x v="0"/>
    <n v="176"/>
    <n v="6"/>
    <x v="0"/>
  </r>
  <r>
    <x v="0"/>
    <x v="1"/>
    <x v="3"/>
    <x v="1"/>
    <x v="1"/>
    <x v="46"/>
    <n v="59"/>
    <n v="65"/>
    <x v="119"/>
    <x v="0"/>
    <x v="7"/>
    <x v="13"/>
    <x v="13"/>
    <x v="46"/>
    <x v="42"/>
    <x v="33"/>
    <x v="0"/>
    <x v="0"/>
    <x v="0"/>
    <n v="176"/>
    <n v="13"/>
    <x v="0"/>
  </r>
  <r>
    <x v="1"/>
    <x v="1"/>
    <x v="3"/>
    <x v="0"/>
    <x v="1"/>
    <x v="42"/>
    <n v="59"/>
    <n v="58"/>
    <x v="120"/>
    <x v="0"/>
    <x v="1"/>
    <x v="1"/>
    <x v="0"/>
    <x v="42"/>
    <x v="42"/>
    <x v="43"/>
    <x v="0"/>
    <x v="0"/>
    <x v="0"/>
    <n v="175"/>
    <n v="1"/>
    <x v="0"/>
  </r>
  <r>
    <x v="0"/>
    <x v="1"/>
    <x v="2"/>
    <x v="0"/>
    <x v="0"/>
    <x v="52"/>
    <n v="63"/>
    <n v="61"/>
    <x v="120"/>
    <x v="0"/>
    <x v="27"/>
    <x v="11"/>
    <x v="23"/>
    <x v="52"/>
    <x v="37"/>
    <x v="37"/>
    <x v="0"/>
    <x v="0"/>
    <x v="0"/>
    <n v="175"/>
    <n v="12"/>
    <x v="0"/>
  </r>
  <r>
    <x v="1"/>
    <x v="0"/>
    <x v="3"/>
    <x v="0"/>
    <x v="0"/>
    <x v="36"/>
    <n v="57"/>
    <n v="52"/>
    <x v="120"/>
    <x v="0"/>
    <x v="23"/>
    <x v="8"/>
    <x v="15"/>
    <x v="36"/>
    <x v="41"/>
    <x v="51"/>
    <x v="0"/>
    <x v="0"/>
    <x v="0"/>
    <n v="175"/>
    <n v="14"/>
    <x v="0"/>
  </r>
  <r>
    <x v="0"/>
    <x v="2"/>
    <x v="5"/>
    <x v="0"/>
    <x v="0"/>
    <x v="50"/>
    <n v="59"/>
    <n v="62"/>
    <x v="120"/>
    <x v="0"/>
    <x v="6"/>
    <x v="5"/>
    <x v="8"/>
    <x v="50"/>
    <x v="42"/>
    <x v="38"/>
    <x v="0"/>
    <x v="0"/>
    <x v="0"/>
    <n v="175"/>
    <n v="8"/>
    <x v="0"/>
  </r>
  <r>
    <x v="1"/>
    <x v="4"/>
    <x v="3"/>
    <x v="1"/>
    <x v="0"/>
    <x v="42"/>
    <n v="60"/>
    <n v="57"/>
    <x v="120"/>
    <x v="0"/>
    <x v="3"/>
    <x v="7"/>
    <x v="4"/>
    <x v="42"/>
    <x v="38"/>
    <x v="42"/>
    <x v="0"/>
    <x v="0"/>
    <x v="0"/>
    <n v="175"/>
    <n v="3"/>
    <x v="0"/>
  </r>
  <r>
    <x v="1"/>
    <x v="3"/>
    <x v="2"/>
    <x v="0"/>
    <x v="0"/>
    <x v="37"/>
    <n v="54"/>
    <n v="53"/>
    <x v="120"/>
    <x v="0"/>
    <x v="31"/>
    <x v="1"/>
    <x v="26"/>
    <x v="37"/>
    <x v="44"/>
    <x v="48"/>
    <x v="0"/>
    <x v="0"/>
    <x v="0"/>
    <n v="175"/>
    <n v="15"/>
    <x v="0"/>
  </r>
  <r>
    <x v="0"/>
    <x v="2"/>
    <x v="0"/>
    <x v="1"/>
    <x v="1"/>
    <x v="55"/>
    <n v="62"/>
    <n v="66"/>
    <x v="120"/>
    <x v="0"/>
    <x v="14"/>
    <x v="12"/>
    <x v="37"/>
    <x v="55"/>
    <x v="36"/>
    <x v="36"/>
    <x v="1"/>
    <x v="0"/>
    <x v="0"/>
    <n v="175"/>
    <n v="19"/>
    <x v="0"/>
  </r>
  <r>
    <x v="0"/>
    <x v="1"/>
    <x v="3"/>
    <x v="1"/>
    <x v="0"/>
    <x v="56"/>
    <n v="65"/>
    <n v="61"/>
    <x v="120"/>
    <x v="0"/>
    <x v="17"/>
    <x v="10"/>
    <x v="22"/>
    <x v="56"/>
    <x v="35"/>
    <x v="37"/>
    <x v="1"/>
    <x v="0"/>
    <x v="0"/>
    <n v="175"/>
    <n v="16"/>
    <x v="0"/>
  </r>
  <r>
    <x v="1"/>
    <x v="2"/>
    <x v="2"/>
    <x v="1"/>
    <x v="0"/>
    <x v="33"/>
    <n v="57"/>
    <n v="56"/>
    <x v="121"/>
    <x v="0"/>
    <x v="13"/>
    <x v="1"/>
    <x v="30"/>
    <x v="33"/>
    <x v="41"/>
    <x v="47"/>
    <x v="0"/>
    <x v="0"/>
    <x v="0"/>
    <n v="174"/>
    <n v="5"/>
    <x v="0"/>
  </r>
  <r>
    <x v="1"/>
    <x v="3"/>
    <x v="2"/>
    <x v="0"/>
    <x v="1"/>
    <x v="34"/>
    <n v="53"/>
    <n v="57"/>
    <x v="121"/>
    <x v="0"/>
    <x v="15"/>
    <x v="12"/>
    <x v="5"/>
    <x v="34"/>
    <x v="47"/>
    <x v="42"/>
    <x v="0"/>
    <x v="0"/>
    <x v="0"/>
    <n v="174"/>
    <n v="11"/>
    <x v="0"/>
  </r>
  <r>
    <x v="0"/>
    <x v="2"/>
    <x v="1"/>
    <x v="1"/>
    <x v="0"/>
    <x v="50"/>
    <n v="58"/>
    <n v="61"/>
    <x v="122"/>
    <x v="0"/>
    <x v="4"/>
    <x v="5"/>
    <x v="7"/>
    <x v="50"/>
    <x v="40"/>
    <x v="37"/>
    <x v="0"/>
    <x v="0"/>
    <x v="0"/>
    <n v="173"/>
    <n v="7"/>
    <x v="0"/>
  </r>
  <r>
    <x v="0"/>
    <x v="1"/>
    <x v="2"/>
    <x v="1"/>
    <x v="0"/>
    <x v="48"/>
    <n v="64"/>
    <n v="59"/>
    <x v="122"/>
    <x v="0"/>
    <x v="33"/>
    <x v="8"/>
    <x v="33"/>
    <x v="48"/>
    <x v="34"/>
    <x v="40"/>
    <x v="0"/>
    <x v="0"/>
    <x v="0"/>
    <n v="173"/>
    <n v="14"/>
    <x v="0"/>
  </r>
  <r>
    <x v="1"/>
    <x v="3"/>
    <x v="2"/>
    <x v="0"/>
    <x v="1"/>
    <x v="33"/>
    <n v="56"/>
    <n v="56"/>
    <x v="122"/>
    <x v="0"/>
    <x v="29"/>
    <x v="0"/>
    <x v="30"/>
    <x v="33"/>
    <x v="43"/>
    <x v="47"/>
    <x v="0"/>
    <x v="0"/>
    <x v="0"/>
    <n v="173"/>
    <n v="5"/>
    <x v="0"/>
  </r>
  <r>
    <x v="1"/>
    <x v="3"/>
    <x v="3"/>
    <x v="0"/>
    <x v="1"/>
    <x v="10"/>
    <n v="85"/>
    <s v="None"/>
    <x v="123"/>
    <x v="0"/>
    <x v="5"/>
    <x v="27"/>
    <x v="47"/>
    <x v="10"/>
    <x v="15"/>
    <x v="44"/>
    <x v="0"/>
    <x v="0"/>
    <x v="0"/>
    <n v="173"/>
    <n v="3"/>
    <x v="0"/>
  </r>
  <r>
    <x v="1"/>
    <x v="1"/>
    <x v="2"/>
    <x v="0"/>
    <x v="0"/>
    <x v="43"/>
    <n v="59"/>
    <n v="54"/>
    <x v="122"/>
    <x v="0"/>
    <x v="28"/>
    <x v="8"/>
    <x v="16"/>
    <x v="43"/>
    <x v="42"/>
    <x v="45"/>
    <x v="0"/>
    <x v="0"/>
    <x v="0"/>
    <n v="173"/>
    <n v="6"/>
    <x v="0"/>
  </r>
  <r>
    <x v="0"/>
    <x v="2"/>
    <x v="1"/>
    <x v="0"/>
    <x v="1"/>
    <x v="16"/>
    <s v="None"/>
    <n v="90"/>
    <x v="123"/>
    <x v="0"/>
    <x v="49"/>
    <x v="27"/>
    <x v="7"/>
    <x v="16"/>
    <x v="48"/>
    <x v="6"/>
    <x v="0"/>
    <x v="0"/>
    <x v="0"/>
    <n v="173"/>
    <n v="7"/>
    <x v="0"/>
  </r>
  <r>
    <x v="1"/>
    <x v="1"/>
    <x v="2"/>
    <x v="1"/>
    <x v="1"/>
    <x v="45"/>
    <n v="59"/>
    <n v="59"/>
    <x v="122"/>
    <x v="0"/>
    <x v="4"/>
    <x v="0"/>
    <x v="3"/>
    <x v="45"/>
    <x v="42"/>
    <x v="40"/>
    <x v="0"/>
    <x v="0"/>
    <x v="0"/>
    <n v="173"/>
    <n v="4"/>
    <x v="0"/>
  </r>
  <r>
    <x v="0"/>
    <x v="2"/>
    <x v="1"/>
    <x v="0"/>
    <x v="1"/>
    <x v="46"/>
    <n v="59"/>
    <n v="62"/>
    <x v="122"/>
    <x v="0"/>
    <x v="7"/>
    <x v="5"/>
    <x v="23"/>
    <x v="46"/>
    <x v="42"/>
    <x v="38"/>
    <x v="0"/>
    <x v="0"/>
    <x v="0"/>
    <n v="173"/>
    <n v="10"/>
    <x v="0"/>
  </r>
  <r>
    <x v="1"/>
    <x v="2"/>
    <x v="2"/>
    <x v="0"/>
    <x v="0"/>
    <x v="34"/>
    <n v="58"/>
    <n v="51"/>
    <x v="122"/>
    <x v="0"/>
    <x v="12"/>
    <x v="3"/>
    <x v="35"/>
    <x v="34"/>
    <x v="40"/>
    <x v="50"/>
    <x v="0"/>
    <x v="0"/>
    <x v="0"/>
    <n v="173"/>
    <n v="13"/>
    <x v="0"/>
  </r>
  <r>
    <x v="0"/>
    <x v="2"/>
    <x v="1"/>
    <x v="0"/>
    <x v="0"/>
    <x v="50"/>
    <n v="61"/>
    <n v="58"/>
    <x v="122"/>
    <x v="0"/>
    <x v="7"/>
    <x v="7"/>
    <x v="3"/>
    <x v="50"/>
    <x v="39"/>
    <x v="43"/>
    <x v="0"/>
    <x v="0"/>
    <x v="0"/>
    <n v="173"/>
    <n v="7"/>
    <x v="0"/>
  </r>
  <r>
    <x v="1"/>
    <x v="0"/>
    <x v="2"/>
    <x v="0"/>
    <x v="0"/>
    <x v="5"/>
    <s v="None"/>
    <n v="78"/>
    <x v="35"/>
    <x v="0"/>
    <x v="49"/>
    <x v="27"/>
    <x v="41"/>
    <x v="5"/>
    <x v="48"/>
    <x v="20"/>
    <x v="0"/>
    <x v="0"/>
    <x v="0"/>
    <n v="172"/>
    <n v="16"/>
    <x v="0"/>
  </r>
  <r>
    <x v="0"/>
    <x v="1"/>
    <x v="4"/>
    <x v="1"/>
    <x v="1"/>
    <x v="55"/>
    <n v="58"/>
    <n v="67"/>
    <x v="124"/>
    <x v="0"/>
    <x v="10"/>
    <x v="18"/>
    <x v="44"/>
    <x v="55"/>
    <x v="40"/>
    <x v="35"/>
    <x v="1"/>
    <x v="0"/>
    <x v="0"/>
    <n v="172"/>
    <n v="20"/>
    <x v="0"/>
  </r>
  <r>
    <x v="1"/>
    <x v="2"/>
    <x v="5"/>
    <x v="0"/>
    <x v="0"/>
    <x v="33"/>
    <n v="56"/>
    <n v="55"/>
    <x v="124"/>
    <x v="0"/>
    <x v="29"/>
    <x v="1"/>
    <x v="16"/>
    <x v="33"/>
    <x v="43"/>
    <x v="49"/>
    <x v="0"/>
    <x v="0"/>
    <x v="0"/>
    <n v="172"/>
    <n v="6"/>
    <x v="0"/>
  </r>
  <r>
    <x v="1"/>
    <x v="2"/>
    <x v="3"/>
    <x v="1"/>
    <x v="0"/>
    <x v="35"/>
    <n v="58"/>
    <n v="49"/>
    <x v="124"/>
    <x v="0"/>
    <x v="18"/>
    <x v="15"/>
    <x v="41"/>
    <x v="35"/>
    <x v="40"/>
    <x v="52"/>
    <x v="0"/>
    <x v="0"/>
    <x v="1"/>
    <n v="172"/>
    <n v="16"/>
    <x v="0"/>
  </r>
  <r>
    <x v="1"/>
    <x v="1"/>
    <x v="3"/>
    <x v="0"/>
    <x v="0"/>
    <x v="29"/>
    <n v="49"/>
    <n v="52"/>
    <x v="124"/>
    <x v="0"/>
    <x v="50"/>
    <x v="5"/>
    <x v="49"/>
    <x v="29"/>
    <x v="49"/>
    <x v="51"/>
    <x v="0"/>
    <x v="1"/>
    <x v="0"/>
    <n v="172"/>
    <n v="22"/>
    <x v="0"/>
  </r>
  <r>
    <x v="1"/>
    <x v="2"/>
    <x v="2"/>
    <x v="0"/>
    <x v="0"/>
    <x v="41"/>
    <n v="61"/>
    <n v="54"/>
    <x v="124"/>
    <x v="0"/>
    <x v="4"/>
    <x v="3"/>
    <x v="9"/>
    <x v="41"/>
    <x v="39"/>
    <x v="45"/>
    <x v="0"/>
    <x v="0"/>
    <x v="0"/>
    <n v="172"/>
    <n v="7"/>
    <x v="0"/>
  </r>
  <r>
    <x v="1"/>
    <x v="0"/>
    <x v="1"/>
    <x v="1"/>
    <x v="0"/>
    <x v="34"/>
    <n v="56"/>
    <n v="52"/>
    <x v="124"/>
    <x v="0"/>
    <x v="9"/>
    <x v="10"/>
    <x v="31"/>
    <x v="34"/>
    <x v="43"/>
    <x v="51"/>
    <x v="0"/>
    <x v="0"/>
    <x v="0"/>
    <n v="172"/>
    <n v="12"/>
    <x v="0"/>
  </r>
  <r>
    <x v="0"/>
    <x v="0"/>
    <x v="5"/>
    <x v="1"/>
    <x v="0"/>
    <x v="41"/>
    <n v="58"/>
    <n v="57"/>
    <x v="124"/>
    <x v="0"/>
    <x v="1"/>
    <x v="1"/>
    <x v="0"/>
    <x v="41"/>
    <x v="40"/>
    <x v="42"/>
    <x v="0"/>
    <x v="0"/>
    <x v="0"/>
    <n v="172"/>
    <n v="1"/>
    <x v="0"/>
  </r>
  <r>
    <x v="1"/>
    <x v="2"/>
    <x v="5"/>
    <x v="1"/>
    <x v="0"/>
    <x v="40"/>
    <n v="55"/>
    <n v="55"/>
    <x v="124"/>
    <x v="0"/>
    <x v="18"/>
    <x v="0"/>
    <x v="5"/>
    <x v="40"/>
    <x v="45"/>
    <x v="49"/>
    <x v="0"/>
    <x v="0"/>
    <x v="0"/>
    <n v="172"/>
    <n v="7"/>
    <x v="0"/>
  </r>
  <r>
    <x v="1"/>
    <x v="0"/>
    <x v="1"/>
    <x v="0"/>
    <x v="1"/>
    <x v="40"/>
    <n v="56"/>
    <n v="53"/>
    <x v="125"/>
    <x v="0"/>
    <x v="12"/>
    <x v="7"/>
    <x v="14"/>
    <x v="40"/>
    <x v="43"/>
    <x v="48"/>
    <x v="0"/>
    <x v="0"/>
    <x v="0"/>
    <n v="171"/>
    <n v="9"/>
    <x v="0"/>
  </r>
  <r>
    <x v="1"/>
    <x v="2"/>
    <x v="5"/>
    <x v="1"/>
    <x v="0"/>
    <x v="42"/>
    <n v="61"/>
    <n v="52"/>
    <x v="125"/>
    <x v="0"/>
    <x v="2"/>
    <x v="15"/>
    <x v="16"/>
    <x v="42"/>
    <x v="39"/>
    <x v="51"/>
    <x v="0"/>
    <x v="0"/>
    <x v="0"/>
    <n v="171"/>
    <n v="9"/>
    <x v="0"/>
  </r>
  <r>
    <x v="0"/>
    <x v="2"/>
    <x v="0"/>
    <x v="0"/>
    <x v="0"/>
    <x v="15"/>
    <s v="None"/>
    <n v="90"/>
    <x v="126"/>
    <x v="0"/>
    <x v="49"/>
    <x v="27"/>
    <x v="33"/>
    <x v="15"/>
    <x v="48"/>
    <x v="6"/>
    <x v="0"/>
    <x v="0"/>
    <x v="0"/>
    <n v="171"/>
    <n v="9"/>
    <x v="0"/>
  </r>
  <r>
    <x v="0"/>
    <x v="2"/>
    <x v="3"/>
    <x v="0"/>
    <x v="0"/>
    <x v="47"/>
    <n v="62"/>
    <n v="56"/>
    <x v="125"/>
    <x v="0"/>
    <x v="30"/>
    <x v="16"/>
    <x v="2"/>
    <x v="47"/>
    <x v="36"/>
    <x v="47"/>
    <x v="0"/>
    <x v="0"/>
    <x v="0"/>
    <n v="171"/>
    <n v="9"/>
    <x v="0"/>
  </r>
  <r>
    <x v="1"/>
    <x v="3"/>
    <x v="5"/>
    <x v="0"/>
    <x v="0"/>
    <x v="40"/>
    <n v="55"/>
    <n v="54"/>
    <x v="125"/>
    <x v="0"/>
    <x v="18"/>
    <x v="1"/>
    <x v="19"/>
    <x v="40"/>
    <x v="45"/>
    <x v="45"/>
    <x v="0"/>
    <x v="0"/>
    <x v="0"/>
    <n v="171"/>
    <n v="8"/>
    <x v="0"/>
  </r>
  <r>
    <x v="1"/>
    <x v="3"/>
    <x v="3"/>
    <x v="0"/>
    <x v="1"/>
    <x v="9"/>
    <n v="84"/>
    <s v="None"/>
    <x v="126"/>
    <x v="0"/>
    <x v="5"/>
    <x v="27"/>
    <x v="47"/>
    <x v="9"/>
    <x v="13"/>
    <x v="44"/>
    <x v="0"/>
    <x v="0"/>
    <x v="0"/>
    <n v="171"/>
    <n v="3"/>
    <x v="0"/>
  </r>
  <r>
    <x v="1"/>
    <x v="3"/>
    <x v="1"/>
    <x v="1"/>
    <x v="0"/>
    <x v="41"/>
    <n v="56"/>
    <n v="57"/>
    <x v="127"/>
    <x v="0"/>
    <x v="28"/>
    <x v="4"/>
    <x v="0"/>
    <x v="41"/>
    <x v="43"/>
    <x v="42"/>
    <x v="0"/>
    <x v="0"/>
    <x v="0"/>
    <n v="170"/>
    <n v="1"/>
    <x v="0"/>
  </r>
  <r>
    <x v="1"/>
    <x v="2"/>
    <x v="1"/>
    <x v="1"/>
    <x v="0"/>
    <x v="45"/>
    <n v="61"/>
    <n v="54"/>
    <x v="127"/>
    <x v="0"/>
    <x v="26"/>
    <x v="3"/>
    <x v="4"/>
    <x v="45"/>
    <x v="39"/>
    <x v="45"/>
    <x v="0"/>
    <x v="0"/>
    <x v="0"/>
    <n v="170"/>
    <n v="7"/>
    <x v="0"/>
  </r>
  <r>
    <x v="0"/>
    <x v="2"/>
    <x v="2"/>
    <x v="1"/>
    <x v="1"/>
    <x v="48"/>
    <n v="60"/>
    <n v="60"/>
    <x v="127"/>
    <x v="0"/>
    <x v="20"/>
    <x v="0"/>
    <x v="23"/>
    <x v="48"/>
    <x v="38"/>
    <x v="41"/>
    <x v="0"/>
    <x v="0"/>
    <x v="0"/>
    <n v="170"/>
    <n v="10"/>
    <x v="0"/>
  </r>
  <r>
    <x v="0"/>
    <x v="3"/>
    <x v="5"/>
    <x v="0"/>
    <x v="0"/>
    <x v="53"/>
    <n v="62"/>
    <n v="60"/>
    <x v="127"/>
    <x v="0"/>
    <x v="33"/>
    <x v="11"/>
    <x v="22"/>
    <x v="53"/>
    <x v="36"/>
    <x v="41"/>
    <x v="1"/>
    <x v="0"/>
    <x v="0"/>
    <n v="170"/>
    <n v="14"/>
    <x v="0"/>
  </r>
  <r>
    <x v="0"/>
    <x v="4"/>
    <x v="3"/>
    <x v="1"/>
    <x v="0"/>
    <x v="56"/>
    <n v="65"/>
    <n v="55"/>
    <x v="128"/>
    <x v="0"/>
    <x v="17"/>
    <x v="9"/>
    <x v="6"/>
    <x v="56"/>
    <x v="35"/>
    <x v="49"/>
    <x v="1"/>
    <x v="0"/>
    <x v="0"/>
    <n v="169"/>
    <n v="16"/>
    <x v="0"/>
  </r>
  <r>
    <x v="1"/>
    <x v="2"/>
    <x v="1"/>
    <x v="0"/>
    <x v="1"/>
    <x v="52"/>
    <n v="60"/>
    <n v="58"/>
    <x v="128"/>
    <x v="0"/>
    <x v="30"/>
    <x v="11"/>
    <x v="7"/>
    <x v="52"/>
    <x v="38"/>
    <x v="43"/>
    <x v="0"/>
    <x v="0"/>
    <x v="0"/>
    <n v="169"/>
    <n v="9"/>
    <x v="0"/>
  </r>
  <r>
    <x v="0"/>
    <x v="2"/>
    <x v="0"/>
    <x v="1"/>
    <x v="0"/>
    <x v="57"/>
    <n v="63"/>
    <n v="62"/>
    <x v="128"/>
    <x v="0"/>
    <x v="35"/>
    <x v="1"/>
    <x v="27"/>
    <x v="57"/>
    <x v="37"/>
    <x v="38"/>
    <x v="1"/>
    <x v="0"/>
    <x v="0"/>
    <n v="169"/>
    <n v="19"/>
    <x v="0"/>
  </r>
  <r>
    <x v="1"/>
    <x v="2"/>
    <x v="3"/>
    <x v="1"/>
    <x v="0"/>
    <x v="42"/>
    <n v="57"/>
    <n v="54"/>
    <x v="128"/>
    <x v="0"/>
    <x v="28"/>
    <x v="7"/>
    <x v="17"/>
    <x v="42"/>
    <x v="41"/>
    <x v="45"/>
    <x v="0"/>
    <x v="0"/>
    <x v="0"/>
    <n v="169"/>
    <n v="4"/>
    <x v="0"/>
  </r>
  <r>
    <x v="0"/>
    <x v="2"/>
    <x v="0"/>
    <x v="1"/>
    <x v="0"/>
    <x v="48"/>
    <n v="60"/>
    <n v="59"/>
    <x v="128"/>
    <x v="0"/>
    <x v="20"/>
    <x v="1"/>
    <x v="33"/>
    <x v="48"/>
    <x v="38"/>
    <x v="40"/>
    <x v="0"/>
    <x v="0"/>
    <x v="0"/>
    <n v="169"/>
    <n v="10"/>
    <x v="0"/>
  </r>
  <r>
    <x v="0"/>
    <x v="1"/>
    <x v="2"/>
    <x v="1"/>
    <x v="1"/>
    <x v="58"/>
    <n v="65"/>
    <n v="64"/>
    <x v="128"/>
    <x v="0"/>
    <x v="40"/>
    <x v="1"/>
    <x v="46"/>
    <x v="58"/>
    <x v="35"/>
    <x v="34"/>
    <x v="1"/>
    <x v="0"/>
    <x v="0"/>
    <n v="169"/>
    <n v="25"/>
    <x v="0"/>
  </r>
  <r>
    <x v="1"/>
    <x v="1"/>
    <x v="1"/>
    <x v="0"/>
    <x v="0"/>
    <x v="33"/>
    <n v="55"/>
    <n v="52"/>
    <x v="129"/>
    <x v="0"/>
    <x v="12"/>
    <x v="7"/>
    <x v="14"/>
    <x v="33"/>
    <x v="45"/>
    <x v="51"/>
    <x v="0"/>
    <x v="0"/>
    <x v="0"/>
    <n v="168"/>
    <n v="9"/>
    <x v="0"/>
  </r>
  <r>
    <x v="0"/>
    <x v="2"/>
    <x v="3"/>
    <x v="0"/>
    <x v="0"/>
    <x v="46"/>
    <n v="58"/>
    <n v="58"/>
    <x v="129"/>
    <x v="0"/>
    <x v="26"/>
    <x v="0"/>
    <x v="6"/>
    <x v="46"/>
    <x v="40"/>
    <x v="43"/>
    <x v="0"/>
    <x v="0"/>
    <x v="0"/>
    <n v="168"/>
    <n v="6"/>
    <x v="0"/>
  </r>
  <r>
    <x v="1"/>
    <x v="3"/>
    <x v="0"/>
    <x v="1"/>
    <x v="0"/>
    <x v="45"/>
    <n v="59"/>
    <n v="54"/>
    <x v="129"/>
    <x v="0"/>
    <x v="4"/>
    <x v="8"/>
    <x v="4"/>
    <x v="45"/>
    <x v="42"/>
    <x v="45"/>
    <x v="0"/>
    <x v="0"/>
    <x v="0"/>
    <n v="168"/>
    <n v="5"/>
    <x v="0"/>
  </r>
  <r>
    <x v="1"/>
    <x v="1"/>
    <x v="5"/>
    <x v="1"/>
    <x v="0"/>
    <x v="43"/>
    <n v="57"/>
    <n v="51"/>
    <x v="129"/>
    <x v="0"/>
    <x v="5"/>
    <x v="16"/>
    <x v="14"/>
    <x v="43"/>
    <x v="41"/>
    <x v="50"/>
    <x v="0"/>
    <x v="0"/>
    <x v="0"/>
    <n v="168"/>
    <n v="9"/>
    <x v="0"/>
  </r>
  <r>
    <x v="0"/>
    <x v="2"/>
    <x v="2"/>
    <x v="0"/>
    <x v="0"/>
    <x v="56"/>
    <n v="63"/>
    <n v="56"/>
    <x v="129"/>
    <x v="0"/>
    <x v="33"/>
    <x v="3"/>
    <x v="7"/>
    <x v="56"/>
    <x v="37"/>
    <x v="47"/>
    <x v="1"/>
    <x v="0"/>
    <x v="0"/>
    <n v="168"/>
    <n v="14"/>
    <x v="0"/>
  </r>
  <r>
    <x v="0"/>
    <x v="0"/>
    <x v="3"/>
    <x v="1"/>
    <x v="0"/>
    <x v="47"/>
    <n v="58"/>
    <n v="57"/>
    <x v="129"/>
    <x v="0"/>
    <x v="6"/>
    <x v="1"/>
    <x v="3"/>
    <x v="47"/>
    <x v="40"/>
    <x v="42"/>
    <x v="0"/>
    <x v="0"/>
    <x v="0"/>
    <n v="168"/>
    <n v="5"/>
    <x v="0"/>
  </r>
  <r>
    <x v="0"/>
    <x v="4"/>
    <x v="0"/>
    <x v="0"/>
    <x v="0"/>
    <x v="49"/>
    <n v="59"/>
    <n v="64"/>
    <x v="129"/>
    <x v="0"/>
    <x v="33"/>
    <x v="6"/>
    <x v="37"/>
    <x v="49"/>
    <x v="42"/>
    <x v="34"/>
    <x v="1"/>
    <x v="0"/>
    <x v="0"/>
    <n v="168"/>
    <n v="19"/>
    <x v="0"/>
  </r>
  <r>
    <x v="1"/>
    <x v="3"/>
    <x v="1"/>
    <x v="1"/>
    <x v="1"/>
    <x v="42"/>
    <n v="57"/>
    <n v="53"/>
    <x v="129"/>
    <x v="0"/>
    <x v="28"/>
    <x v="10"/>
    <x v="30"/>
    <x v="42"/>
    <x v="41"/>
    <x v="48"/>
    <x v="0"/>
    <x v="0"/>
    <x v="0"/>
    <n v="168"/>
    <n v="5"/>
    <x v="0"/>
  </r>
  <r>
    <x v="1"/>
    <x v="1"/>
    <x v="5"/>
    <x v="0"/>
    <x v="0"/>
    <x v="34"/>
    <n v="54"/>
    <n v="50"/>
    <x v="129"/>
    <x v="0"/>
    <x v="24"/>
    <x v="10"/>
    <x v="15"/>
    <x v="34"/>
    <x v="44"/>
    <x v="46"/>
    <x v="0"/>
    <x v="0"/>
    <x v="0"/>
    <n v="168"/>
    <n v="14"/>
    <x v="0"/>
  </r>
  <r>
    <x v="0"/>
    <x v="2"/>
    <x v="1"/>
    <x v="0"/>
    <x v="0"/>
    <x v="47"/>
    <n v="62"/>
    <n v="53"/>
    <x v="129"/>
    <x v="0"/>
    <x v="30"/>
    <x v="15"/>
    <x v="0"/>
    <x v="47"/>
    <x v="36"/>
    <x v="48"/>
    <x v="0"/>
    <x v="0"/>
    <x v="0"/>
    <n v="168"/>
    <n v="9"/>
    <x v="0"/>
  </r>
  <r>
    <x v="1"/>
    <x v="2"/>
    <x v="1"/>
    <x v="1"/>
    <x v="1"/>
    <x v="43"/>
    <n v="51"/>
    <n v="56"/>
    <x v="130"/>
    <x v="0"/>
    <x v="23"/>
    <x v="6"/>
    <x v="17"/>
    <x v="43"/>
    <x v="46"/>
    <x v="47"/>
    <x v="0"/>
    <x v="0"/>
    <x v="0"/>
    <n v="167"/>
    <n v="9"/>
    <x v="0"/>
  </r>
  <r>
    <x v="1"/>
    <x v="4"/>
    <x v="0"/>
    <x v="1"/>
    <x v="1"/>
    <x v="56"/>
    <n v="58"/>
    <n v="60"/>
    <x v="130"/>
    <x v="0"/>
    <x v="30"/>
    <x v="2"/>
    <x v="11"/>
    <x v="56"/>
    <x v="40"/>
    <x v="41"/>
    <x v="1"/>
    <x v="0"/>
    <x v="0"/>
    <n v="167"/>
    <n v="11"/>
    <x v="0"/>
  </r>
  <r>
    <x v="1"/>
    <x v="2"/>
    <x v="1"/>
    <x v="0"/>
    <x v="1"/>
    <x v="41"/>
    <n v="54"/>
    <n v="56"/>
    <x v="130"/>
    <x v="0"/>
    <x v="5"/>
    <x v="2"/>
    <x v="4"/>
    <x v="41"/>
    <x v="44"/>
    <x v="47"/>
    <x v="0"/>
    <x v="0"/>
    <x v="0"/>
    <n v="167"/>
    <n v="3"/>
    <x v="0"/>
  </r>
  <r>
    <x v="1"/>
    <x v="0"/>
    <x v="5"/>
    <x v="1"/>
    <x v="1"/>
    <x v="41"/>
    <n v="56"/>
    <n v="54"/>
    <x v="130"/>
    <x v="0"/>
    <x v="28"/>
    <x v="11"/>
    <x v="9"/>
    <x v="41"/>
    <x v="43"/>
    <x v="45"/>
    <x v="0"/>
    <x v="0"/>
    <x v="0"/>
    <n v="167"/>
    <n v="3"/>
    <x v="0"/>
  </r>
  <r>
    <x v="0"/>
    <x v="1"/>
    <x v="1"/>
    <x v="1"/>
    <x v="0"/>
    <x v="46"/>
    <n v="59"/>
    <n v="56"/>
    <x v="130"/>
    <x v="0"/>
    <x v="7"/>
    <x v="7"/>
    <x v="3"/>
    <x v="46"/>
    <x v="42"/>
    <x v="47"/>
    <x v="0"/>
    <x v="0"/>
    <x v="0"/>
    <n v="167"/>
    <n v="7"/>
    <x v="0"/>
  </r>
  <r>
    <x v="0"/>
    <x v="1"/>
    <x v="3"/>
    <x v="1"/>
    <x v="0"/>
    <x v="56"/>
    <n v="58"/>
    <n v="60"/>
    <x v="130"/>
    <x v="0"/>
    <x v="30"/>
    <x v="2"/>
    <x v="11"/>
    <x v="56"/>
    <x v="40"/>
    <x v="41"/>
    <x v="1"/>
    <x v="0"/>
    <x v="0"/>
    <n v="167"/>
    <n v="11"/>
    <x v="0"/>
  </r>
  <r>
    <x v="0"/>
    <x v="1"/>
    <x v="5"/>
    <x v="0"/>
    <x v="0"/>
    <x v="49"/>
    <n v="63"/>
    <n v="59"/>
    <x v="130"/>
    <x v="0"/>
    <x v="32"/>
    <x v="10"/>
    <x v="18"/>
    <x v="49"/>
    <x v="37"/>
    <x v="40"/>
    <x v="1"/>
    <x v="0"/>
    <x v="0"/>
    <n v="167"/>
    <n v="18"/>
    <x v="0"/>
  </r>
  <r>
    <x v="1"/>
    <x v="2"/>
    <x v="5"/>
    <x v="0"/>
    <x v="0"/>
    <x v="40"/>
    <n v="55"/>
    <n v="49"/>
    <x v="131"/>
    <x v="0"/>
    <x v="18"/>
    <x v="16"/>
    <x v="35"/>
    <x v="40"/>
    <x v="45"/>
    <x v="52"/>
    <x v="0"/>
    <x v="0"/>
    <x v="1"/>
    <n v="166"/>
    <n v="13"/>
    <x v="0"/>
  </r>
  <r>
    <x v="1"/>
    <x v="2"/>
    <x v="0"/>
    <x v="1"/>
    <x v="0"/>
    <x v="47"/>
    <n v="58"/>
    <n v="55"/>
    <x v="131"/>
    <x v="0"/>
    <x v="6"/>
    <x v="7"/>
    <x v="12"/>
    <x v="47"/>
    <x v="40"/>
    <x v="49"/>
    <x v="0"/>
    <x v="0"/>
    <x v="0"/>
    <n v="166"/>
    <n v="5"/>
    <x v="0"/>
  </r>
  <r>
    <x v="1"/>
    <x v="2"/>
    <x v="1"/>
    <x v="1"/>
    <x v="0"/>
    <x v="42"/>
    <n v="55"/>
    <n v="53"/>
    <x v="131"/>
    <x v="0"/>
    <x v="5"/>
    <x v="11"/>
    <x v="30"/>
    <x v="42"/>
    <x v="45"/>
    <x v="48"/>
    <x v="0"/>
    <x v="0"/>
    <x v="0"/>
    <n v="166"/>
    <n v="5"/>
    <x v="0"/>
  </r>
  <r>
    <x v="0"/>
    <x v="2"/>
    <x v="0"/>
    <x v="1"/>
    <x v="0"/>
    <x v="59"/>
    <n v="62"/>
    <n v="61"/>
    <x v="131"/>
    <x v="0"/>
    <x v="35"/>
    <x v="1"/>
    <x v="27"/>
    <x v="59"/>
    <x v="36"/>
    <x v="37"/>
    <x v="1"/>
    <x v="0"/>
    <x v="0"/>
    <n v="166"/>
    <n v="19"/>
    <x v="0"/>
  </r>
  <r>
    <x v="0"/>
    <x v="1"/>
    <x v="5"/>
    <x v="1"/>
    <x v="1"/>
    <x v="46"/>
    <n v="57"/>
    <n v="56"/>
    <x v="132"/>
    <x v="0"/>
    <x v="6"/>
    <x v="1"/>
    <x v="3"/>
    <x v="46"/>
    <x v="41"/>
    <x v="47"/>
    <x v="0"/>
    <x v="0"/>
    <x v="0"/>
    <n v="165"/>
    <n v="5"/>
    <x v="0"/>
  </r>
  <r>
    <x v="0"/>
    <x v="0"/>
    <x v="2"/>
    <x v="0"/>
    <x v="1"/>
    <x v="23"/>
    <n v="85"/>
    <s v="None"/>
    <x v="133"/>
    <x v="0"/>
    <x v="6"/>
    <x v="27"/>
    <x v="47"/>
    <x v="23"/>
    <x v="15"/>
    <x v="44"/>
    <x v="0"/>
    <x v="0"/>
    <x v="0"/>
    <n v="165"/>
    <n v="5"/>
    <x v="0"/>
  </r>
  <r>
    <x v="1"/>
    <x v="1"/>
    <x v="3"/>
    <x v="0"/>
    <x v="0"/>
    <x v="45"/>
    <n v="58"/>
    <n v="52"/>
    <x v="132"/>
    <x v="0"/>
    <x v="2"/>
    <x v="16"/>
    <x v="9"/>
    <x v="45"/>
    <x v="40"/>
    <x v="51"/>
    <x v="0"/>
    <x v="0"/>
    <x v="0"/>
    <n v="165"/>
    <n v="6"/>
    <x v="0"/>
  </r>
  <r>
    <x v="1"/>
    <x v="2"/>
    <x v="1"/>
    <x v="0"/>
    <x v="0"/>
    <x v="42"/>
    <n v="54"/>
    <n v="52"/>
    <x v="134"/>
    <x v="0"/>
    <x v="13"/>
    <x v="11"/>
    <x v="16"/>
    <x v="42"/>
    <x v="44"/>
    <x v="51"/>
    <x v="0"/>
    <x v="0"/>
    <x v="0"/>
    <n v="164"/>
    <n v="6"/>
    <x v="0"/>
  </r>
  <r>
    <x v="0"/>
    <x v="2"/>
    <x v="5"/>
    <x v="1"/>
    <x v="0"/>
    <x v="60"/>
    <n v="62"/>
    <n v="60"/>
    <x v="134"/>
    <x v="0"/>
    <x v="21"/>
    <x v="11"/>
    <x v="27"/>
    <x v="60"/>
    <x v="36"/>
    <x v="41"/>
    <x v="1"/>
    <x v="0"/>
    <x v="0"/>
    <n v="164"/>
    <n v="20"/>
    <x v="0"/>
  </r>
  <r>
    <x v="1"/>
    <x v="1"/>
    <x v="3"/>
    <x v="1"/>
    <x v="0"/>
    <x v="33"/>
    <n v="47"/>
    <n v="56"/>
    <x v="134"/>
    <x v="0"/>
    <x v="31"/>
    <x v="18"/>
    <x v="30"/>
    <x v="33"/>
    <x v="50"/>
    <x v="47"/>
    <x v="0"/>
    <x v="1"/>
    <x v="0"/>
    <n v="164"/>
    <n v="14"/>
    <x v="0"/>
  </r>
  <r>
    <x v="1"/>
    <x v="4"/>
    <x v="3"/>
    <x v="0"/>
    <x v="1"/>
    <x v="33"/>
    <n v="51"/>
    <n v="52"/>
    <x v="134"/>
    <x v="0"/>
    <x v="24"/>
    <x v="4"/>
    <x v="14"/>
    <x v="33"/>
    <x v="46"/>
    <x v="51"/>
    <x v="0"/>
    <x v="0"/>
    <x v="0"/>
    <n v="164"/>
    <n v="10"/>
    <x v="0"/>
  </r>
  <r>
    <x v="0"/>
    <x v="2"/>
    <x v="1"/>
    <x v="0"/>
    <x v="0"/>
    <x v="46"/>
    <n v="55"/>
    <n v="57"/>
    <x v="134"/>
    <x v="0"/>
    <x v="2"/>
    <x v="2"/>
    <x v="10"/>
    <x v="46"/>
    <x v="45"/>
    <x v="42"/>
    <x v="0"/>
    <x v="0"/>
    <x v="0"/>
    <n v="164"/>
    <n v="5"/>
    <x v="0"/>
  </r>
  <r>
    <x v="1"/>
    <x v="3"/>
    <x v="0"/>
    <x v="0"/>
    <x v="0"/>
    <x v="38"/>
    <n v="54"/>
    <n v="51"/>
    <x v="134"/>
    <x v="0"/>
    <x v="29"/>
    <x v="7"/>
    <x v="19"/>
    <x v="38"/>
    <x v="44"/>
    <x v="50"/>
    <x v="0"/>
    <x v="0"/>
    <x v="0"/>
    <n v="164"/>
    <n v="8"/>
    <x v="0"/>
  </r>
  <r>
    <x v="1"/>
    <x v="2"/>
    <x v="5"/>
    <x v="1"/>
    <x v="0"/>
    <x v="38"/>
    <n v="53"/>
    <n v="52"/>
    <x v="134"/>
    <x v="0"/>
    <x v="12"/>
    <x v="1"/>
    <x v="5"/>
    <x v="38"/>
    <x v="47"/>
    <x v="51"/>
    <x v="0"/>
    <x v="0"/>
    <x v="0"/>
    <n v="164"/>
    <n v="7"/>
    <x v="0"/>
  </r>
  <r>
    <x v="1"/>
    <x v="2"/>
    <x v="5"/>
    <x v="0"/>
    <x v="1"/>
    <x v="42"/>
    <n v="52"/>
    <n v="54"/>
    <x v="134"/>
    <x v="0"/>
    <x v="12"/>
    <x v="2"/>
    <x v="17"/>
    <x v="42"/>
    <x v="51"/>
    <x v="45"/>
    <x v="0"/>
    <x v="0"/>
    <x v="0"/>
    <n v="164"/>
    <n v="6"/>
    <x v="0"/>
  </r>
  <r>
    <x v="0"/>
    <x v="1"/>
    <x v="3"/>
    <x v="0"/>
    <x v="0"/>
    <x v="52"/>
    <n v="58"/>
    <n v="54"/>
    <x v="135"/>
    <x v="0"/>
    <x v="7"/>
    <x v="10"/>
    <x v="2"/>
    <x v="52"/>
    <x v="40"/>
    <x v="45"/>
    <x v="0"/>
    <x v="0"/>
    <x v="0"/>
    <n v="163"/>
    <n v="7"/>
    <x v="0"/>
  </r>
  <r>
    <x v="0"/>
    <x v="1"/>
    <x v="5"/>
    <x v="0"/>
    <x v="0"/>
    <x v="44"/>
    <n v="52"/>
    <n v="55"/>
    <x v="135"/>
    <x v="0"/>
    <x v="13"/>
    <x v="5"/>
    <x v="4"/>
    <x v="44"/>
    <x v="51"/>
    <x v="49"/>
    <x v="0"/>
    <x v="0"/>
    <x v="0"/>
    <n v="163"/>
    <n v="4"/>
    <x v="0"/>
  </r>
  <r>
    <x v="1"/>
    <x v="2"/>
    <x v="4"/>
    <x v="1"/>
    <x v="0"/>
    <x v="50"/>
    <n v="59"/>
    <n v="50"/>
    <x v="135"/>
    <x v="0"/>
    <x v="6"/>
    <x v="15"/>
    <x v="17"/>
    <x v="50"/>
    <x v="42"/>
    <x v="46"/>
    <x v="0"/>
    <x v="0"/>
    <x v="0"/>
    <n v="163"/>
    <n v="9"/>
    <x v="0"/>
  </r>
  <r>
    <x v="0"/>
    <x v="4"/>
    <x v="5"/>
    <x v="1"/>
    <x v="1"/>
    <x v="47"/>
    <n v="50"/>
    <n v="60"/>
    <x v="135"/>
    <x v="0"/>
    <x v="5"/>
    <x v="26"/>
    <x v="7"/>
    <x v="47"/>
    <x v="52"/>
    <x v="41"/>
    <x v="0"/>
    <x v="0"/>
    <x v="0"/>
    <n v="163"/>
    <n v="10"/>
    <x v="0"/>
  </r>
  <r>
    <x v="1"/>
    <x v="0"/>
    <x v="5"/>
    <x v="1"/>
    <x v="0"/>
    <x v="45"/>
    <n v="56"/>
    <n v="51"/>
    <x v="136"/>
    <x v="0"/>
    <x v="1"/>
    <x v="8"/>
    <x v="17"/>
    <x v="45"/>
    <x v="43"/>
    <x v="50"/>
    <x v="0"/>
    <x v="0"/>
    <x v="0"/>
    <n v="162"/>
    <n v="5"/>
    <x v="0"/>
  </r>
  <r>
    <x v="1"/>
    <x v="1"/>
    <x v="2"/>
    <x v="1"/>
    <x v="0"/>
    <x v="44"/>
    <n v="54"/>
    <n v="52"/>
    <x v="136"/>
    <x v="0"/>
    <x v="19"/>
    <x v="11"/>
    <x v="17"/>
    <x v="44"/>
    <x v="44"/>
    <x v="51"/>
    <x v="0"/>
    <x v="0"/>
    <x v="0"/>
    <n v="162"/>
    <n v="4"/>
    <x v="0"/>
  </r>
  <r>
    <x v="0"/>
    <x v="3"/>
    <x v="2"/>
    <x v="0"/>
    <x v="0"/>
    <x v="14"/>
    <s v="None"/>
    <n v="80"/>
    <x v="50"/>
    <x v="0"/>
    <x v="49"/>
    <x v="27"/>
    <x v="21"/>
    <x v="14"/>
    <x v="48"/>
    <x v="24"/>
    <x v="0"/>
    <x v="0"/>
    <x v="0"/>
    <n v="162"/>
    <n v="2"/>
    <x v="0"/>
  </r>
  <r>
    <x v="0"/>
    <x v="3"/>
    <x v="3"/>
    <x v="1"/>
    <x v="1"/>
    <x v="53"/>
    <n v="56"/>
    <n v="58"/>
    <x v="136"/>
    <x v="0"/>
    <x v="8"/>
    <x v="2"/>
    <x v="23"/>
    <x v="53"/>
    <x v="43"/>
    <x v="43"/>
    <x v="1"/>
    <x v="0"/>
    <x v="0"/>
    <n v="162"/>
    <n v="10"/>
    <x v="0"/>
  </r>
  <r>
    <x v="0"/>
    <x v="3"/>
    <x v="2"/>
    <x v="1"/>
    <x v="0"/>
    <x v="56"/>
    <n v="58"/>
    <n v="55"/>
    <x v="136"/>
    <x v="0"/>
    <x v="30"/>
    <x v="7"/>
    <x v="6"/>
    <x v="56"/>
    <x v="40"/>
    <x v="49"/>
    <x v="1"/>
    <x v="0"/>
    <x v="0"/>
    <n v="162"/>
    <n v="9"/>
    <x v="0"/>
  </r>
  <r>
    <x v="0"/>
    <x v="3"/>
    <x v="1"/>
    <x v="1"/>
    <x v="0"/>
    <x v="54"/>
    <n v="61"/>
    <n v="55"/>
    <x v="136"/>
    <x v="0"/>
    <x v="14"/>
    <x v="16"/>
    <x v="33"/>
    <x v="54"/>
    <x v="39"/>
    <x v="49"/>
    <x v="1"/>
    <x v="0"/>
    <x v="0"/>
    <n v="162"/>
    <n v="15"/>
    <x v="0"/>
  </r>
  <r>
    <x v="1"/>
    <x v="4"/>
    <x v="5"/>
    <x v="0"/>
    <x v="0"/>
    <x v="41"/>
    <n v="51"/>
    <n v="54"/>
    <x v="136"/>
    <x v="0"/>
    <x v="12"/>
    <x v="5"/>
    <x v="9"/>
    <x v="41"/>
    <x v="46"/>
    <x v="45"/>
    <x v="0"/>
    <x v="0"/>
    <x v="0"/>
    <n v="162"/>
    <n v="6"/>
    <x v="0"/>
  </r>
  <r>
    <x v="0"/>
    <x v="4"/>
    <x v="4"/>
    <x v="0"/>
    <x v="0"/>
    <x v="48"/>
    <n v="53"/>
    <n v="58"/>
    <x v="137"/>
    <x v="0"/>
    <x v="2"/>
    <x v="6"/>
    <x v="8"/>
    <x v="48"/>
    <x v="47"/>
    <x v="43"/>
    <x v="0"/>
    <x v="0"/>
    <x v="0"/>
    <n v="161"/>
    <n v="8"/>
    <x v="0"/>
  </r>
  <r>
    <x v="1"/>
    <x v="2"/>
    <x v="0"/>
    <x v="0"/>
    <x v="0"/>
    <x v="42"/>
    <n v="55"/>
    <n v="48"/>
    <x v="137"/>
    <x v="0"/>
    <x v="5"/>
    <x v="3"/>
    <x v="28"/>
    <x v="42"/>
    <x v="45"/>
    <x v="53"/>
    <x v="0"/>
    <x v="0"/>
    <x v="1"/>
    <n v="161"/>
    <n v="10"/>
    <x v="0"/>
  </r>
  <r>
    <x v="1"/>
    <x v="1"/>
    <x v="5"/>
    <x v="0"/>
    <x v="0"/>
    <x v="41"/>
    <n v="50"/>
    <n v="54"/>
    <x v="137"/>
    <x v="0"/>
    <x v="18"/>
    <x v="12"/>
    <x v="9"/>
    <x v="41"/>
    <x v="52"/>
    <x v="45"/>
    <x v="0"/>
    <x v="0"/>
    <x v="0"/>
    <n v="161"/>
    <n v="7"/>
    <x v="0"/>
  </r>
  <r>
    <x v="0"/>
    <x v="2"/>
    <x v="1"/>
    <x v="0"/>
    <x v="0"/>
    <x v="54"/>
    <n v="58"/>
    <n v="57"/>
    <x v="137"/>
    <x v="0"/>
    <x v="27"/>
    <x v="1"/>
    <x v="11"/>
    <x v="54"/>
    <x v="40"/>
    <x v="42"/>
    <x v="1"/>
    <x v="0"/>
    <x v="0"/>
    <n v="161"/>
    <n v="12"/>
    <x v="0"/>
  </r>
  <r>
    <x v="0"/>
    <x v="4"/>
    <x v="1"/>
    <x v="1"/>
    <x v="0"/>
    <x v="51"/>
    <n v="85"/>
    <n v="76"/>
    <x v="138"/>
    <x v="0"/>
    <x v="49"/>
    <x v="15"/>
    <x v="47"/>
    <x v="51"/>
    <x v="15"/>
    <x v="25"/>
    <x v="0"/>
    <x v="0"/>
    <x v="0"/>
    <n v="161"/>
    <n v="9"/>
    <x v="0"/>
  </r>
  <r>
    <x v="1"/>
    <x v="2"/>
    <x v="5"/>
    <x v="1"/>
    <x v="1"/>
    <x v="42"/>
    <n v="51"/>
    <n v="52"/>
    <x v="137"/>
    <x v="0"/>
    <x v="18"/>
    <x v="4"/>
    <x v="16"/>
    <x v="42"/>
    <x v="46"/>
    <x v="51"/>
    <x v="0"/>
    <x v="0"/>
    <x v="0"/>
    <n v="161"/>
    <n v="7"/>
    <x v="0"/>
  </r>
  <r>
    <x v="0"/>
    <x v="1"/>
    <x v="1"/>
    <x v="1"/>
    <x v="0"/>
    <x v="59"/>
    <n v="60"/>
    <n v="58"/>
    <x v="137"/>
    <x v="0"/>
    <x v="25"/>
    <x v="11"/>
    <x v="20"/>
    <x v="59"/>
    <x v="38"/>
    <x v="43"/>
    <x v="1"/>
    <x v="0"/>
    <x v="0"/>
    <n v="161"/>
    <n v="17"/>
    <x v="0"/>
  </r>
  <r>
    <x v="0"/>
    <x v="1"/>
    <x v="1"/>
    <x v="1"/>
    <x v="1"/>
    <x v="60"/>
    <n v="61"/>
    <n v="58"/>
    <x v="137"/>
    <x v="0"/>
    <x v="35"/>
    <x v="7"/>
    <x v="34"/>
    <x v="60"/>
    <x v="39"/>
    <x v="43"/>
    <x v="1"/>
    <x v="0"/>
    <x v="0"/>
    <n v="161"/>
    <n v="19"/>
    <x v="0"/>
  </r>
  <r>
    <x v="1"/>
    <x v="0"/>
    <x v="3"/>
    <x v="0"/>
    <x v="0"/>
    <x v="17"/>
    <n v="77"/>
    <s v="None"/>
    <x v="138"/>
    <x v="0"/>
    <x v="18"/>
    <x v="27"/>
    <x v="47"/>
    <x v="17"/>
    <x v="23"/>
    <x v="44"/>
    <x v="0"/>
    <x v="0"/>
    <x v="0"/>
    <n v="161"/>
    <n v="7"/>
    <x v="0"/>
  </r>
  <r>
    <x v="0"/>
    <x v="0"/>
    <x v="1"/>
    <x v="1"/>
    <x v="0"/>
    <x v="48"/>
    <n v="56"/>
    <n v="54"/>
    <x v="139"/>
    <x v="0"/>
    <x v="26"/>
    <x v="11"/>
    <x v="3"/>
    <x v="48"/>
    <x v="43"/>
    <x v="45"/>
    <x v="0"/>
    <x v="0"/>
    <x v="0"/>
    <n v="160"/>
    <n v="6"/>
    <x v="0"/>
  </r>
  <r>
    <x v="0"/>
    <x v="2"/>
    <x v="1"/>
    <x v="0"/>
    <x v="0"/>
    <x v="61"/>
    <n v="64"/>
    <n v="57"/>
    <x v="139"/>
    <x v="0"/>
    <x v="40"/>
    <x v="3"/>
    <x v="27"/>
    <x v="61"/>
    <x v="34"/>
    <x v="42"/>
    <x v="1"/>
    <x v="0"/>
    <x v="0"/>
    <n v="160"/>
    <n v="25"/>
    <x v="0"/>
  </r>
  <r>
    <x v="1"/>
    <x v="2"/>
    <x v="2"/>
    <x v="1"/>
    <x v="1"/>
    <x v="52"/>
    <n v="56"/>
    <n v="53"/>
    <x v="139"/>
    <x v="0"/>
    <x v="6"/>
    <x v="7"/>
    <x v="12"/>
    <x v="52"/>
    <x v="43"/>
    <x v="48"/>
    <x v="0"/>
    <x v="0"/>
    <x v="0"/>
    <n v="160"/>
    <n v="5"/>
    <x v="0"/>
  </r>
  <r>
    <x v="0"/>
    <x v="1"/>
    <x v="2"/>
    <x v="0"/>
    <x v="0"/>
    <x v="53"/>
    <n v="58"/>
    <n v="54"/>
    <x v="139"/>
    <x v="0"/>
    <x v="20"/>
    <x v="10"/>
    <x v="6"/>
    <x v="53"/>
    <x v="40"/>
    <x v="45"/>
    <x v="1"/>
    <x v="0"/>
    <x v="0"/>
    <n v="160"/>
    <n v="10"/>
    <x v="0"/>
  </r>
  <r>
    <x v="1"/>
    <x v="1"/>
    <x v="1"/>
    <x v="1"/>
    <x v="0"/>
    <x v="46"/>
    <n v="57"/>
    <n v="50"/>
    <x v="140"/>
    <x v="0"/>
    <x v="6"/>
    <x v="3"/>
    <x v="21"/>
    <x v="46"/>
    <x v="41"/>
    <x v="46"/>
    <x v="0"/>
    <x v="0"/>
    <x v="0"/>
    <n v="159"/>
    <n v="7"/>
    <x v="0"/>
  </r>
  <r>
    <x v="1"/>
    <x v="1"/>
    <x v="1"/>
    <x v="1"/>
    <x v="0"/>
    <x v="15"/>
    <s v="None"/>
    <n v="78"/>
    <x v="141"/>
    <x v="0"/>
    <x v="49"/>
    <x v="27"/>
    <x v="9"/>
    <x v="15"/>
    <x v="48"/>
    <x v="20"/>
    <x v="0"/>
    <x v="0"/>
    <x v="0"/>
    <n v="159"/>
    <n v="3"/>
    <x v="0"/>
  </r>
  <r>
    <x v="0"/>
    <x v="1"/>
    <x v="1"/>
    <x v="1"/>
    <x v="0"/>
    <x v="54"/>
    <n v="56"/>
    <n v="57"/>
    <x v="140"/>
    <x v="0"/>
    <x v="20"/>
    <x v="4"/>
    <x v="11"/>
    <x v="54"/>
    <x v="43"/>
    <x v="42"/>
    <x v="1"/>
    <x v="0"/>
    <x v="0"/>
    <n v="159"/>
    <n v="11"/>
    <x v="0"/>
  </r>
  <r>
    <x v="0"/>
    <x v="3"/>
    <x v="5"/>
    <x v="1"/>
    <x v="1"/>
    <x v="54"/>
    <n v="54"/>
    <n v="58"/>
    <x v="142"/>
    <x v="0"/>
    <x v="8"/>
    <x v="12"/>
    <x v="22"/>
    <x v="54"/>
    <x v="44"/>
    <x v="43"/>
    <x v="1"/>
    <x v="0"/>
    <x v="0"/>
    <n v="158"/>
    <n v="12"/>
    <x v="0"/>
  </r>
  <r>
    <x v="1"/>
    <x v="1"/>
    <x v="5"/>
    <x v="0"/>
    <x v="0"/>
    <x v="50"/>
    <n v="52"/>
    <n v="52"/>
    <x v="142"/>
    <x v="0"/>
    <x v="19"/>
    <x v="0"/>
    <x v="21"/>
    <x v="50"/>
    <x v="51"/>
    <x v="51"/>
    <x v="0"/>
    <x v="0"/>
    <x v="0"/>
    <n v="158"/>
    <n v="2"/>
    <x v="0"/>
  </r>
  <r>
    <x v="0"/>
    <x v="1"/>
    <x v="1"/>
    <x v="1"/>
    <x v="0"/>
    <x v="55"/>
    <n v="53"/>
    <n v="58"/>
    <x v="142"/>
    <x v="0"/>
    <x v="26"/>
    <x v="6"/>
    <x v="11"/>
    <x v="55"/>
    <x v="47"/>
    <x v="43"/>
    <x v="1"/>
    <x v="0"/>
    <x v="0"/>
    <n v="158"/>
    <n v="11"/>
    <x v="0"/>
  </r>
  <r>
    <x v="0"/>
    <x v="1"/>
    <x v="5"/>
    <x v="1"/>
    <x v="0"/>
    <x v="56"/>
    <n v="57"/>
    <n v="52"/>
    <x v="142"/>
    <x v="0"/>
    <x v="8"/>
    <x v="8"/>
    <x v="2"/>
    <x v="56"/>
    <x v="41"/>
    <x v="51"/>
    <x v="1"/>
    <x v="0"/>
    <x v="0"/>
    <n v="158"/>
    <n v="8"/>
    <x v="0"/>
  </r>
  <r>
    <x v="1"/>
    <x v="3"/>
    <x v="5"/>
    <x v="1"/>
    <x v="0"/>
    <x v="39"/>
    <n v="48"/>
    <n v="47"/>
    <x v="142"/>
    <x v="0"/>
    <x v="22"/>
    <x v="1"/>
    <x v="41"/>
    <x v="39"/>
    <x v="53"/>
    <x v="54"/>
    <x v="0"/>
    <x v="1"/>
    <x v="1"/>
    <n v="158"/>
    <n v="16"/>
    <x v="0"/>
  </r>
  <r>
    <x v="0"/>
    <x v="2"/>
    <x v="2"/>
    <x v="1"/>
    <x v="0"/>
    <x v="53"/>
    <n v="58"/>
    <n v="52"/>
    <x v="142"/>
    <x v="0"/>
    <x v="20"/>
    <x v="16"/>
    <x v="3"/>
    <x v="53"/>
    <x v="40"/>
    <x v="51"/>
    <x v="1"/>
    <x v="0"/>
    <x v="0"/>
    <n v="158"/>
    <n v="10"/>
    <x v="0"/>
  </r>
  <r>
    <x v="0"/>
    <x v="2"/>
    <x v="3"/>
    <x v="0"/>
    <x v="1"/>
    <x v="30"/>
    <s v="None"/>
    <n v="88"/>
    <x v="143"/>
    <x v="0"/>
    <x v="49"/>
    <x v="27"/>
    <x v="37"/>
    <x v="30"/>
    <x v="48"/>
    <x v="12"/>
    <x v="0"/>
    <x v="0"/>
    <x v="0"/>
    <n v="157"/>
    <n v="19"/>
    <x v="0"/>
  </r>
  <r>
    <x v="1"/>
    <x v="3"/>
    <x v="3"/>
    <x v="0"/>
    <x v="0"/>
    <x v="50"/>
    <n v="52"/>
    <n v="51"/>
    <x v="144"/>
    <x v="0"/>
    <x v="19"/>
    <x v="1"/>
    <x v="9"/>
    <x v="50"/>
    <x v="51"/>
    <x v="50"/>
    <x v="0"/>
    <x v="0"/>
    <x v="0"/>
    <n v="157"/>
    <n v="3"/>
    <x v="0"/>
  </r>
  <r>
    <x v="1"/>
    <x v="4"/>
    <x v="5"/>
    <x v="0"/>
    <x v="0"/>
    <x v="38"/>
    <n v="52"/>
    <n v="46"/>
    <x v="144"/>
    <x v="0"/>
    <x v="18"/>
    <x v="16"/>
    <x v="35"/>
    <x v="38"/>
    <x v="51"/>
    <x v="55"/>
    <x v="0"/>
    <x v="0"/>
    <x v="1"/>
    <n v="157"/>
    <n v="13"/>
    <x v="0"/>
  </r>
  <r>
    <x v="1"/>
    <x v="4"/>
    <x v="2"/>
    <x v="0"/>
    <x v="0"/>
    <x v="34"/>
    <n v="50"/>
    <n v="43"/>
    <x v="144"/>
    <x v="0"/>
    <x v="31"/>
    <x v="3"/>
    <x v="39"/>
    <x v="34"/>
    <x v="52"/>
    <x v="56"/>
    <x v="0"/>
    <x v="0"/>
    <x v="1"/>
    <n v="157"/>
    <n v="21"/>
    <x v="0"/>
  </r>
  <r>
    <x v="1"/>
    <x v="3"/>
    <x v="3"/>
    <x v="1"/>
    <x v="0"/>
    <x v="45"/>
    <n v="55"/>
    <n v="47"/>
    <x v="144"/>
    <x v="0"/>
    <x v="0"/>
    <x v="19"/>
    <x v="19"/>
    <x v="45"/>
    <x v="45"/>
    <x v="54"/>
    <x v="0"/>
    <x v="0"/>
    <x v="1"/>
    <n v="157"/>
    <n v="8"/>
    <x v="0"/>
  </r>
  <r>
    <x v="0"/>
    <x v="2"/>
    <x v="5"/>
    <x v="0"/>
    <x v="0"/>
    <x v="57"/>
    <n v="61"/>
    <n v="52"/>
    <x v="144"/>
    <x v="0"/>
    <x v="25"/>
    <x v="15"/>
    <x v="8"/>
    <x v="57"/>
    <x v="39"/>
    <x v="51"/>
    <x v="1"/>
    <x v="0"/>
    <x v="0"/>
    <n v="157"/>
    <n v="17"/>
    <x v="0"/>
  </r>
  <r>
    <x v="1"/>
    <x v="0"/>
    <x v="3"/>
    <x v="0"/>
    <x v="0"/>
    <x v="47"/>
    <n v="55"/>
    <n v="48"/>
    <x v="145"/>
    <x v="0"/>
    <x v="3"/>
    <x v="3"/>
    <x v="30"/>
    <x v="47"/>
    <x v="45"/>
    <x v="53"/>
    <x v="0"/>
    <x v="0"/>
    <x v="1"/>
    <n v="156"/>
    <n v="7"/>
    <x v="0"/>
  </r>
  <r>
    <x v="1"/>
    <x v="1"/>
    <x v="1"/>
    <x v="0"/>
    <x v="0"/>
    <x v="46"/>
    <n v="55"/>
    <n v="49"/>
    <x v="145"/>
    <x v="0"/>
    <x v="2"/>
    <x v="16"/>
    <x v="9"/>
    <x v="46"/>
    <x v="45"/>
    <x v="52"/>
    <x v="0"/>
    <x v="0"/>
    <x v="1"/>
    <n v="156"/>
    <n v="6"/>
    <x v="0"/>
  </r>
  <r>
    <x v="0"/>
    <x v="4"/>
    <x v="2"/>
    <x v="1"/>
    <x v="0"/>
    <x v="55"/>
    <n v="59"/>
    <n v="50"/>
    <x v="145"/>
    <x v="0"/>
    <x v="27"/>
    <x v="15"/>
    <x v="2"/>
    <x v="55"/>
    <x v="42"/>
    <x v="46"/>
    <x v="1"/>
    <x v="0"/>
    <x v="0"/>
    <n v="156"/>
    <n v="12"/>
    <x v="0"/>
  </r>
  <r>
    <x v="1"/>
    <x v="3"/>
    <x v="5"/>
    <x v="0"/>
    <x v="0"/>
    <x v="41"/>
    <n v="48"/>
    <n v="51"/>
    <x v="145"/>
    <x v="0"/>
    <x v="23"/>
    <x v="5"/>
    <x v="16"/>
    <x v="41"/>
    <x v="53"/>
    <x v="50"/>
    <x v="0"/>
    <x v="1"/>
    <x v="0"/>
    <n v="156"/>
    <n v="9"/>
    <x v="0"/>
  </r>
  <r>
    <x v="1"/>
    <x v="2"/>
    <x v="5"/>
    <x v="1"/>
    <x v="1"/>
    <x v="47"/>
    <n v="51"/>
    <n v="51"/>
    <x v="146"/>
    <x v="0"/>
    <x v="19"/>
    <x v="0"/>
    <x v="21"/>
    <x v="47"/>
    <x v="46"/>
    <x v="50"/>
    <x v="0"/>
    <x v="0"/>
    <x v="0"/>
    <n v="155"/>
    <n v="2"/>
    <x v="0"/>
  </r>
  <r>
    <x v="0"/>
    <x v="0"/>
    <x v="4"/>
    <x v="1"/>
    <x v="0"/>
    <x v="49"/>
    <n v="56"/>
    <n v="54"/>
    <x v="146"/>
    <x v="0"/>
    <x v="10"/>
    <x v="11"/>
    <x v="33"/>
    <x v="49"/>
    <x v="43"/>
    <x v="45"/>
    <x v="1"/>
    <x v="0"/>
    <x v="0"/>
    <n v="155"/>
    <n v="11"/>
    <x v="0"/>
  </r>
  <r>
    <x v="1"/>
    <x v="1"/>
    <x v="1"/>
    <x v="1"/>
    <x v="0"/>
    <x v="47"/>
    <n v="54"/>
    <n v="48"/>
    <x v="146"/>
    <x v="0"/>
    <x v="1"/>
    <x v="16"/>
    <x v="30"/>
    <x v="47"/>
    <x v="44"/>
    <x v="53"/>
    <x v="0"/>
    <x v="0"/>
    <x v="1"/>
    <n v="155"/>
    <n v="6"/>
    <x v="0"/>
  </r>
  <r>
    <x v="0"/>
    <x v="3"/>
    <x v="1"/>
    <x v="0"/>
    <x v="0"/>
    <x v="56"/>
    <n v="52"/>
    <n v="54"/>
    <x v="146"/>
    <x v="0"/>
    <x v="2"/>
    <x v="2"/>
    <x v="10"/>
    <x v="56"/>
    <x v="51"/>
    <x v="45"/>
    <x v="1"/>
    <x v="0"/>
    <x v="0"/>
    <n v="155"/>
    <n v="5"/>
    <x v="0"/>
  </r>
  <r>
    <x v="1"/>
    <x v="2"/>
    <x v="2"/>
    <x v="1"/>
    <x v="0"/>
    <x v="22"/>
    <n v="76"/>
    <s v="None"/>
    <x v="147"/>
    <x v="0"/>
    <x v="5"/>
    <x v="27"/>
    <x v="47"/>
    <x v="22"/>
    <x v="25"/>
    <x v="44"/>
    <x v="0"/>
    <x v="0"/>
    <x v="0"/>
    <n v="155"/>
    <n v="3"/>
    <x v="0"/>
  </r>
  <r>
    <x v="1"/>
    <x v="4"/>
    <x v="2"/>
    <x v="0"/>
    <x v="0"/>
    <x v="47"/>
    <n v="54"/>
    <n v="48"/>
    <x v="146"/>
    <x v="0"/>
    <x v="1"/>
    <x v="16"/>
    <x v="30"/>
    <x v="47"/>
    <x v="44"/>
    <x v="53"/>
    <x v="0"/>
    <x v="0"/>
    <x v="1"/>
    <n v="155"/>
    <n v="6"/>
    <x v="0"/>
  </r>
  <r>
    <x v="1"/>
    <x v="1"/>
    <x v="1"/>
    <x v="0"/>
    <x v="0"/>
    <x v="33"/>
    <n v="48"/>
    <n v="46"/>
    <x v="146"/>
    <x v="0"/>
    <x v="34"/>
    <x v="11"/>
    <x v="26"/>
    <x v="33"/>
    <x v="53"/>
    <x v="55"/>
    <x v="0"/>
    <x v="1"/>
    <x v="1"/>
    <n v="155"/>
    <n v="15"/>
    <x v="0"/>
  </r>
  <r>
    <x v="1"/>
    <x v="4"/>
    <x v="5"/>
    <x v="1"/>
    <x v="0"/>
    <x v="47"/>
    <n v="58"/>
    <n v="44"/>
    <x v="146"/>
    <x v="0"/>
    <x v="6"/>
    <x v="29"/>
    <x v="14"/>
    <x v="47"/>
    <x v="40"/>
    <x v="57"/>
    <x v="0"/>
    <x v="0"/>
    <x v="1"/>
    <n v="155"/>
    <n v="14"/>
    <x v="0"/>
  </r>
  <r>
    <x v="0"/>
    <x v="2"/>
    <x v="1"/>
    <x v="0"/>
    <x v="0"/>
    <x v="56"/>
    <n v="53"/>
    <n v="53"/>
    <x v="146"/>
    <x v="0"/>
    <x v="4"/>
    <x v="0"/>
    <x v="3"/>
    <x v="56"/>
    <x v="47"/>
    <x v="48"/>
    <x v="1"/>
    <x v="0"/>
    <x v="0"/>
    <n v="155"/>
    <n v="4"/>
    <x v="0"/>
  </r>
  <r>
    <x v="0"/>
    <x v="2"/>
    <x v="2"/>
    <x v="1"/>
    <x v="0"/>
    <x v="53"/>
    <n v="56"/>
    <n v="51"/>
    <x v="146"/>
    <x v="0"/>
    <x v="8"/>
    <x v="8"/>
    <x v="2"/>
    <x v="53"/>
    <x v="43"/>
    <x v="50"/>
    <x v="1"/>
    <x v="0"/>
    <x v="0"/>
    <n v="155"/>
    <n v="8"/>
    <x v="0"/>
  </r>
  <r>
    <x v="0"/>
    <x v="1"/>
    <x v="2"/>
    <x v="1"/>
    <x v="0"/>
    <x v="53"/>
    <n v="54"/>
    <n v="53"/>
    <x v="146"/>
    <x v="0"/>
    <x v="26"/>
    <x v="1"/>
    <x v="10"/>
    <x v="53"/>
    <x v="44"/>
    <x v="48"/>
    <x v="1"/>
    <x v="0"/>
    <x v="0"/>
    <n v="155"/>
    <n v="6"/>
    <x v="0"/>
  </r>
  <r>
    <x v="1"/>
    <x v="4"/>
    <x v="1"/>
    <x v="0"/>
    <x v="0"/>
    <x v="50"/>
    <n v="53"/>
    <n v="47"/>
    <x v="148"/>
    <x v="0"/>
    <x v="28"/>
    <x v="16"/>
    <x v="5"/>
    <x v="50"/>
    <x v="47"/>
    <x v="54"/>
    <x v="0"/>
    <x v="0"/>
    <x v="1"/>
    <n v="154"/>
    <n v="7"/>
    <x v="0"/>
  </r>
  <r>
    <x v="1"/>
    <x v="3"/>
    <x v="4"/>
    <x v="1"/>
    <x v="0"/>
    <x v="56"/>
    <n v="53"/>
    <n v="52"/>
    <x v="148"/>
    <x v="0"/>
    <x v="4"/>
    <x v="1"/>
    <x v="2"/>
    <x v="56"/>
    <x v="47"/>
    <x v="51"/>
    <x v="1"/>
    <x v="0"/>
    <x v="0"/>
    <n v="154"/>
    <n v="4"/>
    <x v="0"/>
  </r>
  <r>
    <x v="1"/>
    <x v="2"/>
    <x v="5"/>
    <x v="0"/>
    <x v="0"/>
    <x v="46"/>
    <n v="53"/>
    <n v="49"/>
    <x v="148"/>
    <x v="0"/>
    <x v="1"/>
    <x v="10"/>
    <x v="9"/>
    <x v="46"/>
    <x v="47"/>
    <x v="52"/>
    <x v="0"/>
    <x v="0"/>
    <x v="1"/>
    <n v="154"/>
    <n v="4"/>
    <x v="0"/>
  </r>
  <r>
    <x v="1"/>
    <x v="2"/>
    <x v="1"/>
    <x v="0"/>
    <x v="1"/>
    <x v="51"/>
    <n v="77"/>
    <n v="77"/>
    <x v="62"/>
    <x v="0"/>
    <x v="49"/>
    <x v="0"/>
    <x v="47"/>
    <x v="51"/>
    <x v="23"/>
    <x v="23"/>
    <x v="0"/>
    <x v="0"/>
    <x v="0"/>
    <n v="154"/>
    <n v="0"/>
    <x v="0"/>
  </r>
  <r>
    <x v="0"/>
    <x v="2"/>
    <x v="1"/>
    <x v="0"/>
    <x v="1"/>
    <x v="37"/>
    <n v="86"/>
    <s v="None"/>
    <x v="62"/>
    <x v="0"/>
    <x v="32"/>
    <x v="27"/>
    <x v="47"/>
    <x v="37"/>
    <x v="11"/>
    <x v="44"/>
    <x v="0"/>
    <x v="0"/>
    <x v="0"/>
    <n v="154"/>
    <n v="18"/>
    <x v="0"/>
  </r>
  <r>
    <x v="0"/>
    <x v="2"/>
    <x v="3"/>
    <x v="0"/>
    <x v="0"/>
    <x v="50"/>
    <n v="48"/>
    <n v="52"/>
    <x v="148"/>
    <x v="0"/>
    <x v="12"/>
    <x v="12"/>
    <x v="21"/>
    <x v="50"/>
    <x v="53"/>
    <x v="51"/>
    <x v="0"/>
    <x v="1"/>
    <x v="0"/>
    <n v="154"/>
    <n v="6"/>
    <x v="0"/>
  </r>
  <r>
    <x v="1"/>
    <x v="2"/>
    <x v="5"/>
    <x v="0"/>
    <x v="1"/>
    <x v="47"/>
    <n v="52"/>
    <n v="49"/>
    <x v="148"/>
    <x v="0"/>
    <x v="28"/>
    <x v="7"/>
    <x v="17"/>
    <x v="47"/>
    <x v="51"/>
    <x v="52"/>
    <x v="0"/>
    <x v="0"/>
    <x v="1"/>
    <n v="154"/>
    <n v="4"/>
    <x v="0"/>
  </r>
  <r>
    <x v="0"/>
    <x v="2"/>
    <x v="2"/>
    <x v="0"/>
    <x v="0"/>
    <x v="55"/>
    <n v="54"/>
    <n v="53"/>
    <x v="148"/>
    <x v="0"/>
    <x v="7"/>
    <x v="1"/>
    <x v="6"/>
    <x v="55"/>
    <x v="44"/>
    <x v="48"/>
    <x v="1"/>
    <x v="0"/>
    <x v="0"/>
    <n v="154"/>
    <n v="7"/>
    <x v="0"/>
  </r>
  <r>
    <x v="0"/>
    <x v="3"/>
    <x v="3"/>
    <x v="1"/>
    <x v="0"/>
    <x v="49"/>
    <n v="53"/>
    <n v="55"/>
    <x v="149"/>
    <x v="0"/>
    <x v="8"/>
    <x v="2"/>
    <x v="23"/>
    <x v="49"/>
    <x v="47"/>
    <x v="49"/>
    <x v="1"/>
    <x v="0"/>
    <x v="0"/>
    <n v="153"/>
    <n v="10"/>
    <x v="0"/>
  </r>
  <r>
    <x v="1"/>
    <x v="0"/>
    <x v="3"/>
    <x v="0"/>
    <x v="0"/>
    <x v="38"/>
    <n v="51"/>
    <n v="43"/>
    <x v="149"/>
    <x v="0"/>
    <x v="9"/>
    <x v="19"/>
    <x v="41"/>
    <x v="38"/>
    <x v="46"/>
    <x v="56"/>
    <x v="0"/>
    <x v="0"/>
    <x v="1"/>
    <n v="153"/>
    <n v="16"/>
    <x v="0"/>
  </r>
  <r>
    <x v="1"/>
    <x v="3"/>
    <x v="3"/>
    <x v="1"/>
    <x v="0"/>
    <x v="50"/>
    <n v="54"/>
    <n v="45"/>
    <x v="149"/>
    <x v="0"/>
    <x v="0"/>
    <x v="15"/>
    <x v="14"/>
    <x v="50"/>
    <x v="44"/>
    <x v="58"/>
    <x v="0"/>
    <x v="0"/>
    <x v="1"/>
    <n v="153"/>
    <n v="9"/>
    <x v="0"/>
  </r>
  <r>
    <x v="0"/>
    <x v="1"/>
    <x v="4"/>
    <x v="1"/>
    <x v="0"/>
    <x v="58"/>
    <n v="59"/>
    <n v="54"/>
    <x v="149"/>
    <x v="0"/>
    <x v="35"/>
    <x v="8"/>
    <x v="18"/>
    <x v="58"/>
    <x v="42"/>
    <x v="45"/>
    <x v="1"/>
    <x v="0"/>
    <x v="0"/>
    <n v="153"/>
    <n v="19"/>
    <x v="0"/>
  </r>
  <r>
    <x v="1"/>
    <x v="3"/>
    <x v="3"/>
    <x v="0"/>
    <x v="0"/>
    <x v="42"/>
    <n v="50"/>
    <n v="45"/>
    <x v="149"/>
    <x v="0"/>
    <x v="9"/>
    <x v="8"/>
    <x v="35"/>
    <x v="42"/>
    <x v="52"/>
    <x v="58"/>
    <x v="0"/>
    <x v="0"/>
    <x v="1"/>
    <n v="153"/>
    <n v="13"/>
    <x v="0"/>
  </r>
  <r>
    <x v="0"/>
    <x v="2"/>
    <x v="4"/>
    <x v="1"/>
    <x v="0"/>
    <x v="58"/>
    <n v="58"/>
    <n v="54"/>
    <x v="150"/>
    <x v="0"/>
    <x v="32"/>
    <x v="10"/>
    <x v="18"/>
    <x v="58"/>
    <x v="40"/>
    <x v="45"/>
    <x v="1"/>
    <x v="0"/>
    <x v="0"/>
    <n v="152"/>
    <n v="18"/>
    <x v="0"/>
  </r>
  <r>
    <x v="1"/>
    <x v="1"/>
    <x v="3"/>
    <x v="1"/>
    <x v="0"/>
    <x v="56"/>
    <n v="57"/>
    <n v="46"/>
    <x v="150"/>
    <x v="0"/>
    <x v="8"/>
    <x v="22"/>
    <x v="9"/>
    <x v="56"/>
    <x v="41"/>
    <x v="55"/>
    <x v="1"/>
    <x v="0"/>
    <x v="1"/>
    <n v="152"/>
    <n v="11"/>
    <x v="0"/>
  </r>
  <r>
    <x v="1"/>
    <x v="0"/>
    <x v="3"/>
    <x v="1"/>
    <x v="1"/>
    <x v="56"/>
    <n v="52"/>
    <n v="51"/>
    <x v="150"/>
    <x v="0"/>
    <x v="2"/>
    <x v="1"/>
    <x v="12"/>
    <x v="56"/>
    <x v="51"/>
    <x v="50"/>
    <x v="1"/>
    <x v="0"/>
    <x v="0"/>
    <n v="152"/>
    <n v="3"/>
    <x v="0"/>
  </r>
  <r>
    <x v="1"/>
    <x v="1"/>
    <x v="3"/>
    <x v="0"/>
    <x v="0"/>
    <x v="57"/>
    <n v="54"/>
    <n v="53"/>
    <x v="151"/>
    <x v="0"/>
    <x v="20"/>
    <x v="1"/>
    <x v="33"/>
    <x v="57"/>
    <x v="44"/>
    <x v="48"/>
    <x v="1"/>
    <x v="0"/>
    <x v="0"/>
    <n v="151"/>
    <n v="10"/>
    <x v="0"/>
  </r>
  <r>
    <x v="1"/>
    <x v="4"/>
    <x v="3"/>
    <x v="1"/>
    <x v="1"/>
    <x v="48"/>
    <n v="47"/>
    <n v="54"/>
    <x v="151"/>
    <x v="0"/>
    <x v="5"/>
    <x v="20"/>
    <x v="3"/>
    <x v="48"/>
    <x v="50"/>
    <x v="45"/>
    <x v="0"/>
    <x v="1"/>
    <x v="0"/>
    <n v="151"/>
    <n v="7"/>
    <x v="0"/>
  </r>
  <r>
    <x v="1"/>
    <x v="3"/>
    <x v="5"/>
    <x v="0"/>
    <x v="1"/>
    <x v="43"/>
    <n v="44"/>
    <n v="47"/>
    <x v="151"/>
    <x v="0"/>
    <x v="44"/>
    <x v="5"/>
    <x v="35"/>
    <x v="43"/>
    <x v="54"/>
    <x v="54"/>
    <x v="0"/>
    <x v="1"/>
    <x v="1"/>
    <n v="151"/>
    <n v="16"/>
    <x v="0"/>
  </r>
  <r>
    <x v="0"/>
    <x v="4"/>
    <x v="0"/>
    <x v="0"/>
    <x v="0"/>
    <x v="52"/>
    <n v="49"/>
    <n v="51"/>
    <x v="151"/>
    <x v="0"/>
    <x v="19"/>
    <x v="2"/>
    <x v="0"/>
    <x v="52"/>
    <x v="49"/>
    <x v="50"/>
    <x v="0"/>
    <x v="1"/>
    <x v="0"/>
    <n v="151"/>
    <n v="2"/>
    <x v="0"/>
  </r>
  <r>
    <x v="0"/>
    <x v="0"/>
    <x v="3"/>
    <x v="1"/>
    <x v="1"/>
    <x v="60"/>
    <n v="55"/>
    <n v="54"/>
    <x v="151"/>
    <x v="0"/>
    <x v="11"/>
    <x v="1"/>
    <x v="22"/>
    <x v="60"/>
    <x v="45"/>
    <x v="45"/>
    <x v="1"/>
    <x v="0"/>
    <x v="0"/>
    <n v="151"/>
    <n v="13"/>
    <x v="0"/>
  </r>
  <r>
    <x v="0"/>
    <x v="0"/>
    <x v="1"/>
    <x v="1"/>
    <x v="0"/>
    <x v="28"/>
    <s v="None"/>
    <n v="81"/>
    <x v="152"/>
    <x v="0"/>
    <x v="49"/>
    <x v="27"/>
    <x v="11"/>
    <x v="28"/>
    <x v="48"/>
    <x v="13"/>
    <x v="0"/>
    <x v="0"/>
    <x v="0"/>
    <n v="151"/>
    <n v="11"/>
    <x v="0"/>
  </r>
  <r>
    <x v="1"/>
    <x v="2"/>
    <x v="1"/>
    <x v="1"/>
    <x v="0"/>
    <x v="56"/>
    <n v="51"/>
    <n v="51"/>
    <x v="151"/>
    <x v="0"/>
    <x v="3"/>
    <x v="0"/>
    <x v="12"/>
    <x v="56"/>
    <x v="46"/>
    <x v="50"/>
    <x v="1"/>
    <x v="0"/>
    <x v="0"/>
    <n v="151"/>
    <n v="2"/>
    <x v="0"/>
  </r>
  <r>
    <x v="1"/>
    <x v="3"/>
    <x v="2"/>
    <x v="1"/>
    <x v="1"/>
    <x v="56"/>
    <n v="50"/>
    <n v="52"/>
    <x v="151"/>
    <x v="0"/>
    <x v="1"/>
    <x v="2"/>
    <x v="2"/>
    <x v="56"/>
    <x v="52"/>
    <x v="51"/>
    <x v="1"/>
    <x v="0"/>
    <x v="0"/>
    <n v="151"/>
    <n v="3"/>
    <x v="0"/>
  </r>
  <r>
    <x v="1"/>
    <x v="1"/>
    <x v="0"/>
    <x v="0"/>
    <x v="0"/>
    <x v="50"/>
    <n v="49"/>
    <n v="47"/>
    <x v="153"/>
    <x v="0"/>
    <x v="29"/>
    <x v="11"/>
    <x v="5"/>
    <x v="50"/>
    <x v="49"/>
    <x v="54"/>
    <x v="0"/>
    <x v="1"/>
    <x v="1"/>
    <n v="150"/>
    <n v="7"/>
    <x v="0"/>
  </r>
  <r>
    <x v="0"/>
    <x v="1"/>
    <x v="2"/>
    <x v="1"/>
    <x v="1"/>
    <x v="62"/>
    <n v="55"/>
    <n v="60"/>
    <x v="153"/>
    <x v="0"/>
    <x v="21"/>
    <x v="6"/>
    <x v="48"/>
    <x v="62"/>
    <x v="45"/>
    <x v="41"/>
    <x v="1"/>
    <x v="0"/>
    <x v="0"/>
    <n v="150"/>
    <n v="25"/>
    <x v="0"/>
  </r>
  <r>
    <x v="0"/>
    <x v="2"/>
    <x v="5"/>
    <x v="1"/>
    <x v="0"/>
    <x v="62"/>
    <n v="61"/>
    <n v="54"/>
    <x v="153"/>
    <x v="0"/>
    <x v="42"/>
    <x v="3"/>
    <x v="37"/>
    <x v="62"/>
    <x v="39"/>
    <x v="45"/>
    <x v="1"/>
    <x v="0"/>
    <x v="0"/>
    <n v="150"/>
    <n v="26"/>
    <x v="1"/>
  </r>
  <r>
    <x v="0"/>
    <x v="2"/>
    <x v="2"/>
    <x v="0"/>
    <x v="1"/>
    <x v="57"/>
    <n v="51"/>
    <n v="55"/>
    <x v="153"/>
    <x v="0"/>
    <x v="7"/>
    <x v="12"/>
    <x v="11"/>
    <x v="57"/>
    <x v="46"/>
    <x v="49"/>
    <x v="1"/>
    <x v="0"/>
    <x v="0"/>
    <n v="150"/>
    <n v="11"/>
    <x v="0"/>
  </r>
  <r>
    <x v="0"/>
    <x v="4"/>
    <x v="1"/>
    <x v="1"/>
    <x v="0"/>
    <x v="63"/>
    <n v="57"/>
    <n v="56"/>
    <x v="153"/>
    <x v="0"/>
    <x v="21"/>
    <x v="1"/>
    <x v="37"/>
    <x v="63"/>
    <x v="41"/>
    <x v="47"/>
    <x v="1"/>
    <x v="0"/>
    <x v="0"/>
    <n v="150"/>
    <n v="20"/>
    <x v="0"/>
  </r>
  <r>
    <x v="0"/>
    <x v="2"/>
    <x v="1"/>
    <x v="0"/>
    <x v="0"/>
    <x v="58"/>
    <n v="59"/>
    <n v="51"/>
    <x v="153"/>
    <x v="0"/>
    <x v="35"/>
    <x v="19"/>
    <x v="11"/>
    <x v="58"/>
    <x v="42"/>
    <x v="50"/>
    <x v="1"/>
    <x v="0"/>
    <x v="0"/>
    <n v="150"/>
    <n v="19"/>
    <x v="0"/>
  </r>
  <r>
    <x v="1"/>
    <x v="2"/>
    <x v="3"/>
    <x v="0"/>
    <x v="0"/>
    <x v="42"/>
    <n v="49"/>
    <n v="42"/>
    <x v="154"/>
    <x v="1"/>
    <x v="23"/>
    <x v="3"/>
    <x v="41"/>
    <x v="42"/>
    <x v="49"/>
    <x v="59"/>
    <x v="0"/>
    <x v="1"/>
    <x v="1"/>
    <n v="149"/>
    <n v="16"/>
    <x v="0"/>
  </r>
  <r>
    <x v="0"/>
    <x v="2"/>
    <x v="2"/>
    <x v="1"/>
    <x v="0"/>
    <x v="59"/>
    <n v="53"/>
    <n v="53"/>
    <x v="154"/>
    <x v="1"/>
    <x v="20"/>
    <x v="0"/>
    <x v="23"/>
    <x v="59"/>
    <x v="47"/>
    <x v="48"/>
    <x v="1"/>
    <x v="0"/>
    <x v="0"/>
    <n v="149"/>
    <n v="10"/>
    <x v="0"/>
  </r>
  <r>
    <x v="1"/>
    <x v="3"/>
    <x v="5"/>
    <x v="0"/>
    <x v="0"/>
    <x v="46"/>
    <n v="48"/>
    <n v="49"/>
    <x v="154"/>
    <x v="1"/>
    <x v="13"/>
    <x v="4"/>
    <x v="9"/>
    <x v="46"/>
    <x v="53"/>
    <x v="52"/>
    <x v="0"/>
    <x v="1"/>
    <x v="1"/>
    <n v="149"/>
    <n v="4"/>
    <x v="0"/>
  </r>
  <r>
    <x v="0"/>
    <x v="2"/>
    <x v="1"/>
    <x v="0"/>
    <x v="0"/>
    <x v="30"/>
    <n v="80"/>
    <s v="None"/>
    <x v="155"/>
    <x v="0"/>
    <x v="10"/>
    <x v="27"/>
    <x v="47"/>
    <x v="30"/>
    <x v="21"/>
    <x v="44"/>
    <x v="0"/>
    <x v="0"/>
    <x v="0"/>
    <n v="149"/>
    <n v="11"/>
    <x v="0"/>
  </r>
  <r>
    <x v="1"/>
    <x v="4"/>
    <x v="1"/>
    <x v="1"/>
    <x v="0"/>
    <x v="55"/>
    <n v="57"/>
    <n v="44"/>
    <x v="156"/>
    <x v="1"/>
    <x v="20"/>
    <x v="23"/>
    <x v="9"/>
    <x v="55"/>
    <x v="41"/>
    <x v="57"/>
    <x v="1"/>
    <x v="0"/>
    <x v="1"/>
    <n v="148"/>
    <n v="13"/>
    <x v="0"/>
  </r>
  <r>
    <x v="0"/>
    <x v="3"/>
    <x v="5"/>
    <x v="1"/>
    <x v="0"/>
    <x v="64"/>
    <n v="60"/>
    <n v="50"/>
    <x v="156"/>
    <x v="1"/>
    <x v="38"/>
    <x v="9"/>
    <x v="22"/>
    <x v="64"/>
    <x v="38"/>
    <x v="46"/>
    <x v="1"/>
    <x v="0"/>
    <x v="0"/>
    <n v="148"/>
    <n v="22"/>
    <x v="0"/>
  </r>
  <r>
    <x v="0"/>
    <x v="2"/>
    <x v="0"/>
    <x v="1"/>
    <x v="1"/>
    <x v="59"/>
    <n v="51"/>
    <n v="54"/>
    <x v="156"/>
    <x v="1"/>
    <x v="8"/>
    <x v="5"/>
    <x v="11"/>
    <x v="59"/>
    <x v="46"/>
    <x v="45"/>
    <x v="1"/>
    <x v="0"/>
    <x v="0"/>
    <n v="148"/>
    <n v="11"/>
    <x v="0"/>
  </r>
  <r>
    <x v="1"/>
    <x v="4"/>
    <x v="1"/>
    <x v="1"/>
    <x v="1"/>
    <x v="58"/>
    <n v="55"/>
    <n v="53"/>
    <x v="156"/>
    <x v="1"/>
    <x v="14"/>
    <x v="11"/>
    <x v="13"/>
    <x v="58"/>
    <x v="45"/>
    <x v="48"/>
    <x v="1"/>
    <x v="0"/>
    <x v="0"/>
    <n v="148"/>
    <n v="15"/>
    <x v="0"/>
  </r>
  <r>
    <x v="1"/>
    <x v="4"/>
    <x v="5"/>
    <x v="0"/>
    <x v="0"/>
    <x v="41"/>
    <n v="43"/>
    <n v="47"/>
    <x v="157"/>
    <x v="1"/>
    <x v="31"/>
    <x v="12"/>
    <x v="28"/>
    <x v="41"/>
    <x v="55"/>
    <x v="54"/>
    <x v="0"/>
    <x v="1"/>
    <x v="1"/>
    <n v="147"/>
    <n v="14"/>
    <x v="0"/>
  </r>
  <r>
    <x v="0"/>
    <x v="0"/>
    <x v="5"/>
    <x v="0"/>
    <x v="0"/>
    <x v="48"/>
    <n v="50"/>
    <n v="47"/>
    <x v="157"/>
    <x v="1"/>
    <x v="0"/>
    <x v="7"/>
    <x v="9"/>
    <x v="48"/>
    <x v="52"/>
    <x v="54"/>
    <x v="0"/>
    <x v="0"/>
    <x v="1"/>
    <n v="147"/>
    <n v="3"/>
    <x v="0"/>
  </r>
  <r>
    <x v="1"/>
    <x v="1"/>
    <x v="5"/>
    <x v="0"/>
    <x v="0"/>
    <x v="47"/>
    <n v="52"/>
    <n v="42"/>
    <x v="157"/>
    <x v="1"/>
    <x v="28"/>
    <x v="9"/>
    <x v="32"/>
    <x v="47"/>
    <x v="51"/>
    <x v="59"/>
    <x v="0"/>
    <x v="0"/>
    <x v="1"/>
    <n v="147"/>
    <n v="11"/>
    <x v="0"/>
  </r>
  <r>
    <x v="1"/>
    <x v="2"/>
    <x v="2"/>
    <x v="0"/>
    <x v="0"/>
    <x v="52"/>
    <n v="52"/>
    <n v="44"/>
    <x v="157"/>
    <x v="1"/>
    <x v="1"/>
    <x v="19"/>
    <x v="5"/>
    <x v="52"/>
    <x v="51"/>
    <x v="57"/>
    <x v="0"/>
    <x v="0"/>
    <x v="1"/>
    <n v="147"/>
    <n v="8"/>
    <x v="0"/>
  </r>
  <r>
    <x v="0"/>
    <x v="3"/>
    <x v="2"/>
    <x v="0"/>
    <x v="0"/>
    <x v="65"/>
    <n v="55"/>
    <n v="51"/>
    <x v="157"/>
    <x v="1"/>
    <x v="33"/>
    <x v="10"/>
    <x v="23"/>
    <x v="65"/>
    <x v="45"/>
    <x v="50"/>
    <x v="1"/>
    <x v="0"/>
    <x v="0"/>
    <n v="147"/>
    <n v="14"/>
    <x v="0"/>
  </r>
  <r>
    <x v="1"/>
    <x v="3"/>
    <x v="5"/>
    <x v="0"/>
    <x v="1"/>
    <x v="46"/>
    <n v="49"/>
    <n v="46"/>
    <x v="157"/>
    <x v="1"/>
    <x v="5"/>
    <x v="7"/>
    <x v="16"/>
    <x v="46"/>
    <x v="49"/>
    <x v="55"/>
    <x v="0"/>
    <x v="1"/>
    <x v="1"/>
    <n v="147"/>
    <n v="6"/>
    <x v="0"/>
  </r>
  <r>
    <x v="0"/>
    <x v="3"/>
    <x v="1"/>
    <x v="0"/>
    <x v="0"/>
    <x v="55"/>
    <n v="49"/>
    <n v="50"/>
    <x v="158"/>
    <x v="1"/>
    <x v="3"/>
    <x v="4"/>
    <x v="2"/>
    <x v="55"/>
    <x v="49"/>
    <x v="46"/>
    <x v="1"/>
    <x v="1"/>
    <x v="0"/>
    <n v="146"/>
    <n v="3"/>
    <x v="0"/>
  </r>
  <r>
    <x v="1"/>
    <x v="3"/>
    <x v="2"/>
    <x v="0"/>
    <x v="1"/>
    <x v="52"/>
    <n v="54"/>
    <n v="41"/>
    <x v="158"/>
    <x v="1"/>
    <x v="2"/>
    <x v="23"/>
    <x v="28"/>
    <x v="52"/>
    <x v="44"/>
    <x v="60"/>
    <x v="0"/>
    <x v="0"/>
    <x v="1"/>
    <n v="146"/>
    <n v="13"/>
    <x v="0"/>
  </r>
  <r>
    <x v="1"/>
    <x v="4"/>
    <x v="5"/>
    <x v="0"/>
    <x v="1"/>
    <x v="32"/>
    <s v="None"/>
    <n v="74"/>
    <x v="74"/>
    <x v="0"/>
    <x v="49"/>
    <x v="27"/>
    <x v="12"/>
    <x v="32"/>
    <x v="48"/>
    <x v="27"/>
    <x v="0"/>
    <x v="0"/>
    <x v="0"/>
    <n v="146"/>
    <n v="2"/>
    <x v="0"/>
  </r>
  <r>
    <x v="1"/>
    <x v="2"/>
    <x v="2"/>
    <x v="1"/>
    <x v="1"/>
    <x v="49"/>
    <n v="52"/>
    <n v="49"/>
    <x v="158"/>
    <x v="1"/>
    <x v="7"/>
    <x v="7"/>
    <x v="3"/>
    <x v="49"/>
    <x v="51"/>
    <x v="52"/>
    <x v="1"/>
    <x v="0"/>
    <x v="1"/>
    <n v="146"/>
    <n v="7"/>
    <x v="0"/>
  </r>
  <r>
    <x v="0"/>
    <x v="4"/>
    <x v="5"/>
    <x v="0"/>
    <x v="0"/>
    <x v="51"/>
    <n v="73"/>
    <n v="73"/>
    <x v="74"/>
    <x v="0"/>
    <x v="49"/>
    <x v="0"/>
    <x v="47"/>
    <x v="51"/>
    <x v="22"/>
    <x v="26"/>
    <x v="0"/>
    <x v="0"/>
    <x v="0"/>
    <n v="146"/>
    <n v="0"/>
    <x v="0"/>
  </r>
  <r>
    <x v="1"/>
    <x v="1"/>
    <x v="2"/>
    <x v="0"/>
    <x v="0"/>
    <x v="45"/>
    <n v="47"/>
    <n v="44"/>
    <x v="158"/>
    <x v="1"/>
    <x v="9"/>
    <x v="7"/>
    <x v="32"/>
    <x v="45"/>
    <x v="50"/>
    <x v="57"/>
    <x v="0"/>
    <x v="1"/>
    <x v="1"/>
    <n v="146"/>
    <n v="11"/>
    <x v="0"/>
  </r>
  <r>
    <x v="1"/>
    <x v="0"/>
    <x v="1"/>
    <x v="1"/>
    <x v="1"/>
    <x v="19"/>
    <s v="None"/>
    <n v="68"/>
    <x v="159"/>
    <x v="0"/>
    <x v="49"/>
    <x v="27"/>
    <x v="14"/>
    <x v="19"/>
    <x v="48"/>
    <x v="32"/>
    <x v="0"/>
    <x v="0"/>
    <x v="0"/>
    <n v="145"/>
    <n v="9"/>
    <x v="0"/>
  </r>
  <r>
    <x v="1"/>
    <x v="3"/>
    <x v="2"/>
    <x v="1"/>
    <x v="0"/>
    <x v="53"/>
    <n v="52"/>
    <n v="45"/>
    <x v="160"/>
    <x v="1"/>
    <x v="4"/>
    <x v="3"/>
    <x v="9"/>
    <x v="53"/>
    <x v="51"/>
    <x v="58"/>
    <x v="1"/>
    <x v="0"/>
    <x v="1"/>
    <n v="145"/>
    <n v="7"/>
    <x v="0"/>
  </r>
  <r>
    <x v="0"/>
    <x v="2"/>
    <x v="2"/>
    <x v="1"/>
    <x v="0"/>
    <x v="57"/>
    <n v="50"/>
    <n v="51"/>
    <x v="160"/>
    <x v="1"/>
    <x v="26"/>
    <x v="4"/>
    <x v="7"/>
    <x v="57"/>
    <x v="52"/>
    <x v="50"/>
    <x v="1"/>
    <x v="0"/>
    <x v="0"/>
    <n v="145"/>
    <n v="7"/>
    <x v="0"/>
  </r>
  <r>
    <x v="0"/>
    <x v="3"/>
    <x v="5"/>
    <x v="0"/>
    <x v="0"/>
    <x v="60"/>
    <n v="52"/>
    <n v="51"/>
    <x v="160"/>
    <x v="1"/>
    <x v="20"/>
    <x v="1"/>
    <x v="33"/>
    <x v="60"/>
    <x v="51"/>
    <x v="50"/>
    <x v="1"/>
    <x v="0"/>
    <x v="0"/>
    <n v="145"/>
    <n v="10"/>
    <x v="0"/>
  </r>
  <r>
    <x v="1"/>
    <x v="2"/>
    <x v="0"/>
    <x v="1"/>
    <x v="1"/>
    <x v="28"/>
    <n v="75"/>
    <s v="None"/>
    <x v="159"/>
    <x v="0"/>
    <x v="6"/>
    <x v="27"/>
    <x v="47"/>
    <x v="28"/>
    <x v="26"/>
    <x v="44"/>
    <x v="0"/>
    <x v="0"/>
    <x v="0"/>
    <n v="145"/>
    <n v="5"/>
    <x v="0"/>
  </r>
  <r>
    <x v="1"/>
    <x v="1"/>
    <x v="0"/>
    <x v="1"/>
    <x v="0"/>
    <x v="45"/>
    <n v="46"/>
    <n v="44"/>
    <x v="160"/>
    <x v="1"/>
    <x v="23"/>
    <x v="11"/>
    <x v="32"/>
    <x v="45"/>
    <x v="56"/>
    <x v="57"/>
    <x v="0"/>
    <x v="1"/>
    <x v="1"/>
    <n v="145"/>
    <n v="11"/>
    <x v="0"/>
  </r>
  <r>
    <x v="1"/>
    <x v="2"/>
    <x v="1"/>
    <x v="0"/>
    <x v="1"/>
    <x v="27"/>
    <s v="None"/>
    <n v="72"/>
    <x v="159"/>
    <x v="0"/>
    <x v="49"/>
    <x v="27"/>
    <x v="4"/>
    <x v="27"/>
    <x v="48"/>
    <x v="30"/>
    <x v="0"/>
    <x v="0"/>
    <x v="0"/>
    <n v="145"/>
    <n v="1"/>
    <x v="0"/>
  </r>
  <r>
    <x v="0"/>
    <x v="2"/>
    <x v="0"/>
    <x v="0"/>
    <x v="0"/>
    <x v="39"/>
    <s v="None"/>
    <n v="81"/>
    <x v="77"/>
    <x v="0"/>
    <x v="49"/>
    <x v="27"/>
    <x v="27"/>
    <x v="39"/>
    <x v="48"/>
    <x v="13"/>
    <x v="0"/>
    <x v="0"/>
    <x v="0"/>
    <n v="144"/>
    <n v="18"/>
    <x v="0"/>
  </r>
  <r>
    <x v="1"/>
    <x v="1"/>
    <x v="5"/>
    <x v="0"/>
    <x v="0"/>
    <x v="65"/>
    <n v="52"/>
    <n v="51"/>
    <x v="161"/>
    <x v="1"/>
    <x v="10"/>
    <x v="1"/>
    <x v="23"/>
    <x v="65"/>
    <x v="51"/>
    <x v="50"/>
    <x v="1"/>
    <x v="0"/>
    <x v="0"/>
    <n v="144"/>
    <n v="11"/>
    <x v="0"/>
  </r>
  <r>
    <x v="1"/>
    <x v="2"/>
    <x v="1"/>
    <x v="1"/>
    <x v="0"/>
    <x v="19"/>
    <n v="67"/>
    <s v="None"/>
    <x v="77"/>
    <x v="0"/>
    <x v="24"/>
    <x v="27"/>
    <x v="47"/>
    <x v="19"/>
    <x v="32"/>
    <x v="44"/>
    <x v="0"/>
    <x v="0"/>
    <x v="0"/>
    <n v="144"/>
    <n v="10"/>
    <x v="0"/>
  </r>
  <r>
    <x v="1"/>
    <x v="4"/>
    <x v="2"/>
    <x v="1"/>
    <x v="0"/>
    <x v="45"/>
    <n v="46"/>
    <n v="43"/>
    <x v="161"/>
    <x v="1"/>
    <x v="23"/>
    <x v="7"/>
    <x v="31"/>
    <x v="45"/>
    <x v="56"/>
    <x v="56"/>
    <x v="0"/>
    <x v="1"/>
    <x v="1"/>
    <n v="144"/>
    <n v="12"/>
    <x v="0"/>
  </r>
  <r>
    <x v="1"/>
    <x v="3"/>
    <x v="1"/>
    <x v="0"/>
    <x v="0"/>
    <x v="33"/>
    <n v="42"/>
    <n v="41"/>
    <x v="161"/>
    <x v="1"/>
    <x v="43"/>
    <x v="1"/>
    <x v="45"/>
    <x v="33"/>
    <x v="57"/>
    <x v="60"/>
    <x v="0"/>
    <x v="1"/>
    <x v="1"/>
    <n v="144"/>
    <n v="20"/>
    <x v="0"/>
  </r>
  <r>
    <x v="1"/>
    <x v="1"/>
    <x v="5"/>
    <x v="0"/>
    <x v="1"/>
    <x v="45"/>
    <n v="41"/>
    <n v="48"/>
    <x v="161"/>
    <x v="1"/>
    <x v="31"/>
    <x v="20"/>
    <x v="5"/>
    <x v="45"/>
    <x v="58"/>
    <x v="53"/>
    <x v="0"/>
    <x v="1"/>
    <x v="1"/>
    <n v="144"/>
    <n v="14"/>
    <x v="0"/>
  </r>
  <r>
    <x v="1"/>
    <x v="2"/>
    <x v="1"/>
    <x v="0"/>
    <x v="0"/>
    <x v="56"/>
    <n v="51"/>
    <n v="43"/>
    <x v="162"/>
    <x v="1"/>
    <x v="3"/>
    <x v="19"/>
    <x v="16"/>
    <x v="56"/>
    <x v="46"/>
    <x v="56"/>
    <x v="1"/>
    <x v="0"/>
    <x v="1"/>
    <n v="143"/>
    <n v="8"/>
    <x v="0"/>
  </r>
  <r>
    <x v="1"/>
    <x v="1"/>
    <x v="5"/>
    <x v="1"/>
    <x v="0"/>
    <x v="57"/>
    <n v="51"/>
    <n v="48"/>
    <x v="162"/>
    <x v="1"/>
    <x v="7"/>
    <x v="7"/>
    <x v="3"/>
    <x v="57"/>
    <x v="46"/>
    <x v="53"/>
    <x v="1"/>
    <x v="0"/>
    <x v="1"/>
    <n v="143"/>
    <n v="7"/>
    <x v="0"/>
  </r>
  <r>
    <x v="1"/>
    <x v="3"/>
    <x v="5"/>
    <x v="1"/>
    <x v="0"/>
    <x v="36"/>
    <n v="77"/>
    <s v="None"/>
    <x v="163"/>
    <x v="0"/>
    <x v="10"/>
    <x v="27"/>
    <x v="47"/>
    <x v="36"/>
    <x v="23"/>
    <x v="44"/>
    <x v="0"/>
    <x v="0"/>
    <x v="0"/>
    <n v="143"/>
    <n v="11"/>
    <x v="0"/>
  </r>
  <r>
    <x v="0"/>
    <x v="1"/>
    <x v="3"/>
    <x v="1"/>
    <x v="0"/>
    <x v="35"/>
    <s v="None"/>
    <n v="77"/>
    <x v="80"/>
    <x v="0"/>
    <x v="49"/>
    <x v="27"/>
    <x v="22"/>
    <x v="35"/>
    <x v="48"/>
    <x v="23"/>
    <x v="0"/>
    <x v="0"/>
    <x v="0"/>
    <n v="142"/>
    <n v="12"/>
    <x v="0"/>
  </r>
  <r>
    <x v="1"/>
    <x v="2"/>
    <x v="3"/>
    <x v="0"/>
    <x v="0"/>
    <x v="38"/>
    <n v="41"/>
    <n v="42"/>
    <x v="164"/>
    <x v="1"/>
    <x v="36"/>
    <x v="4"/>
    <x v="40"/>
    <x v="38"/>
    <x v="58"/>
    <x v="59"/>
    <x v="0"/>
    <x v="1"/>
    <x v="1"/>
    <n v="142"/>
    <n v="18"/>
    <x v="0"/>
  </r>
  <r>
    <x v="1"/>
    <x v="4"/>
    <x v="5"/>
    <x v="1"/>
    <x v="0"/>
    <x v="49"/>
    <n v="47"/>
    <n v="49"/>
    <x v="165"/>
    <x v="1"/>
    <x v="3"/>
    <x v="2"/>
    <x v="3"/>
    <x v="49"/>
    <x v="50"/>
    <x v="52"/>
    <x v="1"/>
    <x v="1"/>
    <x v="1"/>
    <n v="141"/>
    <n v="4"/>
    <x v="0"/>
  </r>
  <r>
    <x v="0"/>
    <x v="4"/>
    <x v="1"/>
    <x v="1"/>
    <x v="0"/>
    <x v="65"/>
    <n v="51"/>
    <n v="48"/>
    <x v="166"/>
    <x v="1"/>
    <x v="20"/>
    <x v="7"/>
    <x v="7"/>
    <x v="65"/>
    <x v="46"/>
    <x v="53"/>
    <x v="1"/>
    <x v="0"/>
    <x v="1"/>
    <n v="140"/>
    <n v="10"/>
    <x v="0"/>
  </r>
  <r>
    <x v="1"/>
    <x v="2"/>
    <x v="0"/>
    <x v="1"/>
    <x v="0"/>
    <x v="63"/>
    <n v="56"/>
    <n v="47"/>
    <x v="166"/>
    <x v="1"/>
    <x v="35"/>
    <x v="15"/>
    <x v="23"/>
    <x v="63"/>
    <x v="43"/>
    <x v="54"/>
    <x v="1"/>
    <x v="0"/>
    <x v="1"/>
    <n v="140"/>
    <n v="19"/>
    <x v="0"/>
  </r>
  <r>
    <x v="1"/>
    <x v="2"/>
    <x v="5"/>
    <x v="0"/>
    <x v="0"/>
    <x v="48"/>
    <n v="48"/>
    <n v="42"/>
    <x v="166"/>
    <x v="1"/>
    <x v="19"/>
    <x v="16"/>
    <x v="19"/>
    <x v="48"/>
    <x v="53"/>
    <x v="59"/>
    <x v="0"/>
    <x v="1"/>
    <x v="1"/>
    <n v="140"/>
    <n v="8"/>
    <x v="0"/>
  </r>
  <r>
    <x v="0"/>
    <x v="3"/>
    <x v="5"/>
    <x v="1"/>
    <x v="0"/>
    <x v="51"/>
    <n v="72"/>
    <n v="68"/>
    <x v="83"/>
    <x v="0"/>
    <x v="49"/>
    <x v="10"/>
    <x v="47"/>
    <x v="51"/>
    <x v="27"/>
    <x v="32"/>
    <x v="0"/>
    <x v="0"/>
    <x v="0"/>
    <n v="140"/>
    <n v="4"/>
    <x v="0"/>
  </r>
  <r>
    <x v="1"/>
    <x v="0"/>
    <x v="0"/>
    <x v="0"/>
    <x v="1"/>
    <x v="28"/>
    <s v="None"/>
    <n v="70"/>
    <x v="83"/>
    <x v="0"/>
    <x v="49"/>
    <x v="27"/>
    <x v="0"/>
    <x v="28"/>
    <x v="48"/>
    <x v="31"/>
    <x v="0"/>
    <x v="0"/>
    <x v="0"/>
    <n v="140"/>
    <n v="0"/>
    <x v="0"/>
  </r>
  <r>
    <x v="1"/>
    <x v="1"/>
    <x v="0"/>
    <x v="1"/>
    <x v="0"/>
    <x v="48"/>
    <n v="42"/>
    <n v="48"/>
    <x v="166"/>
    <x v="1"/>
    <x v="9"/>
    <x v="13"/>
    <x v="21"/>
    <x v="48"/>
    <x v="57"/>
    <x v="53"/>
    <x v="0"/>
    <x v="1"/>
    <x v="1"/>
    <n v="140"/>
    <n v="8"/>
    <x v="0"/>
  </r>
  <r>
    <x v="1"/>
    <x v="2"/>
    <x v="3"/>
    <x v="0"/>
    <x v="0"/>
    <x v="47"/>
    <n v="44"/>
    <n v="42"/>
    <x v="167"/>
    <x v="1"/>
    <x v="23"/>
    <x v="11"/>
    <x v="32"/>
    <x v="47"/>
    <x v="54"/>
    <x v="59"/>
    <x v="0"/>
    <x v="1"/>
    <x v="1"/>
    <n v="139"/>
    <n v="11"/>
    <x v="0"/>
  </r>
  <r>
    <x v="1"/>
    <x v="2"/>
    <x v="2"/>
    <x v="0"/>
    <x v="0"/>
    <x v="56"/>
    <n v="49"/>
    <n v="41"/>
    <x v="167"/>
    <x v="1"/>
    <x v="0"/>
    <x v="19"/>
    <x v="19"/>
    <x v="56"/>
    <x v="49"/>
    <x v="60"/>
    <x v="1"/>
    <x v="1"/>
    <x v="1"/>
    <n v="139"/>
    <n v="8"/>
    <x v="0"/>
  </r>
  <r>
    <x v="1"/>
    <x v="3"/>
    <x v="5"/>
    <x v="1"/>
    <x v="0"/>
    <x v="56"/>
    <n v="45"/>
    <n v="45"/>
    <x v="167"/>
    <x v="1"/>
    <x v="13"/>
    <x v="0"/>
    <x v="17"/>
    <x v="56"/>
    <x v="59"/>
    <x v="58"/>
    <x v="1"/>
    <x v="1"/>
    <x v="1"/>
    <n v="139"/>
    <n v="4"/>
    <x v="0"/>
  </r>
  <r>
    <x v="1"/>
    <x v="4"/>
    <x v="3"/>
    <x v="0"/>
    <x v="0"/>
    <x v="47"/>
    <n v="43"/>
    <n v="43"/>
    <x v="167"/>
    <x v="1"/>
    <x v="24"/>
    <x v="0"/>
    <x v="28"/>
    <x v="47"/>
    <x v="55"/>
    <x v="56"/>
    <x v="0"/>
    <x v="1"/>
    <x v="1"/>
    <n v="139"/>
    <n v="10"/>
    <x v="0"/>
  </r>
  <r>
    <x v="1"/>
    <x v="1"/>
    <x v="1"/>
    <x v="0"/>
    <x v="0"/>
    <x v="25"/>
    <s v="None"/>
    <n v="64"/>
    <x v="168"/>
    <x v="0"/>
    <x v="49"/>
    <x v="27"/>
    <x v="32"/>
    <x v="25"/>
    <x v="48"/>
    <x v="34"/>
    <x v="0"/>
    <x v="0"/>
    <x v="0"/>
    <n v="139"/>
    <n v="11"/>
    <x v="0"/>
  </r>
  <r>
    <x v="1"/>
    <x v="3"/>
    <x v="5"/>
    <x v="0"/>
    <x v="1"/>
    <x v="51"/>
    <n v="71"/>
    <n v="68"/>
    <x v="168"/>
    <x v="0"/>
    <x v="49"/>
    <x v="7"/>
    <x v="47"/>
    <x v="51"/>
    <x v="28"/>
    <x v="32"/>
    <x v="0"/>
    <x v="0"/>
    <x v="0"/>
    <n v="139"/>
    <n v="3"/>
    <x v="0"/>
  </r>
  <r>
    <x v="1"/>
    <x v="2"/>
    <x v="1"/>
    <x v="1"/>
    <x v="1"/>
    <x v="59"/>
    <n v="45"/>
    <n v="50"/>
    <x v="169"/>
    <x v="1"/>
    <x v="3"/>
    <x v="6"/>
    <x v="7"/>
    <x v="59"/>
    <x v="59"/>
    <x v="46"/>
    <x v="1"/>
    <x v="1"/>
    <x v="0"/>
    <n v="138"/>
    <n v="7"/>
    <x v="0"/>
  </r>
  <r>
    <x v="0"/>
    <x v="3"/>
    <x v="1"/>
    <x v="0"/>
    <x v="0"/>
    <x v="58"/>
    <n v="48"/>
    <n v="50"/>
    <x v="169"/>
    <x v="1"/>
    <x v="8"/>
    <x v="2"/>
    <x v="23"/>
    <x v="58"/>
    <x v="53"/>
    <x v="46"/>
    <x v="1"/>
    <x v="1"/>
    <x v="0"/>
    <n v="138"/>
    <n v="10"/>
    <x v="0"/>
  </r>
  <r>
    <x v="1"/>
    <x v="0"/>
    <x v="1"/>
    <x v="0"/>
    <x v="0"/>
    <x v="47"/>
    <n v="45"/>
    <n v="40"/>
    <x v="169"/>
    <x v="1"/>
    <x v="9"/>
    <x v="8"/>
    <x v="35"/>
    <x v="47"/>
    <x v="59"/>
    <x v="61"/>
    <x v="0"/>
    <x v="1"/>
    <x v="1"/>
    <n v="138"/>
    <n v="13"/>
    <x v="0"/>
  </r>
  <r>
    <x v="0"/>
    <x v="1"/>
    <x v="5"/>
    <x v="1"/>
    <x v="0"/>
    <x v="61"/>
    <n v="52"/>
    <n v="46"/>
    <x v="170"/>
    <x v="1"/>
    <x v="11"/>
    <x v="16"/>
    <x v="7"/>
    <x v="61"/>
    <x v="51"/>
    <x v="55"/>
    <x v="1"/>
    <x v="0"/>
    <x v="1"/>
    <n v="137"/>
    <n v="13"/>
    <x v="0"/>
  </r>
  <r>
    <x v="0"/>
    <x v="3"/>
    <x v="2"/>
    <x v="0"/>
    <x v="0"/>
    <x v="51"/>
    <n v="64"/>
    <n v="72"/>
    <x v="89"/>
    <x v="0"/>
    <x v="49"/>
    <x v="17"/>
    <x v="47"/>
    <x v="51"/>
    <x v="34"/>
    <x v="30"/>
    <x v="0"/>
    <x v="0"/>
    <x v="0"/>
    <n v="136"/>
    <n v="8"/>
    <x v="0"/>
  </r>
  <r>
    <x v="1"/>
    <x v="2"/>
    <x v="5"/>
    <x v="1"/>
    <x v="1"/>
    <x v="58"/>
    <n v="46"/>
    <n v="50"/>
    <x v="171"/>
    <x v="1"/>
    <x v="26"/>
    <x v="12"/>
    <x v="23"/>
    <x v="58"/>
    <x v="56"/>
    <x v="46"/>
    <x v="1"/>
    <x v="1"/>
    <x v="0"/>
    <n v="136"/>
    <n v="10"/>
    <x v="0"/>
  </r>
  <r>
    <x v="1"/>
    <x v="3"/>
    <x v="1"/>
    <x v="0"/>
    <x v="0"/>
    <x v="53"/>
    <n v="43"/>
    <n v="45"/>
    <x v="171"/>
    <x v="1"/>
    <x v="29"/>
    <x v="2"/>
    <x v="9"/>
    <x v="53"/>
    <x v="55"/>
    <x v="58"/>
    <x v="1"/>
    <x v="1"/>
    <x v="1"/>
    <n v="136"/>
    <n v="5"/>
    <x v="0"/>
  </r>
  <r>
    <x v="1"/>
    <x v="1"/>
    <x v="1"/>
    <x v="0"/>
    <x v="0"/>
    <x v="58"/>
    <n v="52"/>
    <n v="43"/>
    <x v="172"/>
    <x v="1"/>
    <x v="27"/>
    <x v="15"/>
    <x v="2"/>
    <x v="58"/>
    <x v="51"/>
    <x v="56"/>
    <x v="1"/>
    <x v="0"/>
    <x v="1"/>
    <n v="135"/>
    <n v="12"/>
    <x v="0"/>
  </r>
  <r>
    <x v="0"/>
    <x v="1"/>
    <x v="3"/>
    <x v="0"/>
    <x v="0"/>
    <x v="35"/>
    <n v="70"/>
    <s v="None"/>
    <x v="173"/>
    <x v="0"/>
    <x v="6"/>
    <x v="27"/>
    <x v="47"/>
    <x v="35"/>
    <x v="31"/>
    <x v="44"/>
    <x v="0"/>
    <x v="0"/>
    <x v="0"/>
    <n v="135"/>
    <n v="5"/>
    <x v="0"/>
  </r>
  <r>
    <x v="1"/>
    <x v="3"/>
    <x v="5"/>
    <x v="0"/>
    <x v="0"/>
    <x v="55"/>
    <n v="46"/>
    <n v="42"/>
    <x v="172"/>
    <x v="1"/>
    <x v="28"/>
    <x v="10"/>
    <x v="30"/>
    <x v="55"/>
    <x v="56"/>
    <x v="59"/>
    <x v="1"/>
    <x v="1"/>
    <x v="1"/>
    <n v="135"/>
    <n v="5"/>
    <x v="0"/>
  </r>
  <r>
    <x v="1"/>
    <x v="2"/>
    <x v="4"/>
    <x v="1"/>
    <x v="1"/>
    <x v="54"/>
    <n v="42"/>
    <n v="46"/>
    <x v="174"/>
    <x v="1"/>
    <x v="13"/>
    <x v="12"/>
    <x v="0"/>
    <x v="54"/>
    <x v="57"/>
    <x v="55"/>
    <x v="1"/>
    <x v="1"/>
    <x v="1"/>
    <n v="134"/>
    <n v="4"/>
    <x v="0"/>
  </r>
  <r>
    <x v="1"/>
    <x v="4"/>
    <x v="5"/>
    <x v="1"/>
    <x v="0"/>
    <x v="53"/>
    <n v="45"/>
    <n v="41"/>
    <x v="174"/>
    <x v="1"/>
    <x v="5"/>
    <x v="10"/>
    <x v="5"/>
    <x v="53"/>
    <x v="59"/>
    <x v="60"/>
    <x v="1"/>
    <x v="1"/>
    <x v="1"/>
    <n v="134"/>
    <n v="7"/>
    <x v="0"/>
  </r>
  <r>
    <x v="0"/>
    <x v="2"/>
    <x v="5"/>
    <x v="1"/>
    <x v="0"/>
    <x v="62"/>
    <n v="53"/>
    <n v="46"/>
    <x v="174"/>
    <x v="1"/>
    <x v="32"/>
    <x v="3"/>
    <x v="11"/>
    <x v="62"/>
    <x v="47"/>
    <x v="55"/>
    <x v="1"/>
    <x v="0"/>
    <x v="1"/>
    <n v="134"/>
    <n v="18"/>
    <x v="0"/>
  </r>
  <r>
    <x v="0"/>
    <x v="4"/>
    <x v="2"/>
    <x v="1"/>
    <x v="0"/>
    <x v="57"/>
    <n v="45"/>
    <n v="45"/>
    <x v="174"/>
    <x v="1"/>
    <x v="1"/>
    <x v="0"/>
    <x v="1"/>
    <x v="57"/>
    <x v="59"/>
    <x v="58"/>
    <x v="1"/>
    <x v="1"/>
    <x v="1"/>
    <n v="134"/>
    <n v="1"/>
    <x v="0"/>
  </r>
  <r>
    <x v="0"/>
    <x v="3"/>
    <x v="0"/>
    <x v="0"/>
    <x v="0"/>
    <x v="33"/>
    <n v="72"/>
    <s v="None"/>
    <x v="175"/>
    <x v="0"/>
    <x v="10"/>
    <x v="27"/>
    <x v="47"/>
    <x v="33"/>
    <x v="27"/>
    <x v="44"/>
    <x v="0"/>
    <x v="0"/>
    <x v="0"/>
    <n v="133"/>
    <n v="11"/>
    <x v="0"/>
  </r>
  <r>
    <x v="1"/>
    <x v="0"/>
    <x v="1"/>
    <x v="1"/>
    <x v="1"/>
    <x v="54"/>
    <n v="43"/>
    <n v="44"/>
    <x v="176"/>
    <x v="1"/>
    <x v="5"/>
    <x v="4"/>
    <x v="21"/>
    <x v="54"/>
    <x v="55"/>
    <x v="57"/>
    <x v="1"/>
    <x v="1"/>
    <x v="1"/>
    <n v="133"/>
    <n v="3"/>
    <x v="0"/>
  </r>
  <r>
    <x v="0"/>
    <x v="0"/>
    <x v="2"/>
    <x v="1"/>
    <x v="0"/>
    <x v="64"/>
    <n v="49"/>
    <n v="45"/>
    <x v="177"/>
    <x v="1"/>
    <x v="10"/>
    <x v="10"/>
    <x v="7"/>
    <x v="64"/>
    <x v="49"/>
    <x v="58"/>
    <x v="1"/>
    <x v="1"/>
    <x v="1"/>
    <n v="132"/>
    <n v="11"/>
    <x v="0"/>
  </r>
  <r>
    <x v="1"/>
    <x v="1"/>
    <x v="5"/>
    <x v="0"/>
    <x v="1"/>
    <x v="37"/>
    <n v="64"/>
    <s v="None"/>
    <x v="95"/>
    <x v="0"/>
    <x v="13"/>
    <x v="27"/>
    <x v="47"/>
    <x v="37"/>
    <x v="34"/>
    <x v="44"/>
    <x v="0"/>
    <x v="0"/>
    <x v="0"/>
    <n v="132"/>
    <n v="4"/>
    <x v="0"/>
  </r>
  <r>
    <x v="0"/>
    <x v="2"/>
    <x v="5"/>
    <x v="1"/>
    <x v="0"/>
    <x v="66"/>
    <n v="53"/>
    <n v="43"/>
    <x v="177"/>
    <x v="1"/>
    <x v="25"/>
    <x v="9"/>
    <x v="7"/>
    <x v="66"/>
    <x v="47"/>
    <x v="56"/>
    <x v="1"/>
    <x v="0"/>
    <x v="1"/>
    <n v="132"/>
    <n v="17"/>
    <x v="0"/>
  </r>
  <r>
    <x v="1"/>
    <x v="2"/>
    <x v="1"/>
    <x v="0"/>
    <x v="0"/>
    <x v="54"/>
    <n v="43"/>
    <n v="42"/>
    <x v="178"/>
    <x v="1"/>
    <x v="5"/>
    <x v="1"/>
    <x v="17"/>
    <x v="54"/>
    <x v="55"/>
    <x v="59"/>
    <x v="1"/>
    <x v="1"/>
    <x v="1"/>
    <n v="131"/>
    <n v="4"/>
    <x v="0"/>
  </r>
  <r>
    <x v="1"/>
    <x v="3"/>
    <x v="3"/>
    <x v="0"/>
    <x v="0"/>
    <x v="55"/>
    <n v="43"/>
    <n v="41"/>
    <x v="178"/>
    <x v="1"/>
    <x v="13"/>
    <x v="11"/>
    <x v="16"/>
    <x v="55"/>
    <x v="55"/>
    <x v="60"/>
    <x v="1"/>
    <x v="1"/>
    <x v="1"/>
    <n v="131"/>
    <n v="6"/>
    <x v="0"/>
  </r>
  <r>
    <x v="1"/>
    <x v="2"/>
    <x v="2"/>
    <x v="1"/>
    <x v="1"/>
    <x v="47"/>
    <n v="37"/>
    <n v="40"/>
    <x v="179"/>
    <x v="1"/>
    <x v="44"/>
    <x v="5"/>
    <x v="35"/>
    <x v="47"/>
    <x v="60"/>
    <x v="61"/>
    <x v="0"/>
    <x v="1"/>
    <x v="1"/>
    <n v="130"/>
    <n v="16"/>
    <x v="0"/>
  </r>
  <r>
    <x v="1"/>
    <x v="4"/>
    <x v="2"/>
    <x v="0"/>
    <x v="1"/>
    <x v="54"/>
    <n v="41"/>
    <n v="43"/>
    <x v="179"/>
    <x v="1"/>
    <x v="29"/>
    <x v="2"/>
    <x v="9"/>
    <x v="54"/>
    <x v="58"/>
    <x v="56"/>
    <x v="1"/>
    <x v="1"/>
    <x v="1"/>
    <n v="130"/>
    <n v="5"/>
    <x v="0"/>
  </r>
  <r>
    <x v="0"/>
    <x v="2"/>
    <x v="5"/>
    <x v="1"/>
    <x v="0"/>
    <x v="65"/>
    <n v="46"/>
    <n v="43"/>
    <x v="179"/>
    <x v="1"/>
    <x v="6"/>
    <x v="7"/>
    <x v="12"/>
    <x v="65"/>
    <x v="56"/>
    <x v="56"/>
    <x v="1"/>
    <x v="1"/>
    <x v="1"/>
    <n v="130"/>
    <n v="5"/>
    <x v="0"/>
  </r>
  <r>
    <x v="1"/>
    <x v="0"/>
    <x v="1"/>
    <x v="1"/>
    <x v="0"/>
    <x v="54"/>
    <n v="43"/>
    <n v="41"/>
    <x v="179"/>
    <x v="1"/>
    <x v="5"/>
    <x v="11"/>
    <x v="30"/>
    <x v="54"/>
    <x v="55"/>
    <x v="60"/>
    <x v="1"/>
    <x v="1"/>
    <x v="1"/>
    <n v="130"/>
    <n v="5"/>
    <x v="0"/>
  </r>
  <r>
    <x v="0"/>
    <x v="0"/>
    <x v="5"/>
    <x v="1"/>
    <x v="0"/>
    <x v="51"/>
    <n v="62"/>
    <n v="68"/>
    <x v="98"/>
    <x v="0"/>
    <x v="49"/>
    <x v="13"/>
    <x v="47"/>
    <x v="51"/>
    <x v="36"/>
    <x v="32"/>
    <x v="0"/>
    <x v="0"/>
    <x v="0"/>
    <n v="130"/>
    <n v="6"/>
    <x v="0"/>
  </r>
  <r>
    <x v="1"/>
    <x v="4"/>
    <x v="2"/>
    <x v="0"/>
    <x v="1"/>
    <x v="36"/>
    <s v="None"/>
    <n v="64"/>
    <x v="98"/>
    <x v="0"/>
    <x v="49"/>
    <x v="27"/>
    <x v="21"/>
    <x v="36"/>
    <x v="48"/>
    <x v="34"/>
    <x v="0"/>
    <x v="0"/>
    <x v="0"/>
    <n v="130"/>
    <n v="2"/>
    <x v="0"/>
  </r>
  <r>
    <x v="0"/>
    <x v="3"/>
    <x v="2"/>
    <x v="0"/>
    <x v="0"/>
    <x v="63"/>
    <n v="46"/>
    <n v="46"/>
    <x v="180"/>
    <x v="1"/>
    <x v="30"/>
    <x v="0"/>
    <x v="33"/>
    <x v="63"/>
    <x v="56"/>
    <x v="55"/>
    <x v="1"/>
    <x v="1"/>
    <x v="1"/>
    <n v="129"/>
    <n v="9"/>
    <x v="0"/>
  </r>
  <r>
    <x v="1"/>
    <x v="2"/>
    <x v="3"/>
    <x v="0"/>
    <x v="0"/>
    <x v="47"/>
    <n v="39"/>
    <n v="37"/>
    <x v="180"/>
    <x v="1"/>
    <x v="31"/>
    <x v="11"/>
    <x v="41"/>
    <x v="47"/>
    <x v="61"/>
    <x v="62"/>
    <x v="0"/>
    <x v="1"/>
    <x v="1"/>
    <n v="129"/>
    <n v="16"/>
    <x v="0"/>
  </r>
  <r>
    <x v="1"/>
    <x v="3"/>
    <x v="1"/>
    <x v="1"/>
    <x v="0"/>
    <x v="31"/>
    <s v="None"/>
    <n v="60"/>
    <x v="181"/>
    <x v="0"/>
    <x v="49"/>
    <x v="27"/>
    <x v="5"/>
    <x v="31"/>
    <x v="48"/>
    <x v="41"/>
    <x v="0"/>
    <x v="0"/>
    <x v="0"/>
    <n v="127"/>
    <n v="7"/>
    <x v="0"/>
  </r>
  <r>
    <x v="1"/>
    <x v="2"/>
    <x v="0"/>
    <x v="1"/>
    <x v="0"/>
    <x v="51"/>
    <n v="66"/>
    <n v="61"/>
    <x v="181"/>
    <x v="0"/>
    <x v="49"/>
    <x v="8"/>
    <x v="47"/>
    <x v="51"/>
    <x v="30"/>
    <x v="37"/>
    <x v="0"/>
    <x v="0"/>
    <x v="0"/>
    <n v="127"/>
    <n v="5"/>
    <x v="0"/>
  </r>
  <r>
    <x v="0"/>
    <x v="3"/>
    <x v="2"/>
    <x v="0"/>
    <x v="1"/>
    <x v="67"/>
    <n v="51"/>
    <n v="44"/>
    <x v="182"/>
    <x v="1"/>
    <x v="35"/>
    <x v="3"/>
    <x v="22"/>
    <x v="67"/>
    <x v="46"/>
    <x v="57"/>
    <x v="1"/>
    <x v="0"/>
    <x v="1"/>
    <n v="127"/>
    <n v="19"/>
    <x v="0"/>
  </r>
  <r>
    <x v="0"/>
    <x v="0"/>
    <x v="5"/>
    <x v="1"/>
    <x v="0"/>
    <x v="65"/>
    <n v="45"/>
    <n v="40"/>
    <x v="183"/>
    <x v="1"/>
    <x v="4"/>
    <x v="8"/>
    <x v="4"/>
    <x v="65"/>
    <x v="59"/>
    <x v="61"/>
    <x v="1"/>
    <x v="1"/>
    <x v="1"/>
    <n v="126"/>
    <n v="5"/>
    <x v="0"/>
  </r>
  <r>
    <x v="0"/>
    <x v="1"/>
    <x v="3"/>
    <x v="1"/>
    <x v="0"/>
    <x v="51"/>
    <n v="65"/>
    <n v="61"/>
    <x v="104"/>
    <x v="0"/>
    <x v="49"/>
    <x v="10"/>
    <x v="47"/>
    <x v="51"/>
    <x v="35"/>
    <x v="37"/>
    <x v="0"/>
    <x v="0"/>
    <x v="0"/>
    <n v="126"/>
    <n v="4"/>
    <x v="0"/>
  </r>
  <r>
    <x v="0"/>
    <x v="2"/>
    <x v="3"/>
    <x v="0"/>
    <x v="0"/>
    <x v="42"/>
    <n v="67"/>
    <s v="None"/>
    <x v="184"/>
    <x v="0"/>
    <x v="30"/>
    <x v="27"/>
    <x v="47"/>
    <x v="42"/>
    <x v="32"/>
    <x v="44"/>
    <x v="0"/>
    <x v="0"/>
    <x v="0"/>
    <n v="125"/>
    <n v="9"/>
    <x v="0"/>
  </r>
  <r>
    <x v="0"/>
    <x v="2"/>
    <x v="1"/>
    <x v="0"/>
    <x v="0"/>
    <x v="38"/>
    <n v="66"/>
    <s v="None"/>
    <x v="184"/>
    <x v="0"/>
    <x v="7"/>
    <x v="27"/>
    <x v="47"/>
    <x v="38"/>
    <x v="30"/>
    <x v="44"/>
    <x v="0"/>
    <x v="0"/>
    <x v="0"/>
    <n v="125"/>
    <n v="7"/>
    <x v="0"/>
  </r>
  <r>
    <x v="1"/>
    <x v="2"/>
    <x v="5"/>
    <x v="1"/>
    <x v="0"/>
    <x v="51"/>
    <n v="66"/>
    <n v="59"/>
    <x v="184"/>
    <x v="0"/>
    <x v="49"/>
    <x v="3"/>
    <x v="47"/>
    <x v="51"/>
    <x v="30"/>
    <x v="40"/>
    <x v="0"/>
    <x v="0"/>
    <x v="0"/>
    <n v="125"/>
    <n v="7"/>
    <x v="0"/>
  </r>
  <r>
    <x v="0"/>
    <x v="4"/>
    <x v="2"/>
    <x v="1"/>
    <x v="0"/>
    <x v="64"/>
    <n v="43"/>
    <n v="43"/>
    <x v="185"/>
    <x v="1"/>
    <x v="6"/>
    <x v="0"/>
    <x v="10"/>
    <x v="64"/>
    <x v="55"/>
    <x v="56"/>
    <x v="1"/>
    <x v="1"/>
    <x v="1"/>
    <n v="124"/>
    <n v="5"/>
    <x v="0"/>
  </r>
  <r>
    <x v="1"/>
    <x v="3"/>
    <x v="1"/>
    <x v="1"/>
    <x v="0"/>
    <x v="57"/>
    <n v="41"/>
    <n v="38"/>
    <x v="186"/>
    <x v="1"/>
    <x v="5"/>
    <x v="7"/>
    <x v="16"/>
    <x v="57"/>
    <x v="58"/>
    <x v="63"/>
    <x v="1"/>
    <x v="1"/>
    <x v="1"/>
    <n v="123"/>
    <n v="6"/>
    <x v="0"/>
  </r>
  <r>
    <x v="0"/>
    <x v="2"/>
    <x v="0"/>
    <x v="1"/>
    <x v="1"/>
    <x v="52"/>
    <n v="72"/>
    <s v="None"/>
    <x v="187"/>
    <x v="0"/>
    <x v="41"/>
    <x v="27"/>
    <x v="47"/>
    <x v="52"/>
    <x v="27"/>
    <x v="44"/>
    <x v="0"/>
    <x v="0"/>
    <x v="0"/>
    <n v="123"/>
    <n v="21"/>
    <x v="0"/>
  </r>
  <r>
    <x v="1"/>
    <x v="0"/>
    <x v="1"/>
    <x v="0"/>
    <x v="1"/>
    <x v="40"/>
    <n v="61"/>
    <s v="None"/>
    <x v="187"/>
    <x v="0"/>
    <x v="28"/>
    <x v="27"/>
    <x v="47"/>
    <x v="40"/>
    <x v="39"/>
    <x v="44"/>
    <x v="0"/>
    <x v="0"/>
    <x v="0"/>
    <n v="123"/>
    <n v="1"/>
    <x v="0"/>
  </r>
  <r>
    <x v="0"/>
    <x v="4"/>
    <x v="5"/>
    <x v="1"/>
    <x v="1"/>
    <x v="68"/>
    <n v="48"/>
    <n v="41"/>
    <x v="186"/>
    <x v="1"/>
    <x v="33"/>
    <x v="3"/>
    <x v="7"/>
    <x v="68"/>
    <x v="53"/>
    <x v="60"/>
    <x v="1"/>
    <x v="1"/>
    <x v="1"/>
    <n v="123"/>
    <n v="14"/>
    <x v="0"/>
  </r>
  <r>
    <x v="1"/>
    <x v="3"/>
    <x v="3"/>
    <x v="1"/>
    <x v="0"/>
    <x v="58"/>
    <n v="43"/>
    <n v="39"/>
    <x v="188"/>
    <x v="1"/>
    <x v="2"/>
    <x v="10"/>
    <x v="4"/>
    <x v="58"/>
    <x v="55"/>
    <x v="64"/>
    <x v="1"/>
    <x v="1"/>
    <x v="1"/>
    <n v="122"/>
    <n v="4"/>
    <x v="0"/>
  </r>
  <r>
    <x v="0"/>
    <x v="2"/>
    <x v="3"/>
    <x v="1"/>
    <x v="0"/>
    <x v="62"/>
    <n v="44"/>
    <n v="43"/>
    <x v="188"/>
    <x v="1"/>
    <x v="30"/>
    <x v="1"/>
    <x v="8"/>
    <x v="62"/>
    <x v="54"/>
    <x v="56"/>
    <x v="1"/>
    <x v="1"/>
    <x v="1"/>
    <n v="122"/>
    <n v="9"/>
    <x v="0"/>
  </r>
  <r>
    <x v="1"/>
    <x v="1"/>
    <x v="3"/>
    <x v="0"/>
    <x v="0"/>
    <x v="58"/>
    <n v="42"/>
    <n v="38"/>
    <x v="189"/>
    <x v="1"/>
    <x v="3"/>
    <x v="10"/>
    <x v="21"/>
    <x v="58"/>
    <x v="57"/>
    <x v="63"/>
    <x v="1"/>
    <x v="1"/>
    <x v="1"/>
    <n v="120"/>
    <n v="4"/>
    <x v="0"/>
  </r>
  <r>
    <x v="0"/>
    <x v="0"/>
    <x v="0"/>
    <x v="0"/>
    <x v="0"/>
    <x v="63"/>
    <n v="45"/>
    <n v="38"/>
    <x v="189"/>
    <x v="1"/>
    <x v="8"/>
    <x v="3"/>
    <x v="1"/>
    <x v="63"/>
    <x v="59"/>
    <x v="63"/>
    <x v="1"/>
    <x v="1"/>
    <x v="1"/>
    <n v="120"/>
    <n v="8"/>
    <x v="0"/>
  </r>
  <r>
    <x v="1"/>
    <x v="1"/>
    <x v="2"/>
    <x v="1"/>
    <x v="0"/>
    <x v="49"/>
    <n v="37"/>
    <n v="37"/>
    <x v="190"/>
    <x v="1"/>
    <x v="9"/>
    <x v="0"/>
    <x v="19"/>
    <x v="49"/>
    <x v="60"/>
    <x v="62"/>
    <x v="1"/>
    <x v="1"/>
    <x v="1"/>
    <n v="119"/>
    <n v="8"/>
    <x v="0"/>
  </r>
  <r>
    <x v="1"/>
    <x v="2"/>
    <x v="1"/>
    <x v="0"/>
    <x v="0"/>
    <x v="55"/>
    <n v="37"/>
    <n v="35"/>
    <x v="190"/>
    <x v="1"/>
    <x v="24"/>
    <x v="11"/>
    <x v="31"/>
    <x v="55"/>
    <x v="60"/>
    <x v="65"/>
    <x v="1"/>
    <x v="1"/>
    <x v="1"/>
    <n v="119"/>
    <n v="12"/>
    <x v="0"/>
  </r>
  <r>
    <x v="1"/>
    <x v="1"/>
    <x v="0"/>
    <x v="1"/>
    <x v="1"/>
    <x v="61"/>
    <n v="42"/>
    <n v="38"/>
    <x v="190"/>
    <x v="1"/>
    <x v="2"/>
    <x v="10"/>
    <x v="4"/>
    <x v="61"/>
    <x v="57"/>
    <x v="63"/>
    <x v="1"/>
    <x v="1"/>
    <x v="1"/>
    <n v="119"/>
    <n v="4"/>
    <x v="0"/>
  </r>
  <r>
    <x v="1"/>
    <x v="4"/>
    <x v="2"/>
    <x v="0"/>
    <x v="0"/>
    <x v="52"/>
    <n v="31"/>
    <n v="36"/>
    <x v="191"/>
    <x v="1"/>
    <x v="46"/>
    <x v="6"/>
    <x v="26"/>
    <x v="52"/>
    <x v="62"/>
    <x v="66"/>
    <x v="0"/>
    <x v="1"/>
    <x v="1"/>
    <n v="118"/>
    <n v="20"/>
    <x v="0"/>
  </r>
  <r>
    <x v="1"/>
    <x v="4"/>
    <x v="0"/>
    <x v="0"/>
    <x v="0"/>
    <x v="51"/>
    <n v="60"/>
    <n v="58"/>
    <x v="118"/>
    <x v="0"/>
    <x v="49"/>
    <x v="11"/>
    <x v="47"/>
    <x v="51"/>
    <x v="38"/>
    <x v="43"/>
    <x v="0"/>
    <x v="0"/>
    <x v="0"/>
    <n v="118"/>
    <n v="2"/>
    <x v="0"/>
  </r>
  <r>
    <x v="0"/>
    <x v="2"/>
    <x v="5"/>
    <x v="1"/>
    <x v="0"/>
    <x v="69"/>
    <n v="41"/>
    <n v="43"/>
    <x v="192"/>
    <x v="1"/>
    <x v="8"/>
    <x v="2"/>
    <x v="23"/>
    <x v="69"/>
    <x v="58"/>
    <x v="56"/>
    <x v="1"/>
    <x v="1"/>
    <x v="1"/>
    <n v="117"/>
    <n v="10"/>
    <x v="0"/>
  </r>
  <r>
    <x v="0"/>
    <x v="1"/>
    <x v="0"/>
    <x v="1"/>
    <x v="0"/>
    <x v="70"/>
    <n v="41"/>
    <n v="47"/>
    <x v="192"/>
    <x v="1"/>
    <x v="27"/>
    <x v="13"/>
    <x v="27"/>
    <x v="70"/>
    <x v="58"/>
    <x v="54"/>
    <x v="1"/>
    <x v="1"/>
    <x v="1"/>
    <n v="117"/>
    <n v="18"/>
    <x v="0"/>
  </r>
  <r>
    <x v="1"/>
    <x v="3"/>
    <x v="5"/>
    <x v="0"/>
    <x v="0"/>
    <x v="38"/>
    <n v="58"/>
    <s v="None"/>
    <x v="193"/>
    <x v="0"/>
    <x v="28"/>
    <x v="27"/>
    <x v="47"/>
    <x v="38"/>
    <x v="40"/>
    <x v="44"/>
    <x v="0"/>
    <x v="0"/>
    <x v="0"/>
    <n v="117"/>
    <n v="1"/>
    <x v="0"/>
  </r>
  <r>
    <x v="1"/>
    <x v="1"/>
    <x v="5"/>
    <x v="0"/>
    <x v="0"/>
    <x v="54"/>
    <n v="34"/>
    <n v="36"/>
    <x v="194"/>
    <x v="1"/>
    <x v="16"/>
    <x v="2"/>
    <x v="28"/>
    <x v="54"/>
    <x v="63"/>
    <x v="66"/>
    <x v="1"/>
    <x v="1"/>
    <x v="1"/>
    <n v="116"/>
    <n v="12"/>
    <x v="0"/>
  </r>
  <r>
    <x v="1"/>
    <x v="1"/>
    <x v="5"/>
    <x v="1"/>
    <x v="0"/>
    <x v="60"/>
    <n v="39"/>
    <n v="34"/>
    <x v="195"/>
    <x v="1"/>
    <x v="5"/>
    <x v="8"/>
    <x v="19"/>
    <x v="60"/>
    <x v="61"/>
    <x v="67"/>
    <x v="1"/>
    <x v="1"/>
    <x v="1"/>
    <n v="115"/>
    <n v="8"/>
    <x v="0"/>
  </r>
  <r>
    <x v="0"/>
    <x v="2"/>
    <x v="5"/>
    <x v="1"/>
    <x v="0"/>
    <x v="68"/>
    <n v="42"/>
    <n v="39"/>
    <x v="195"/>
    <x v="1"/>
    <x v="8"/>
    <x v="7"/>
    <x v="10"/>
    <x v="68"/>
    <x v="57"/>
    <x v="64"/>
    <x v="1"/>
    <x v="1"/>
    <x v="1"/>
    <n v="115"/>
    <n v="8"/>
    <x v="0"/>
  </r>
  <r>
    <x v="1"/>
    <x v="3"/>
    <x v="1"/>
    <x v="1"/>
    <x v="0"/>
    <x v="51"/>
    <n v="58"/>
    <n v="56"/>
    <x v="125"/>
    <x v="0"/>
    <x v="49"/>
    <x v="11"/>
    <x v="47"/>
    <x v="51"/>
    <x v="40"/>
    <x v="47"/>
    <x v="0"/>
    <x v="0"/>
    <x v="0"/>
    <n v="114"/>
    <n v="2"/>
    <x v="0"/>
  </r>
  <r>
    <x v="1"/>
    <x v="3"/>
    <x v="3"/>
    <x v="1"/>
    <x v="0"/>
    <x v="65"/>
    <n v="39"/>
    <n v="34"/>
    <x v="196"/>
    <x v="1"/>
    <x v="19"/>
    <x v="8"/>
    <x v="5"/>
    <x v="65"/>
    <x v="61"/>
    <x v="67"/>
    <x v="1"/>
    <x v="1"/>
    <x v="1"/>
    <n v="114"/>
    <n v="7"/>
    <x v="0"/>
  </r>
  <r>
    <x v="0"/>
    <x v="2"/>
    <x v="2"/>
    <x v="1"/>
    <x v="1"/>
    <x v="70"/>
    <n v="40"/>
    <n v="44"/>
    <x v="197"/>
    <x v="1"/>
    <x v="10"/>
    <x v="12"/>
    <x v="20"/>
    <x v="70"/>
    <x v="64"/>
    <x v="57"/>
    <x v="1"/>
    <x v="1"/>
    <x v="1"/>
    <n v="113"/>
    <n v="15"/>
    <x v="0"/>
  </r>
  <r>
    <x v="1"/>
    <x v="4"/>
    <x v="2"/>
    <x v="1"/>
    <x v="0"/>
    <x v="61"/>
    <n v="39"/>
    <n v="34"/>
    <x v="198"/>
    <x v="1"/>
    <x v="0"/>
    <x v="8"/>
    <x v="30"/>
    <x v="61"/>
    <x v="61"/>
    <x v="67"/>
    <x v="1"/>
    <x v="1"/>
    <x v="1"/>
    <n v="112"/>
    <n v="5"/>
    <x v="0"/>
  </r>
  <r>
    <x v="0"/>
    <x v="2"/>
    <x v="3"/>
    <x v="1"/>
    <x v="1"/>
    <x v="60"/>
    <s v="None"/>
    <n v="69"/>
    <x v="199"/>
    <x v="0"/>
    <x v="49"/>
    <x v="27"/>
    <x v="50"/>
    <x v="60"/>
    <x v="48"/>
    <x v="29"/>
    <x v="1"/>
    <x v="0"/>
    <x v="0"/>
    <n v="111"/>
    <n v="27"/>
    <x v="1"/>
  </r>
  <r>
    <x v="1"/>
    <x v="2"/>
    <x v="5"/>
    <x v="0"/>
    <x v="0"/>
    <x v="51"/>
    <n v="56"/>
    <n v="55"/>
    <x v="199"/>
    <x v="0"/>
    <x v="49"/>
    <x v="1"/>
    <x v="47"/>
    <x v="51"/>
    <x v="43"/>
    <x v="49"/>
    <x v="0"/>
    <x v="0"/>
    <x v="0"/>
    <n v="111"/>
    <n v="1"/>
    <x v="0"/>
  </r>
  <r>
    <x v="0"/>
    <x v="3"/>
    <x v="5"/>
    <x v="0"/>
    <x v="0"/>
    <x v="51"/>
    <n v="53"/>
    <n v="55"/>
    <x v="136"/>
    <x v="0"/>
    <x v="49"/>
    <x v="2"/>
    <x v="47"/>
    <x v="51"/>
    <x v="47"/>
    <x v="49"/>
    <x v="0"/>
    <x v="0"/>
    <x v="0"/>
    <n v="108"/>
    <n v="2"/>
    <x v="0"/>
  </r>
  <r>
    <x v="0"/>
    <x v="0"/>
    <x v="1"/>
    <x v="0"/>
    <x v="0"/>
    <x v="51"/>
    <n v="51"/>
    <n v="54"/>
    <x v="200"/>
    <x v="0"/>
    <x v="49"/>
    <x v="5"/>
    <x v="47"/>
    <x v="51"/>
    <x v="46"/>
    <x v="45"/>
    <x v="0"/>
    <x v="0"/>
    <x v="0"/>
    <n v="105"/>
    <n v="3"/>
    <x v="0"/>
  </r>
  <r>
    <x v="0"/>
    <x v="2"/>
    <x v="3"/>
    <x v="1"/>
    <x v="0"/>
    <x v="67"/>
    <n v="39"/>
    <n v="33"/>
    <x v="201"/>
    <x v="1"/>
    <x v="7"/>
    <x v="16"/>
    <x v="1"/>
    <x v="67"/>
    <x v="61"/>
    <x v="68"/>
    <x v="1"/>
    <x v="1"/>
    <x v="1"/>
    <n v="104"/>
    <n v="7"/>
    <x v="0"/>
  </r>
  <r>
    <x v="0"/>
    <x v="0"/>
    <x v="2"/>
    <x v="1"/>
    <x v="0"/>
    <x v="67"/>
    <n v="34"/>
    <n v="38"/>
    <x v="201"/>
    <x v="1"/>
    <x v="3"/>
    <x v="12"/>
    <x v="6"/>
    <x v="67"/>
    <x v="63"/>
    <x v="63"/>
    <x v="1"/>
    <x v="1"/>
    <x v="1"/>
    <n v="104"/>
    <n v="6"/>
    <x v="0"/>
  </r>
  <r>
    <x v="0"/>
    <x v="3"/>
    <x v="5"/>
    <x v="1"/>
    <x v="1"/>
    <x v="71"/>
    <n v="44"/>
    <n v="36"/>
    <x v="202"/>
    <x v="1"/>
    <x v="41"/>
    <x v="19"/>
    <x v="13"/>
    <x v="71"/>
    <x v="54"/>
    <x v="66"/>
    <x v="1"/>
    <x v="1"/>
    <x v="1"/>
    <n v="103"/>
    <n v="21"/>
    <x v="0"/>
  </r>
  <r>
    <x v="0"/>
    <x v="4"/>
    <x v="2"/>
    <x v="1"/>
    <x v="0"/>
    <x v="57"/>
    <s v="None"/>
    <n v="58"/>
    <x v="149"/>
    <x v="0"/>
    <x v="49"/>
    <x v="27"/>
    <x v="18"/>
    <x v="57"/>
    <x v="48"/>
    <x v="43"/>
    <x v="1"/>
    <x v="0"/>
    <x v="0"/>
    <n v="102"/>
    <n v="14"/>
    <x v="0"/>
  </r>
  <r>
    <x v="1"/>
    <x v="2"/>
    <x v="3"/>
    <x v="1"/>
    <x v="1"/>
    <x v="51"/>
    <n v="48"/>
    <n v="53"/>
    <x v="203"/>
    <x v="0"/>
    <x v="49"/>
    <x v="6"/>
    <x v="47"/>
    <x v="51"/>
    <x v="53"/>
    <x v="48"/>
    <x v="0"/>
    <x v="1"/>
    <x v="0"/>
    <n v="101"/>
    <n v="5"/>
    <x v="0"/>
  </r>
  <r>
    <x v="1"/>
    <x v="1"/>
    <x v="2"/>
    <x v="1"/>
    <x v="0"/>
    <x v="51"/>
    <n v="49"/>
    <n v="52"/>
    <x v="203"/>
    <x v="0"/>
    <x v="49"/>
    <x v="5"/>
    <x v="47"/>
    <x v="51"/>
    <x v="49"/>
    <x v="51"/>
    <x v="0"/>
    <x v="1"/>
    <x v="0"/>
    <n v="101"/>
    <n v="3"/>
    <x v="0"/>
  </r>
  <r>
    <x v="1"/>
    <x v="1"/>
    <x v="0"/>
    <x v="1"/>
    <x v="0"/>
    <x v="45"/>
    <n v="46"/>
    <s v="None"/>
    <x v="203"/>
    <x v="0"/>
    <x v="23"/>
    <x v="27"/>
    <x v="47"/>
    <x v="45"/>
    <x v="56"/>
    <x v="44"/>
    <x v="0"/>
    <x v="1"/>
    <x v="0"/>
    <n v="101"/>
    <n v="9"/>
    <x v="0"/>
  </r>
  <r>
    <x v="1"/>
    <x v="2"/>
    <x v="5"/>
    <x v="1"/>
    <x v="0"/>
    <x v="72"/>
    <n v="34"/>
    <n v="36"/>
    <x v="204"/>
    <x v="1"/>
    <x v="7"/>
    <x v="2"/>
    <x v="33"/>
    <x v="72"/>
    <x v="63"/>
    <x v="66"/>
    <x v="1"/>
    <x v="1"/>
    <x v="1"/>
    <n v="97"/>
    <n v="9"/>
    <x v="0"/>
  </r>
  <r>
    <x v="1"/>
    <x v="3"/>
    <x v="0"/>
    <x v="1"/>
    <x v="0"/>
    <x v="51"/>
    <n v="51"/>
    <n v="46"/>
    <x v="205"/>
    <x v="1"/>
    <x v="49"/>
    <x v="8"/>
    <x v="47"/>
    <x v="51"/>
    <x v="46"/>
    <x v="55"/>
    <x v="0"/>
    <x v="0"/>
    <x v="1"/>
    <n v="97"/>
    <n v="5"/>
    <x v="0"/>
  </r>
  <r>
    <x v="1"/>
    <x v="4"/>
    <x v="2"/>
    <x v="0"/>
    <x v="1"/>
    <x v="55"/>
    <s v="None"/>
    <n v="49"/>
    <x v="161"/>
    <x v="1"/>
    <x v="49"/>
    <x v="27"/>
    <x v="12"/>
    <x v="55"/>
    <x v="48"/>
    <x v="52"/>
    <x v="1"/>
    <x v="0"/>
    <x v="1"/>
    <n v="96"/>
    <n v="2"/>
    <x v="0"/>
  </r>
  <r>
    <x v="0"/>
    <x v="2"/>
    <x v="3"/>
    <x v="1"/>
    <x v="0"/>
    <x v="73"/>
    <n v="39"/>
    <n v="33"/>
    <x v="206"/>
    <x v="1"/>
    <x v="25"/>
    <x v="16"/>
    <x v="11"/>
    <x v="73"/>
    <x v="61"/>
    <x v="68"/>
    <x v="1"/>
    <x v="1"/>
    <x v="1"/>
    <n v="94"/>
    <n v="17"/>
    <x v="0"/>
  </r>
  <r>
    <x v="0"/>
    <x v="1"/>
    <x v="2"/>
    <x v="1"/>
    <x v="0"/>
    <x v="72"/>
    <n v="34"/>
    <n v="32"/>
    <x v="207"/>
    <x v="1"/>
    <x v="7"/>
    <x v="11"/>
    <x v="10"/>
    <x v="72"/>
    <x v="63"/>
    <x v="69"/>
    <x v="1"/>
    <x v="1"/>
    <x v="1"/>
    <n v="93"/>
    <n v="7"/>
    <x v="0"/>
  </r>
  <r>
    <x v="1"/>
    <x v="3"/>
    <x v="5"/>
    <x v="1"/>
    <x v="0"/>
    <x v="66"/>
    <n v="29"/>
    <n v="27"/>
    <x v="208"/>
    <x v="1"/>
    <x v="18"/>
    <x v="11"/>
    <x v="14"/>
    <x v="66"/>
    <x v="65"/>
    <x v="70"/>
    <x v="1"/>
    <x v="1"/>
    <x v="1"/>
    <n v="92"/>
    <n v="9"/>
    <x v="0"/>
  </r>
  <r>
    <x v="1"/>
    <x v="1"/>
    <x v="5"/>
    <x v="0"/>
    <x v="0"/>
    <x v="49"/>
    <s v="None"/>
    <n v="46"/>
    <x v="209"/>
    <x v="1"/>
    <x v="49"/>
    <x v="27"/>
    <x v="1"/>
    <x v="49"/>
    <x v="48"/>
    <x v="55"/>
    <x v="1"/>
    <x v="0"/>
    <x v="1"/>
    <n v="91"/>
    <n v="1"/>
    <x v="0"/>
  </r>
  <r>
    <x v="1"/>
    <x v="2"/>
    <x v="3"/>
    <x v="1"/>
    <x v="0"/>
    <x v="62"/>
    <n v="28"/>
    <n v="27"/>
    <x v="210"/>
    <x v="1"/>
    <x v="18"/>
    <x v="1"/>
    <x v="19"/>
    <x v="62"/>
    <x v="66"/>
    <x v="70"/>
    <x v="1"/>
    <x v="1"/>
    <x v="1"/>
    <n v="90"/>
    <n v="8"/>
    <x v="0"/>
  </r>
  <r>
    <x v="0"/>
    <x v="3"/>
    <x v="2"/>
    <x v="1"/>
    <x v="0"/>
    <x v="74"/>
    <n v="38"/>
    <n v="27"/>
    <x v="211"/>
    <x v="1"/>
    <x v="33"/>
    <x v="22"/>
    <x v="2"/>
    <x v="74"/>
    <x v="67"/>
    <x v="70"/>
    <x v="1"/>
    <x v="1"/>
    <x v="1"/>
    <n v="89"/>
    <n v="14"/>
    <x v="0"/>
  </r>
  <r>
    <x v="0"/>
    <x v="3"/>
    <x v="3"/>
    <x v="0"/>
    <x v="0"/>
    <x v="75"/>
    <n v="38"/>
    <n v="32"/>
    <x v="211"/>
    <x v="1"/>
    <x v="35"/>
    <x v="16"/>
    <x v="13"/>
    <x v="75"/>
    <x v="67"/>
    <x v="69"/>
    <x v="1"/>
    <x v="1"/>
    <x v="1"/>
    <n v="89"/>
    <n v="19"/>
    <x v="0"/>
  </r>
  <r>
    <x v="0"/>
    <x v="2"/>
    <x v="5"/>
    <x v="0"/>
    <x v="0"/>
    <x v="70"/>
    <n v="29"/>
    <n v="30"/>
    <x v="212"/>
    <x v="1"/>
    <x v="0"/>
    <x v="4"/>
    <x v="1"/>
    <x v="70"/>
    <x v="65"/>
    <x v="71"/>
    <x v="1"/>
    <x v="1"/>
    <x v="1"/>
    <n v="88"/>
    <n v="1"/>
    <x v="0"/>
  </r>
  <r>
    <x v="1"/>
    <x v="1"/>
    <x v="2"/>
    <x v="1"/>
    <x v="0"/>
    <x v="51"/>
    <n v="42"/>
    <n v="41"/>
    <x v="213"/>
    <x v="1"/>
    <x v="49"/>
    <x v="1"/>
    <x v="47"/>
    <x v="51"/>
    <x v="57"/>
    <x v="60"/>
    <x v="0"/>
    <x v="1"/>
    <x v="1"/>
    <n v="83"/>
    <n v="1"/>
    <x v="0"/>
  </r>
  <r>
    <x v="0"/>
    <x v="3"/>
    <x v="2"/>
    <x v="1"/>
    <x v="0"/>
    <x v="76"/>
    <n v="32"/>
    <n v="28"/>
    <x v="214"/>
    <x v="1"/>
    <x v="33"/>
    <x v="10"/>
    <x v="23"/>
    <x v="76"/>
    <x v="68"/>
    <x v="72"/>
    <x v="1"/>
    <x v="1"/>
    <x v="1"/>
    <n v="78"/>
    <n v="14"/>
    <x v="0"/>
  </r>
  <r>
    <x v="1"/>
    <x v="0"/>
    <x v="2"/>
    <x v="0"/>
    <x v="0"/>
    <x v="77"/>
    <n v="26"/>
    <n v="22"/>
    <x v="214"/>
    <x v="1"/>
    <x v="13"/>
    <x v="10"/>
    <x v="19"/>
    <x v="77"/>
    <x v="69"/>
    <x v="73"/>
    <x v="1"/>
    <x v="1"/>
    <x v="1"/>
    <n v="78"/>
    <n v="8"/>
    <x v="0"/>
  </r>
  <r>
    <x v="0"/>
    <x v="4"/>
    <x v="5"/>
    <x v="1"/>
    <x v="1"/>
    <x v="68"/>
    <s v="None"/>
    <n v="41"/>
    <x v="215"/>
    <x v="1"/>
    <x v="49"/>
    <x v="27"/>
    <x v="7"/>
    <x v="68"/>
    <x v="48"/>
    <x v="60"/>
    <x v="1"/>
    <x v="0"/>
    <x v="1"/>
    <n v="75"/>
    <n v="7"/>
    <x v="0"/>
  </r>
  <r>
    <x v="1"/>
    <x v="4"/>
    <x v="3"/>
    <x v="1"/>
    <x v="0"/>
    <x v="78"/>
    <n v="23"/>
    <n v="19"/>
    <x v="216"/>
    <x v="1"/>
    <x v="29"/>
    <x v="10"/>
    <x v="14"/>
    <x v="78"/>
    <x v="70"/>
    <x v="74"/>
    <x v="1"/>
    <x v="1"/>
    <x v="1"/>
    <n v="70"/>
    <n v="9"/>
    <x v="0"/>
  </r>
  <r>
    <x v="1"/>
    <x v="3"/>
    <x v="3"/>
    <x v="0"/>
    <x v="1"/>
    <x v="51"/>
    <s v="None"/>
    <n v="70"/>
    <x v="83"/>
    <x v="0"/>
    <x v="49"/>
    <x v="27"/>
    <x v="47"/>
    <x v="51"/>
    <x v="48"/>
    <x v="31"/>
    <x v="0"/>
    <x v="0"/>
    <x v="0"/>
    <n v="70"/>
    <n v="0"/>
    <x v="0"/>
  </r>
  <r>
    <x v="0"/>
    <x v="1"/>
    <x v="1"/>
    <x v="1"/>
    <x v="0"/>
    <x v="51"/>
    <n v="31"/>
    <n v="38"/>
    <x v="217"/>
    <x v="1"/>
    <x v="49"/>
    <x v="20"/>
    <x v="47"/>
    <x v="51"/>
    <x v="62"/>
    <x v="63"/>
    <x v="0"/>
    <x v="1"/>
    <x v="1"/>
    <n v="69"/>
    <n v="7"/>
    <x v="0"/>
  </r>
  <r>
    <x v="1"/>
    <x v="3"/>
    <x v="5"/>
    <x v="1"/>
    <x v="0"/>
    <x v="77"/>
    <n v="24"/>
    <n v="15"/>
    <x v="218"/>
    <x v="1"/>
    <x v="12"/>
    <x v="15"/>
    <x v="26"/>
    <x v="77"/>
    <x v="71"/>
    <x v="75"/>
    <x v="1"/>
    <x v="1"/>
    <x v="1"/>
    <n v="69"/>
    <n v="15"/>
    <x v="0"/>
  </r>
  <r>
    <x v="0"/>
    <x v="3"/>
    <x v="5"/>
    <x v="1"/>
    <x v="0"/>
    <x v="79"/>
    <n v="24"/>
    <n v="23"/>
    <x v="219"/>
    <x v="1"/>
    <x v="17"/>
    <x v="1"/>
    <x v="20"/>
    <x v="79"/>
    <x v="71"/>
    <x v="76"/>
    <x v="1"/>
    <x v="1"/>
    <x v="1"/>
    <n v="55"/>
    <n v="16"/>
    <x v="0"/>
  </r>
  <r>
    <x v="0"/>
    <x v="2"/>
    <x v="2"/>
    <x v="1"/>
    <x v="0"/>
    <x v="80"/>
    <n v="17"/>
    <n v="10"/>
    <x v="220"/>
    <x v="1"/>
    <x v="25"/>
    <x v="3"/>
    <x v="23"/>
    <x v="51"/>
    <x v="72"/>
    <x v="77"/>
    <x v="1"/>
    <x v="1"/>
    <x v="1"/>
    <n v="27"/>
    <n v="17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9"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1"/>
  </r>
  <r>
    <x v="2"/>
    <x v="1"/>
  </r>
  <r>
    <x v="2"/>
    <x v="1"/>
  </r>
  <r>
    <x v="2"/>
    <x v="0"/>
  </r>
  <r>
    <x v="2"/>
    <x v="1"/>
  </r>
  <r>
    <x v="2"/>
    <x v="1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1"/>
  </r>
  <r>
    <x v="2"/>
    <x v="1"/>
  </r>
  <r>
    <x v="2"/>
    <x v="1"/>
  </r>
  <r>
    <x v="2"/>
    <x v="0"/>
  </r>
  <r>
    <x v="2"/>
    <x v="0"/>
  </r>
  <r>
    <x v="2"/>
    <x v="0"/>
  </r>
  <r>
    <x v="2"/>
    <x v="1"/>
  </r>
  <r>
    <x v="2"/>
    <x v="0"/>
  </r>
  <r>
    <x v="2"/>
    <x v="1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1"/>
  </r>
  <r>
    <x v="2"/>
    <x v="1"/>
  </r>
  <r>
    <x v="2"/>
    <x v="0"/>
  </r>
  <r>
    <x v="2"/>
    <x v="1"/>
  </r>
  <r>
    <x v="2"/>
    <x v="0"/>
  </r>
  <r>
    <x v="2"/>
    <x v="1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1"/>
  </r>
  <r>
    <x v="2"/>
    <x v="0"/>
  </r>
  <r>
    <x v="2"/>
    <x v="1"/>
  </r>
  <r>
    <x v="2"/>
    <x v="0"/>
  </r>
  <r>
    <x v="2"/>
    <x v="0"/>
  </r>
  <r>
    <x v="2"/>
    <x v="0"/>
  </r>
  <r>
    <x v="2"/>
    <x v="1"/>
  </r>
  <r>
    <x v="2"/>
    <x v="1"/>
  </r>
  <r>
    <x v="2"/>
    <x v="1"/>
  </r>
  <r>
    <x v="2"/>
    <x v="1"/>
  </r>
  <r>
    <x v="2"/>
    <x v="0"/>
  </r>
  <r>
    <x v="2"/>
    <x v="1"/>
  </r>
  <r>
    <x v="2"/>
    <x v="0"/>
  </r>
  <r>
    <x v="2"/>
    <x v="1"/>
  </r>
  <r>
    <x v="2"/>
    <x v="0"/>
  </r>
  <r>
    <x v="2"/>
    <x v="1"/>
  </r>
  <r>
    <x v="2"/>
    <x v="0"/>
  </r>
  <r>
    <x v="2"/>
    <x v="1"/>
  </r>
  <r>
    <x v="2"/>
    <x v="0"/>
  </r>
  <r>
    <x v="2"/>
    <x v="1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1"/>
  </r>
  <r>
    <x v="2"/>
    <x v="1"/>
  </r>
  <r>
    <x v="2"/>
    <x v="1"/>
  </r>
  <r>
    <x v="2"/>
    <x v="1"/>
  </r>
  <r>
    <x v="2"/>
    <x v="1"/>
  </r>
  <r>
    <x v="2"/>
    <x v="0"/>
  </r>
  <r>
    <x v="2"/>
    <x v="0"/>
  </r>
  <r>
    <x v="2"/>
    <x v="1"/>
  </r>
  <r>
    <x v="2"/>
    <x v="1"/>
  </r>
  <r>
    <x v="2"/>
    <x v="1"/>
  </r>
  <r>
    <x v="2"/>
    <x v="1"/>
  </r>
  <r>
    <x v="2"/>
    <x v="1"/>
  </r>
  <r>
    <x v="2"/>
    <x v="0"/>
  </r>
  <r>
    <x v="2"/>
    <x v="0"/>
  </r>
  <r>
    <x v="2"/>
    <x v="1"/>
  </r>
  <r>
    <x v="2"/>
    <x v="1"/>
  </r>
  <r>
    <x v="2"/>
    <x v="1"/>
  </r>
  <r>
    <x v="2"/>
    <x v="1"/>
  </r>
  <r>
    <x v="2"/>
    <x v="1"/>
  </r>
  <r>
    <x v="2"/>
    <x v="0"/>
  </r>
  <r>
    <x v="2"/>
    <x v="0"/>
  </r>
  <r>
    <x v="2"/>
    <x v="0"/>
  </r>
  <r>
    <x v="2"/>
    <x v="0"/>
  </r>
  <r>
    <x v="2"/>
    <x v="1"/>
  </r>
  <r>
    <x v="2"/>
    <x v="1"/>
  </r>
  <r>
    <x v="2"/>
    <x v="0"/>
  </r>
  <r>
    <x v="2"/>
    <x v="0"/>
  </r>
  <r>
    <x v="2"/>
    <x v="1"/>
  </r>
  <r>
    <x v="2"/>
    <x v="1"/>
  </r>
  <r>
    <x v="2"/>
    <x v="0"/>
  </r>
  <r>
    <x v="2"/>
    <x v="1"/>
  </r>
  <r>
    <x v="2"/>
    <x v="1"/>
  </r>
  <r>
    <x v="2"/>
    <x v="1"/>
  </r>
  <r>
    <x v="2"/>
    <x v="1"/>
  </r>
  <r>
    <x v="2"/>
    <x v="1"/>
  </r>
  <r>
    <x v="2"/>
    <x v="0"/>
  </r>
  <r>
    <x v="2"/>
    <x v="1"/>
  </r>
  <r>
    <x v="2"/>
    <x v="1"/>
  </r>
  <r>
    <x v="2"/>
    <x v="0"/>
  </r>
  <r>
    <x v="2"/>
    <x v="1"/>
  </r>
  <r>
    <x v="2"/>
    <x v="1"/>
  </r>
  <r>
    <x v="2"/>
    <x v="1"/>
  </r>
  <r>
    <x v="2"/>
    <x v="1"/>
  </r>
  <r>
    <x v="2"/>
    <x v="1"/>
  </r>
  <r>
    <x v="2"/>
    <x v="1"/>
  </r>
  <r>
    <x v="2"/>
    <x v="1"/>
  </r>
  <r>
    <x v="2"/>
    <x v="0"/>
  </r>
  <r>
    <x v="2"/>
    <x v="0"/>
  </r>
  <r>
    <x v="2"/>
    <x v="1"/>
  </r>
  <r>
    <x v="2"/>
    <x v="1"/>
  </r>
  <r>
    <x v="2"/>
    <x v="0"/>
  </r>
  <r>
    <x v="2"/>
    <x v="0"/>
  </r>
  <r>
    <x v="2"/>
    <x v="1"/>
  </r>
  <r>
    <x v="2"/>
    <x v="1"/>
  </r>
  <r>
    <x v="2"/>
    <x v="0"/>
  </r>
  <r>
    <x v="2"/>
    <x v="0"/>
  </r>
  <r>
    <x v="2"/>
    <x v="0"/>
  </r>
  <r>
    <x v="2"/>
    <x v="0"/>
  </r>
  <r>
    <x v="2"/>
    <x v="1"/>
  </r>
  <r>
    <x v="2"/>
    <x v="1"/>
  </r>
  <r>
    <x v="2"/>
    <x v="0"/>
  </r>
  <r>
    <x v="2"/>
    <x v="0"/>
  </r>
  <r>
    <x v="2"/>
    <x v="1"/>
  </r>
  <r>
    <x v="2"/>
    <x v="1"/>
  </r>
  <r>
    <x v="2"/>
    <x v="1"/>
  </r>
  <r>
    <x v="2"/>
    <x v="1"/>
  </r>
  <r>
    <x v="2"/>
    <x v="1"/>
  </r>
  <r>
    <x v="2"/>
    <x v="1"/>
  </r>
  <r>
    <x v="2"/>
    <x v="1"/>
  </r>
  <r>
    <x v="2"/>
    <x v="1"/>
  </r>
  <r>
    <x v="2"/>
    <x v="1"/>
  </r>
  <r>
    <x v="2"/>
    <x v="0"/>
  </r>
  <r>
    <x v="2"/>
    <x v="1"/>
  </r>
  <r>
    <x v="2"/>
    <x v="1"/>
  </r>
  <r>
    <x v="2"/>
    <x v="0"/>
  </r>
  <r>
    <x v="2"/>
    <x v="1"/>
  </r>
  <r>
    <x v="2"/>
    <x v="1"/>
  </r>
  <r>
    <x v="2"/>
    <x v="1"/>
  </r>
  <r>
    <x v="2"/>
    <x v="0"/>
  </r>
  <r>
    <x v="2"/>
    <x v="1"/>
  </r>
  <r>
    <x v="2"/>
    <x v="1"/>
  </r>
  <r>
    <x v="2"/>
    <x v="1"/>
  </r>
  <r>
    <x v="2"/>
    <x v="0"/>
  </r>
  <r>
    <x v="2"/>
    <x v="0"/>
  </r>
  <r>
    <x v="2"/>
    <x v="0"/>
  </r>
  <r>
    <x v="2"/>
    <x v="0"/>
  </r>
  <r>
    <x v="2"/>
    <x v="1"/>
  </r>
  <r>
    <x v="2"/>
    <x v="1"/>
  </r>
  <r>
    <x v="2"/>
    <x v="1"/>
  </r>
  <r>
    <x v="2"/>
    <x v="0"/>
  </r>
  <r>
    <x v="2"/>
    <x v="0"/>
  </r>
  <r>
    <x v="2"/>
    <x v="0"/>
  </r>
  <r>
    <x v="2"/>
    <x v="0"/>
  </r>
  <r>
    <x v="2"/>
    <x v="1"/>
  </r>
  <r>
    <x v="2"/>
    <x v="1"/>
  </r>
  <r>
    <x v="2"/>
    <x v="1"/>
  </r>
  <r>
    <x v="2"/>
    <x v="1"/>
  </r>
  <r>
    <x v="2"/>
    <x v="1"/>
  </r>
  <r>
    <x v="2"/>
    <x v="1"/>
  </r>
  <r>
    <x v="2"/>
    <x v="1"/>
  </r>
  <r>
    <x v="2"/>
    <x v="1"/>
  </r>
  <r>
    <x v="2"/>
    <x v="1"/>
  </r>
  <r>
    <x v="2"/>
    <x v="1"/>
  </r>
  <r>
    <x v="2"/>
    <x v="1"/>
  </r>
  <r>
    <x v="2"/>
    <x v="1"/>
  </r>
  <r>
    <x v="2"/>
    <x v="1"/>
  </r>
  <r>
    <x v="2"/>
    <x v="1"/>
  </r>
  <r>
    <x v="2"/>
    <x v="1"/>
  </r>
  <r>
    <x v="2"/>
    <x v="1"/>
  </r>
  <r>
    <x v="2"/>
    <x v="0"/>
  </r>
  <r>
    <x v="2"/>
    <x v="1"/>
  </r>
  <r>
    <x v="2"/>
    <x v="1"/>
  </r>
  <r>
    <x v="2"/>
    <x v="1"/>
  </r>
  <r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00F34-EFE7-4F8D-94BB-CC411D43F302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8">
  <location ref="A21:D29" firstHeaderRow="1" firstDataRow="2" firstDataCol="1"/>
  <pivotFields count="22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numFmtId="1"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numFmtId="1" showAll="0"/>
    <pivotField numFmtId="1" showAll="0"/>
    <pivotField numFmtId="1" showAll="0"/>
    <pivotField showAll="0"/>
    <pivotField showAll="0"/>
    <pivotField showAll="0"/>
    <pivotField numFmtId="1" showAll="0"/>
    <pivotField numFmtId="1" showAll="0"/>
    <pivotField showAll="0"/>
  </pivotFields>
  <rowFields count="2">
    <field x="4"/>
    <field x="0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Pass/Fail" fld="9" subtotal="count" showDataAs="percentOfRow" baseField="0" baseItem="0" numFmtId="10"/>
  </dataFields>
  <chartFormats count="10">
    <chartFormat chart="0" format="0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2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0"/>
          </reference>
          <reference field="9" count="1" selected="0">
            <x v="0"/>
          </reference>
        </references>
      </pivotArea>
    </chartFormat>
    <chartFormat chart="2" format="3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0"/>
          </reference>
          <reference field="9" count="1" selected="0">
            <x v="0"/>
          </reference>
        </references>
      </pivotArea>
    </chartFormat>
    <chartFormat chart="2" format="4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"/>
          </reference>
          <reference field="9" count="1" selected="0">
            <x v="0"/>
          </reference>
        </references>
      </pivotArea>
    </chartFormat>
    <chartFormat chart="2" format="5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82B8B-07F4-4398-8148-3DE0911C723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D5" firstHeaderRow="1" firstDataRow="2" firstDataCol="1"/>
  <pivotFields count="22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numFmtId="1"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numFmtId="1" showAll="0"/>
    <pivotField numFmtId="1" showAll="0"/>
    <pivotField numFmtId="1" showAll="0"/>
    <pivotField showAll="0"/>
    <pivotField showAll="0"/>
    <pivotField showAll="0"/>
    <pivotField numFmtId="1" showAll="0"/>
    <pivotField numFmtId="1"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Pass/Fail" fld="9" subtotal="count" showDataAs="percentOfRow" baseField="0" baseItem="0" numFmtId="10"/>
  </dataFields>
  <chartFormats count="4">
    <chartFormat chart="0" format="0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F8DB2-7DEE-464E-8F69-65DFF7470029}" name="PivotTable6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F3:I8" firstHeaderRow="1" firstDataRow="2" firstDataCol="1"/>
  <pivotFields count="2">
    <pivotField axis="axisRow" showAll="0">
      <items count="4">
        <item x="0"/>
        <item x="1"/>
        <item x="2"/>
        <item t="default"/>
      </items>
    </pivotField>
    <pivotField axis="axisCol" dataField="1" showAll="0">
      <items count="3">
        <item x="1"/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Pass/Fail" fld="1" subtotal="count" showDataAs="percentOfRow" baseField="0" baseItem="0" numFmtId="10"/>
  </dataFields>
  <chartFormats count="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384B1-096F-48AF-82C3-41DA13B24FB1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5:B18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dataField="1" numFmtId="1" showAll="0"/>
    <pivotField numFmtId="1" showAll="0"/>
    <pivotField numFmtId="1" showAll="0"/>
    <pivotField showAll="0"/>
    <pivotField showAll="0"/>
    <pivotField showAll="0"/>
    <pivotField numFmtId="1" showAll="0"/>
    <pivotField numFmtId="1" showAll="0"/>
    <pivotField axis="axisRow" showAll="0">
      <items count="3">
        <item x="0"/>
        <item x="1"/>
        <item t="default"/>
      </items>
    </pivotField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Count of Student" fld="13" subtotal="count" showDataAs="percentOfTotal" baseField="21" baseItem="0" numFmtId="10"/>
  </dataField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2AAAA-ACD7-4D45-877F-3EE0CD1F1549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3">
  <location ref="A49:B52" firstHeaderRow="1" firstDataRow="1" firstDataCol="1"/>
  <pivotFields count="9">
    <pivotField showAll="0"/>
    <pivotField showAll="0">
      <items count="4">
        <item x="2"/>
        <item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numFmtId="1" showAll="0"/>
    <pivotField dataField="1" numFmtI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Students" fld="8" subtotal="count" showDataAs="percentOfCol" baseField="1" baseItem="0" numFmtId="1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718F0-5488-4B61-8505-4933F465167C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4">
  <location ref="A30:B36" firstHeaderRow="1" firstDataRow="1" firstDataCol="1"/>
  <pivotFields count="9">
    <pivotField showAll="0"/>
    <pivotField showAll="0">
      <items count="4">
        <item x="2"/>
        <item x="1"/>
        <item x="0"/>
        <item t="default"/>
      </items>
    </pivotField>
    <pivotField axis="axisRow" showAll="0">
      <items count="6">
        <item x="1"/>
        <item x="0"/>
        <item x="4"/>
        <item x="3"/>
        <item x="2"/>
        <item t="default"/>
      </items>
    </pivotField>
    <pivotField showAll="0"/>
    <pivotField numFmtId="1" showAll="0"/>
    <pivotField numFmtId="1" showAll="0"/>
    <pivotField numFmtId="1" showAll="0"/>
    <pivotField numFmtId="1" showAll="0"/>
    <pivotField dataField="1" numFmtI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udents" fld="8" subtotal="count" showDataAs="percentOfCol" baseField="1" baseItem="0" numFmtId="1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0F219-3AC6-4A51-AD96-9D9D697B8A18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2">
  <location ref="A15:B19" firstHeaderRow="1" firstDataRow="1" firstDataCol="1"/>
  <pivotFields count="9"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dataField="1" numFmtI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udents" fld="8" subtotal="count" showDataAs="percentOfCol" baseField="1" baseItem="0" numFmtId="1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E692E5-0E65-40B5-8CFD-98C5DCAA2378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">
  <location ref="A30:D34" firstHeaderRow="1" firstDataRow="2" firstDataCol="1"/>
  <pivotFields count="22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showAll="0"/>
    <pivotField axis="axisCol" dataField="1" showAll="0">
      <items count="3">
        <item x="1"/>
        <item x="0"/>
        <item t="default"/>
      </items>
    </pivotField>
    <pivotField showAll="0"/>
    <pivotField numFmtId="1" showAll="0"/>
    <pivotField numFmtId="1"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Count of Reading Pass" fld="17" subtotal="count" showDataAs="percentOfRow" baseField="0" baseItem="0" numFmtId="10"/>
  </dataFields>
  <chartFormats count="4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9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7" count="1" selected="0">
            <x v="1"/>
          </reference>
        </references>
      </pivotArea>
    </chartFormat>
    <chartFormat chart="9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8AFF18-8122-421E-BA1F-2A03028B8586}" name="Pass vs Fail Outcomes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1:B4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numFmtId="1" showAll="0"/>
    <pivotField numFmtId="1" showAll="0"/>
    <pivotField numFmtId="1" showAll="0"/>
    <pivotField showAll="0"/>
    <pivotField showAll="0"/>
    <pivotField showAll="0"/>
    <pivotField numFmtId="1" showAll="0"/>
    <pivotField numFmtId="1"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Pass/Fail" fld="9" subtotal="count" baseField="9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A2E3D4-11C2-4655-B5D8-27119D2C9392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>
  <location ref="A15:D19" firstHeaderRow="1" firstDataRow="2" firstDataCol="1"/>
  <pivotFields count="22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axis="axisCol" dataField="1" showAll="0">
      <items count="3">
        <item x="1"/>
        <item x="0"/>
        <item t="default"/>
      </items>
    </pivotField>
    <pivotField showAll="0"/>
    <pivotField showAll="0"/>
    <pivotField numFmtId="1" showAll="0"/>
    <pivotField numFmtId="1"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Math Pass" fld="16" subtotal="count" showDataAs="percentOfRow" baseField="0" baseItem="0" numFmtId="10"/>
  </dataFields>
  <chartFormats count="4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8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6" count="1" selected="0">
            <x v="1"/>
          </reference>
        </references>
      </pivotArea>
    </chartFormat>
    <chartFormat chart="8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F2388-7682-490C-A591-14C550D66838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4">
  <location ref="A46:D50" firstHeaderRow="1" firstDataRow="2" firstDataCol="1"/>
  <pivotFields count="22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showAll="0"/>
    <pivotField showAll="0"/>
    <pivotField axis="axisCol" dataField="1" showAll="0">
      <items count="3">
        <item x="1"/>
        <item x="0"/>
        <item t="default"/>
      </items>
    </pivotField>
    <pivotField numFmtId="1" showAll="0"/>
    <pivotField numFmtId="1"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Writing Pass " fld="18" subtotal="count" showDataAs="percentOfRow" baseField="0" baseItem="0" numFmtId="10"/>
  </dataFields>
  <chartFormats count="4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0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8" count="1" selected="0">
            <x v="1"/>
          </reference>
        </references>
      </pivotArea>
    </chartFormat>
    <chartFormat chart="1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EC8E0-AC88-48D5-9124-8F1C21111742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3:B44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numFmtId="1" showAll="0"/>
    <pivotField numFmtId="1" showAll="0"/>
    <pivotField showAll="0"/>
  </pivotFields>
  <rowFields count="1">
    <field x="15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Writing Score Clean" fld="15" subtotal="count" baseField="15" baseItem="0"/>
  </dataFields>
  <formats count="5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13" type="button" dataOnly="0" labelOnly="1" outline="0"/>
    </format>
    <format dxfId="53">
      <pivotArea dataOnly="0" labelOnly="1" grandRow="1" outline="0" fieldPosition="0"/>
    </format>
    <format dxfId="52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</chart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256B4-78BD-4BAD-B6E3-4CF272688B59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17:B28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numFmtId="1" showAll="0"/>
    <pivotField numFmtId="1" showAll="0"/>
    <pivotField showAll="0"/>
  </pivotFields>
  <rowFields count="1">
    <field x="14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Reading Score Clean" fld="14" subtotal="count" baseField="14" baseItem="1"/>
  </dataFields>
  <formats count="5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13" type="button" dataOnly="0" labelOnly="1" outline="0"/>
    </format>
    <format dxfId="58">
      <pivotArea dataOnly="0" labelOnly="1" grandRow="1" outline="0" fieldPosition="0"/>
    </format>
    <format dxfId="57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</chart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00DE6-21D3-41CB-B08A-D1ED7EB7372A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1:B12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showAll="0"/>
  </pivotFields>
  <rowFields count="1">
    <field x="13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Math Score Clean" fld="13" subtotal="count" baseField="0" baseItem="0" numFmtId="1"/>
  </dataFields>
  <formats count="5"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13" type="button" dataOnly="0" labelOnly="1" outline="0" axis="axisRow" fieldPosition="0"/>
    </format>
    <format dxfId="63">
      <pivotArea dataOnly="0" labelOnly="1" grandRow="1" outline="0" fieldPosition="0"/>
    </format>
    <format dxfId="62">
      <pivotArea dataOnly="0" labelOnly="1" outline="0" axis="axisValues" fieldPosition="0"/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</chart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114328-0B30-4FD4-9033-90A986B683C9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49:B60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showAll="0"/>
  </pivotFields>
  <rowFields count="1">
    <field x="8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Average Score" fld="8" subtotal="count" baseField="8" baseItem="0"/>
  </dataFields>
  <formats count="5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13" type="button" dataOnly="0" labelOnly="1" outline="0"/>
    </format>
    <format dxfId="68">
      <pivotArea dataOnly="0" labelOnly="1" grandRow="1" outline="0" fieldPosition="0"/>
    </format>
    <format dxfId="67">
      <pivotArea dataOnly="0" labelOnly="1" outline="0" axis="axisValues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</chart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4A8087-B6E3-4DBE-895A-18C1BAD5FCEC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22:C23" firstHeaderRow="0" firstDataRow="1" firstDataCol="0"/>
  <pivotFields count="22"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82">
        <item x="80"/>
        <item x="79"/>
        <item x="76"/>
        <item x="75"/>
        <item x="73"/>
        <item x="71"/>
        <item x="74"/>
        <item x="72"/>
        <item x="78"/>
        <item x="70"/>
        <item x="77"/>
        <item x="67"/>
        <item x="69"/>
        <item x="68"/>
        <item x="62"/>
        <item x="66"/>
        <item x="63"/>
        <item x="64"/>
        <item x="61"/>
        <item x="58"/>
        <item x="65"/>
        <item x="60"/>
        <item x="59"/>
        <item x="57"/>
        <item x="49"/>
        <item x="54"/>
        <item x="55"/>
        <item x="53"/>
        <item x="56"/>
        <item x="48"/>
        <item x="52"/>
        <item x="46"/>
        <item x="47"/>
        <item x="50"/>
        <item x="45"/>
        <item x="44"/>
        <item x="41"/>
        <item x="42"/>
        <item x="38"/>
        <item x="43"/>
        <item x="33"/>
        <item x="40"/>
        <item x="39"/>
        <item x="34"/>
        <item x="35"/>
        <item x="36"/>
        <item x="31"/>
        <item x="37"/>
        <item x="30"/>
        <item x="28"/>
        <item x="29"/>
        <item x="32"/>
        <item x="27"/>
        <item x="26"/>
        <item x="25"/>
        <item x="24"/>
        <item x="19"/>
        <item x="21"/>
        <item x="22"/>
        <item x="23"/>
        <item x="15"/>
        <item x="14"/>
        <item x="16"/>
        <item x="17"/>
        <item x="18"/>
        <item x="20"/>
        <item x="9"/>
        <item x="10"/>
        <item x="8"/>
        <item x="12"/>
        <item x="11"/>
        <item x="7"/>
        <item x="6"/>
        <item x="5"/>
        <item x="13"/>
        <item x="4"/>
        <item x="2"/>
        <item x="3"/>
        <item x="1"/>
        <item x="0"/>
        <item x="51"/>
        <item t="default"/>
      </items>
    </pivotField>
    <pivotField showAll="0"/>
    <pivotField showAll="0"/>
    <pivotField numFmtId="1" showAll="0"/>
    <pivotField showAll="0"/>
    <pivotField dataField="1" showAll="0">
      <items count="52">
        <item x="50"/>
        <item x="39"/>
        <item x="46"/>
        <item x="43"/>
        <item x="36"/>
        <item x="37"/>
        <item x="44"/>
        <item x="22"/>
        <item x="31"/>
        <item x="34"/>
        <item x="16"/>
        <item x="15"/>
        <item x="24"/>
        <item x="23"/>
        <item x="9"/>
        <item x="18"/>
        <item x="12"/>
        <item x="29"/>
        <item x="13"/>
        <item x="5"/>
        <item x="19"/>
        <item x="28"/>
        <item x="0"/>
        <item x="1"/>
        <item x="3"/>
        <item x="2"/>
        <item x="4"/>
        <item x="6"/>
        <item x="26"/>
        <item x="7"/>
        <item x="8"/>
        <item x="30"/>
        <item x="20"/>
        <item x="10"/>
        <item x="27"/>
        <item x="11"/>
        <item x="33"/>
        <item x="14"/>
        <item x="17"/>
        <item x="25"/>
        <item x="32"/>
        <item x="35"/>
        <item x="21"/>
        <item x="41"/>
        <item x="38"/>
        <item x="45"/>
        <item x="47"/>
        <item x="40"/>
        <item x="42"/>
        <item x="48"/>
        <item x="49"/>
        <item t="default"/>
      </items>
    </pivotField>
    <pivotField dataField="1" showAll="0">
      <items count="31">
        <item x="29"/>
        <item x="23"/>
        <item x="21"/>
        <item x="22"/>
        <item x="9"/>
        <item x="15"/>
        <item x="19"/>
        <item x="3"/>
        <item x="16"/>
        <item x="8"/>
        <item x="10"/>
        <item x="7"/>
        <item x="11"/>
        <item x="1"/>
        <item x="0"/>
        <item x="4"/>
        <item x="2"/>
        <item x="5"/>
        <item x="12"/>
        <item x="6"/>
        <item x="13"/>
        <item x="20"/>
        <item x="17"/>
        <item x="18"/>
        <item x="26"/>
        <item x="25"/>
        <item x="14"/>
        <item x="28"/>
        <item x="24"/>
        <item x="27"/>
        <item t="default"/>
      </items>
    </pivotField>
    <pivotField dataField="1" showAll="0">
      <items count="52">
        <item x="36"/>
        <item x="39"/>
        <item x="45"/>
        <item x="49"/>
        <item x="25"/>
        <item x="40"/>
        <item x="41"/>
        <item x="26"/>
        <item x="15"/>
        <item x="35"/>
        <item x="31"/>
        <item x="32"/>
        <item x="28"/>
        <item x="14"/>
        <item x="19"/>
        <item x="5"/>
        <item x="16"/>
        <item x="30"/>
        <item x="17"/>
        <item x="9"/>
        <item x="21"/>
        <item x="4"/>
        <item x="0"/>
        <item x="1"/>
        <item x="12"/>
        <item x="2"/>
        <item x="3"/>
        <item x="10"/>
        <item x="6"/>
        <item x="7"/>
        <item x="8"/>
        <item x="33"/>
        <item x="23"/>
        <item x="11"/>
        <item x="22"/>
        <item x="13"/>
        <item x="18"/>
        <item x="20"/>
        <item x="34"/>
        <item x="24"/>
        <item x="27"/>
        <item x="37"/>
        <item x="44"/>
        <item x="29"/>
        <item x="42"/>
        <item x="43"/>
        <item x="46"/>
        <item x="48"/>
        <item x="38"/>
        <item x="50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g Reading - Math " fld="10" subtotal="average" baseField="0" baseItem="1"/>
    <dataField name="Avg Writing - Reading" fld="11" subtotal="average" baseField="0" baseItem="1"/>
    <dataField name="Avg Writing - Math" fld="12" subtotal="average" baseField="0" baseItem="1"/>
  </dataFields>
  <formats count="1">
    <format dxfId="50">
      <pivotArea outline="0" collapsedLevelsAreSubtotals="1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D3917-4CB7-4EED-96A9-7EA21B95D99B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C4" firstHeaderRow="0" firstDataRow="1" firstDataCol="0"/>
  <pivotFields count="22"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>
      <items count="82">
        <item x="80"/>
        <item x="79"/>
        <item x="76"/>
        <item x="75"/>
        <item x="73"/>
        <item x="71"/>
        <item x="74"/>
        <item x="72"/>
        <item x="78"/>
        <item x="70"/>
        <item x="77"/>
        <item x="67"/>
        <item x="69"/>
        <item x="68"/>
        <item x="62"/>
        <item x="66"/>
        <item x="63"/>
        <item x="64"/>
        <item x="61"/>
        <item x="58"/>
        <item x="65"/>
        <item x="60"/>
        <item x="59"/>
        <item x="57"/>
        <item x="49"/>
        <item x="54"/>
        <item x="55"/>
        <item x="53"/>
        <item x="56"/>
        <item x="48"/>
        <item x="52"/>
        <item x="46"/>
        <item x="47"/>
        <item x="50"/>
        <item x="45"/>
        <item x="44"/>
        <item x="41"/>
        <item x="42"/>
        <item x="38"/>
        <item x="43"/>
        <item x="33"/>
        <item x="40"/>
        <item x="39"/>
        <item x="34"/>
        <item x="35"/>
        <item x="36"/>
        <item x="31"/>
        <item x="37"/>
        <item x="30"/>
        <item x="28"/>
        <item x="29"/>
        <item x="32"/>
        <item x="27"/>
        <item x="26"/>
        <item x="25"/>
        <item x="24"/>
        <item x="19"/>
        <item x="21"/>
        <item x="22"/>
        <item x="23"/>
        <item x="15"/>
        <item x="14"/>
        <item x="16"/>
        <item x="17"/>
        <item x="18"/>
        <item x="20"/>
        <item x="9"/>
        <item x="10"/>
        <item x="8"/>
        <item x="12"/>
        <item x="11"/>
        <item x="7"/>
        <item x="6"/>
        <item x="5"/>
        <item x="13"/>
        <item x="4"/>
        <item x="2"/>
        <item x="3"/>
        <item x="1"/>
        <item x="0"/>
        <item x="51"/>
        <item t="default"/>
      </items>
    </pivotField>
    <pivotField dataField="1" showAll="0"/>
    <pivotField dataField="1" showAll="0"/>
    <pivotField numFmtId="1" showAll="0"/>
    <pivotField showAll="0"/>
    <pivotField showAll="0">
      <items count="52">
        <item x="50"/>
        <item x="39"/>
        <item x="46"/>
        <item x="43"/>
        <item x="36"/>
        <item x="37"/>
        <item x="44"/>
        <item x="22"/>
        <item x="31"/>
        <item x="34"/>
        <item x="16"/>
        <item x="15"/>
        <item x="24"/>
        <item x="23"/>
        <item x="9"/>
        <item x="18"/>
        <item x="12"/>
        <item x="29"/>
        <item x="13"/>
        <item x="5"/>
        <item x="19"/>
        <item x="28"/>
        <item x="0"/>
        <item x="1"/>
        <item x="3"/>
        <item x="2"/>
        <item x="4"/>
        <item x="6"/>
        <item x="26"/>
        <item x="7"/>
        <item x="8"/>
        <item x="30"/>
        <item x="20"/>
        <item x="10"/>
        <item x="27"/>
        <item x="11"/>
        <item x="33"/>
        <item x="14"/>
        <item x="17"/>
        <item x="25"/>
        <item x="32"/>
        <item x="35"/>
        <item x="21"/>
        <item x="41"/>
        <item x="38"/>
        <item x="45"/>
        <item x="47"/>
        <item x="40"/>
        <item x="42"/>
        <item x="48"/>
        <item x="49"/>
        <item t="default"/>
      </items>
    </pivotField>
    <pivotField showAll="0">
      <items count="31">
        <item x="29"/>
        <item x="23"/>
        <item x="21"/>
        <item x="22"/>
        <item x="9"/>
        <item x="15"/>
        <item x="19"/>
        <item x="3"/>
        <item x="16"/>
        <item x="8"/>
        <item x="10"/>
        <item x="7"/>
        <item x="11"/>
        <item x="1"/>
        <item x="0"/>
        <item x="4"/>
        <item x="2"/>
        <item x="5"/>
        <item x="12"/>
        <item x="6"/>
        <item x="13"/>
        <item x="20"/>
        <item x="17"/>
        <item x="18"/>
        <item x="26"/>
        <item x="25"/>
        <item x="14"/>
        <item x="28"/>
        <item x="24"/>
        <item x="27"/>
        <item t="default"/>
      </items>
    </pivotField>
    <pivotField showAll="0">
      <items count="52">
        <item x="36"/>
        <item x="39"/>
        <item x="45"/>
        <item x="49"/>
        <item x="25"/>
        <item x="40"/>
        <item x="41"/>
        <item x="26"/>
        <item x="15"/>
        <item x="35"/>
        <item x="31"/>
        <item x="32"/>
        <item x="28"/>
        <item x="14"/>
        <item x="19"/>
        <item x="5"/>
        <item x="16"/>
        <item x="30"/>
        <item x="17"/>
        <item x="9"/>
        <item x="21"/>
        <item x="4"/>
        <item x="0"/>
        <item x="1"/>
        <item x="12"/>
        <item x="2"/>
        <item x="3"/>
        <item x="10"/>
        <item x="6"/>
        <item x="7"/>
        <item x="8"/>
        <item x="33"/>
        <item x="23"/>
        <item x="11"/>
        <item x="22"/>
        <item x="13"/>
        <item x="18"/>
        <item x="20"/>
        <item x="34"/>
        <item x="24"/>
        <item x="27"/>
        <item x="37"/>
        <item x="44"/>
        <item x="29"/>
        <item x="42"/>
        <item x="43"/>
        <item x="46"/>
        <item x="48"/>
        <item x="38"/>
        <item x="50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g Math" fld="5" subtotal="average" baseField="0" baseItem="1"/>
    <dataField name="Avg Reading" fld="6" subtotal="average" baseField="0" baseItem="1"/>
    <dataField name="Avg Writing" fld="7" subtotal="average" baseField="0" baseItem="1"/>
  </dataFields>
  <formats count="1">
    <format dxfId="51">
      <pivotArea outline="0" collapsedLevelsAreSubtotals="1" fieldPosition="0"/>
    </format>
  </format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241AA-E858-408D-88B5-C9B1E3654D82}" name="Pivot_TestPrep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7">
  <location ref="A1:E4" firstHeaderRow="0" firstDataRow="1" firstDataCol="1"/>
  <pivotFields count="22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g Math " fld="5" subtotal="average" baseField="0" baseItem="0" numFmtId="2"/>
    <dataField name="Avg Reading" fld="6" subtotal="average" baseField="4" baseItem="0" numFmtId="2"/>
    <dataField name="Avg Writing" fld="7" subtotal="average" baseField="4" baseItem="0" numFmtId="2"/>
    <dataField name="Avg Average Score" fld="8" subtotal="average" baseField="4" baseItem="1" numFmtId="2"/>
  </dataFields>
  <formats count="8">
    <format dxfId="4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3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CE9EE-F597-4D25-98D5-6A1D90F9E51C}" name="Pivot_Lunch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4">
  <location ref="A1:D5" firstHeaderRow="1" firstDataRow="2" firstDataCol="1"/>
  <pivotFields count="22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numFmtI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Math Score" fld="5" subtotal="count" showDataAs="percentOfRow" baseField="0" baseItem="9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C60FA4-4C73-4FDB-820B-D549E425649B}" name="Pivot_ParentalEdu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14">
  <location ref="A1:E8" firstHeaderRow="0" firstDataRow="1" firstDataCol="1"/>
  <pivotFields count="22">
    <pivotField showAll="0"/>
    <pivotField showAll="0"/>
    <pivotField axis="axisRow" showAll="0">
      <items count="7">
        <item x="2"/>
        <item x="5"/>
        <item x="3"/>
        <item x="1"/>
        <item x="0"/>
        <item x="4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g Math" fld="5" subtotal="average" baseField="2" baseItem="0"/>
    <dataField name="Avg Reading" fld="6" subtotal="average" baseField="2" baseItem="0" numFmtId="2"/>
    <dataField name="Avg Writing" fld="7" subtotal="average" baseField="0" baseItem="0" numFmtId="2"/>
    <dataField name="Avg Average Score" fld="8" subtotal="average" baseField="0" baseItem="9" numFmtId="2"/>
  </dataFields>
  <formats count="7">
    <format dxfId="41">
      <pivotArea dataOnly="0" outline="0" fieldPosition="0">
        <references count="1">
          <reference field="4294967294" count="1">
            <x v="0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5">
      <pivotArea dataOnly="0" labelOnly="1" outline="0" fieldPosition="0">
        <references count="1">
          <reference field="4294967294" count="1">
            <x v="3"/>
          </reference>
        </references>
      </pivotArea>
    </format>
  </format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DC8CFE-C7DC-4D8E-9106-970BB40AC930}" name="Pivot_Race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1">
  <location ref="A1:E7" firstHeaderRow="0" firstDataRow="1" firstDataCol="1"/>
  <pivotFields count="22"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g Math" fld="5" subtotal="average" baseField="0" baseItem="0" numFmtId="2"/>
    <dataField name="Avg Reading" fld="6" subtotal="average" baseField="0" baseItem="0" numFmtId="2"/>
    <dataField name="Avg Writing" fld="7" subtotal="average" baseField="0" baseItem="0" numFmtId="2"/>
    <dataField name="Avg Average Score" fld="8" subtotal="average" baseField="1" baseItem="1"/>
  </dataFields>
  <formats count="5">
    <format dxfId="3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2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31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30">
      <pivotArea dataOnly="0" outline="0" fieldPosition="0">
        <references count="1">
          <reference field="4294967294" count="1"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27CFA-73BF-4120-9692-88C5E57A77B9}" name="Pivot_Gender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10">
  <location ref="A1:E4" firstHeaderRow="0" firstDataRow="1" firstDataCol="1"/>
  <pivotFields count="22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g Math" fld="5" subtotal="average" baseField="0" baseItem="0" numFmtId="2"/>
    <dataField name="Avg Reading" fld="6" subtotal="average" baseField="0" baseItem="0" numFmtId="2"/>
    <dataField name="Avg Writing" fld="7" subtotal="average" baseField="0" baseItem="0" numFmtId="2"/>
    <dataField name="Avg Average Score" fld="8" subtotal="average" baseField="0" baseItem="9" numFmtId="2"/>
  </dataFields>
  <formats count="8">
    <format dxfId="2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0909A9-A886-459C-BBC1-DE4D812181D7}" name="Student­­Performance" displayName="Student­­Performance" ref="A1:V1014" totalsRowShown="0">
  <autoFilter ref="A1:V1014" xr:uid="{A70909A9-A886-459C-BBC1-DE4D812181D7}"/>
  <sortState xmlns:xlrd2="http://schemas.microsoft.com/office/spreadsheetml/2017/richdata2" ref="A2:V1014">
    <sortCondition descending="1" ref="T1:T1014"/>
  </sortState>
  <tableColumns count="22">
    <tableColumn id="1" xr3:uid="{78A8A79F-E1F5-45AB-8E5F-6E1F818A3775}" name="Gender" dataDxfId="110"/>
    <tableColumn id="2" xr3:uid="{398CEA80-BB99-437D-82A0-759BD8E4CE63}" name="Race/Ethnicity" dataDxfId="109"/>
    <tableColumn id="3" xr3:uid="{31ACFD45-5DA5-44F1-9516-9467CBFD1613}" name="Parental Level of Education" dataDxfId="108"/>
    <tableColumn id="4" xr3:uid="{77FBA25F-9A15-4EA9-BE4E-9BE8563E7F0C}" name="Lunch" dataDxfId="107"/>
    <tableColumn id="5" xr3:uid="{79068552-88EF-4FB4-8B58-9BC1D05CDA9B}" name="Test Preparation Course" dataDxfId="106"/>
    <tableColumn id="6" xr3:uid="{546B1FF1-7B01-42D6-B709-4ED38461AA13}" name="Math Score" dataDxfId="105"/>
    <tableColumn id="7" xr3:uid="{95E10BDE-613B-4CB2-B892-F02E4893959B}" name="Reading Score" dataDxfId="104"/>
    <tableColumn id="8" xr3:uid="{C2B67854-8DF3-4321-A232-25C7EAB6501A}" name="Writing Score" dataDxfId="103"/>
    <tableColumn id="9" xr3:uid="{1FF09598-D2B7-4F08-B918-0865214305FD}" name="Average Score" dataDxfId="102">
      <calculatedColumnFormula>AVERAGE(Student­­Performance[[#This Row],[Math Score]],Student­­Performance[[#This Row],[Reading Score]],Student­­Performance[[#This Row],[Writing Score]])</calculatedColumnFormula>
    </tableColumn>
    <tableColumn id="10" xr3:uid="{EE934176-1586-4DB9-90BB-192EB6716534}" name="Pass/Fail" dataDxfId="101">
      <calculatedColumnFormula>IF(Student­­Performance[[#This Row],[Average Score]]&gt;=50,"Pass","Fail")</calculatedColumnFormula>
    </tableColumn>
    <tableColumn id="11" xr3:uid="{EB9A7AE8-8F01-45EA-80CA-557536CABDE5}" name="Reading - Math " dataDxfId="100">
      <calculatedColumnFormula>IF(OR(ISNUMBER(Student­­Performance[[#This Row],[Reading Score]])=FALSE,ISNUMBER(Student­­Performance[[#This Row],[Math Score]])=FALSE),"",Student­­Performance[[#This Row],[Reading Score]]-Student­­Performance[[#This Row],[Math Score]])</calculatedColumnFormula>
    </tableColumn>
    <tableColumn id="12" xr3:uid="{7A318765-7802-4EE9-974B-B3921FF3AF5A}" name="Writing - Reading" dataDxfId="99">
      <calculatedColumnFormula>IF(OR(ISNUMBER(Student­­Performance[[#This Row],[Writing Score]])=FALSE,ISNUMBER(Student­­Performance[[#This Row],[Reading Score]])=FALSE),"",Student­­Performance[[#This Row],[Writing Score]]-Student­­Performance[[#This Row],[Reading Score]])</calculatedColumnFormula>
    </tableColumn>
    <tableColumn id="13" xr3:uid="{B354F7D4-BDB1-4A71-884C-C23D0998F2E6}" name="Writing - Math" dataDxfId="98">
      <calculatedColumnFormula>IF(OR(ISNUMBER(Student­­Performance[[#This Row],[Writing Score]])=FALSE,ISNUMBER(Student­­Performance[[#This Row],[Math Score]])=FALSE),"",Student­­Performance[[#This Row],[Writing Score]]-Student­­Performance[[#This Row],[Math Score]])</calculatedColumnFormula>
    </tableColumn>
    <tableColumn id="14" xr3:uid="{32948A6F-8FAE-4E22-88E5-0A15B3434245}" name="Math Score Clean" dataDxfId="97">
      <calculatedColumnFormula>IF(ISNUMBER(Student­­Performance[[#This Row],[Math Score]]),Student­­Performance[[#This Row],[Math Score]],0)</calculatedColumnFormula>
    </tableColumn>
    <tableColumn id="15" xr3:uid="{B438438D-C3E0-4EBC-BE06-B55773CCA090}" name="Reading Score Clean" dataDxfId="96">
      <calculatedColumnFormula>IF(ISNUMBER(Student­­Performance[[#This Row],[Reading Score]]),Student­­Performance[[#This Row],[Reading Score]],0)</calculatedColumnFormula>
    </tableColumn>
    <tableColumn id="16" xr3:uid="{C8A31FE8-C9BF-42EF-9743-47E57E6F5D4C}" name="Writing Score Clean" dataDxfId="95">
      <calculatedColumnFormula>IF(ISNUMBER(Student­­Performance[[#This Row],[Writing Score]]),Student­­Performance[[#This Row],[Writing Score]],0)</calculatedColumnFormula>
    </tableColumn>
    <tableColumn id="17" xr3:uid="{D3B11CC2-C1A6-4A4F-9E1D-24ED3D944372}" name="Math Pass" dataDxfId="94">
      <calculatedColumnFormula>IF(Student­­Performance[[#This Row],[Math Score]]&gt;=50,"Pass","Fail")</calculatedColumnFormula>
    </tableColumn>
    <tableColumn id="18" xr3:uid="{8EB2C2E5-F3AE-4EED-B80C-A4C6B83EEBFD}" name="Reading Pass" dataDxfId="93">
      <calculatedColumnFormula>IF(Student­­Performance[[#This Row],[Reading Score]]&gt;=50,"Pass","Fail")</calculatedColumnFormula>
    </tableColumn>
    <tableColumn id="19" xr3:uid="{595857B6-C170-44CF-AFF4-622AF0C4C502}" name="Writing Pass " dataDxfId="92">
      <calculatedColumnFormula>IF(Student­­Performance[[#This Row],[Writing Score]]&gt;=50,"Pass","Fail")</calculatedColumnFormula>
    </tableColumn>
    <tableColumn id="20" xr3:uid="{3204FCE3-D2D4-4356-BB25-B8F27886A25F}" name="Total Score" dataDxfId="91">
      <calculatedColumnFormula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calculatedColumnFormula>
    </tableColumn>
    <tableColumn id="21" xr3:uid="{CDD8A58C-F949-446F-B367-5F67288765CD}" name="Score Range" dataDxfId="90">
      <calculatedColumnFormula array="1">IF(COUNT(F2:H2)=0,"", MAX(IF(ISNUMBER(F2:H2),F2:H2)) - MIN(IF(ISNUMBER(F2:H2),F2:H2)))</calculatedColumnFormula>
    </tableColumn>
    <tableColumn id="22" xr3:uid="{416775B2-3353-48D7-A81F-3B27F20C2DC3}" name="Outliers" dataDxfId="89">
      <calculatedColumnFormula>IF(U2="","",IF(U2&gt;25,"Outlier","Normal"))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75F69D-AAAF-4846-B7FF-9553B255C242}" name="Table3" displayName="Table3" ref="Y1:AB4" totalsRowShown="0" headerRowDxfId="88">
  <autoFilter ref="Y1:AB4" xr:uid="{D075F69D-AAAF-4846-B7FF-9553B255C242}"/>
  <tableColumns count="4">
    <tableColumn id="1" xr3:uid="{11174898-CBC3-499F-A222-9BFC475FBDB1}" name="Statistics"/>
    <tableColumn id="2" xr3:uid="{F8FB664B-F840-4B56-B332-D44AA1DCEC1A}" name="Math" dataDxfId="87">
      <calculatedColumnFormula array="1">_xlfn.STDEV.S(_xlfn._xlws.FILTER(F1:F1000, A1:A1000="male"))</calculatedColumnFormula>
    </tableColumn>
    <tableColumn id="3" xr3:uid="{5B2FC3D0-9ED1-41EC-95A7-9CFA9C690E0C}" name="Reading" dataDxfId="86">
      <calculatedColumnFormula array="1">_xlfn.STDEV.S(_xlfn._xlws.FILTER(G1:G1000, A1:A1000="male"))</calculatedColumnFormula>
    </tableColumn>
    <tableColumn id="4" xr3:uid="{97F415C9-775D-467D-B75C-E13811975D2A}" name="Writing" dataDxfId="85">
      <calculatedColumnFormula array="1">_xlfn.STDEV.S(_xlfn._xlws.FILTER(H1:H1000, A1:A1000="male"))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A9E110-AD55-4C93-A930-B2303B4DFDFC}" name="Table7" displayName="Table7" ref="Y17:AB20" totalsRowShown="0" headerRowDxfId="5" headerRowBorderDxfId="11" tableBorderDxfId="12" totalsRowBorderDxfId="10">
  <autoFilter ref="Y17:AB20" xr:uid="{4BA9E110-AD55-4C93-A930-B2303B4DFDFC}"/>
  <tableColumns count="4">
    <tableColumn id="1" xr3:uid="{A3F69B83-9704-451E-8485-C30868E79F9B}" name="Corelation" dataDxfId="9"/>
    <tableColumn id="2" xr3:uid="{26F1CAEF-2570-4B96-82DE-525D66E0612C}" name="Math" dataDxfId="8"/>
    <tableColumn id="3" xr3:uid="{0F895059-5954-4F67-ACCC-A48AFACFF4DC}" name="Reading " dataDxfId="7"/>
    <tableColumn id="4" xr3:uid="{9BA695CE-741E-470B-AB32-806E25187267}" name="Writing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699C1C1-DD59-412D-B856-8E1EADC1C4E9}" name="Table8" displayName="Table8" ref="A1:C1048576" totalsRowShown="0" headerRowDxfId="4" dataDxfId="3">
  <autoFilter ref="A1:C1048576" xr:uid="{8699C1C1-DD59-412D-B856-8E1EADC1C4E9}"/>
  <tableColumns count="3">
    <tableColumn id="1" xr3:uid="{A98BA423-AD26-4BE1-882B-7BD30B0A061D}" name="Math Score" dataDxfId="2"/>
    <tableColumn id="2" xr3:uid="{06281B5D-7787-4928-BFA2-4813DC03AF69}" name="Reading Score" dataDxfId="1"/>
    <tableColumn id="3" xr3:uid="{35B6D1F6-C294-4A53-9166-92DC4D0CD94C}" name="Writing Score" dataDxfId="0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43BCD39-C83A-4594-B8F9-95C6F2DF0EB8}" name="PassFailStacked" displayName="PassFailStacked" ref="A1:B3040" totalsRowShown="0">
  <autoFilter ref="A1:B3040" xr:uid="{943BCD39-C83A-4594-B8F9-95C6F2DF0EB8}"/>
  <tableColumns count="2">
    <tableColumn id="1" xr3:uid="{40D6B812-2DD9-4EB8-ACF4-7292E5E6AE0F}" name="Subject "/>
    <tableColumn id="2" xr3:uid="{451F3E7A-E0EB-46C4-9E46-3D99947E821B}" name="Pass/Fai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BB6C3A-F63B-4321-9569-78E3CE84E324}" name="Top10_Students" displayName="Top10_Students" ref="A1:I11" totalsRowShown="0" headerRowDxfId="84" dataDxfId="82" headerRowBorderDxfId="83" tableBorderDxfId="81">
  <autoFilter ref="A1:I11" xr:uid="{94BB6C3A-F63B-4321-9569-78E3CE84E324}"/>
  <tableColumns count="9">
    <tableColumn id="1" xr3:uid="{9021ADCA-08E9-4EBA-9A91-60EFFBFD2400}" name="Gender" dataDxfId="80"/>
    <tableColumn id="2" xr3:uid="{5C64E9BE-6DBC-422C-902E-A45CFCF397E1}" name="Race/Ethnicity" dataDxfId="79"/>
    <tableColumn id="3" xr3:uid="{CB5A676D-67E1-4125-9EEF-81175F3E3575}" name="Parental Level of Education" dataDxfId="78"/>
    <tableColumn id="4" xr3:uid="{E10A9949-2327-459E-A841-0F85B57EAAA3}" name="Test Preparation Course" dataDxfId="77"/>
    <tableColumn id="5" xr3:uid="{CB281A57-36BB-42D5-9622-566C3F26D782}" name="Math Score" dataDxfId="76"/>
    <tableColumn id="6" xr3:uid="{E9B3D7CA-6944-4E13-8B57-FE3D5E58349C}" name="Reading Score" dataDxfId="75"/>
    <tableColumn id="7" xr3:uid="{786771F7-7671-4ED7-8C4E-07EA70EA2835}" name="Writing Score" dataDxfId="74"/>
    <tableColumn id="8" xr3:uid="{DB7B04AB-44AC-41B2-BA05-16C7FEE84642}" name="Average Score" dataDxfId="73">
      <calculatedColumnFormula>AVERAGE(Student­­Performance[[#This Row],[Math Score]],Student­­Performance[[#This Row],[Reading Score]],Student­­Performance[[#This Row],[Writing Score]])</calculatedColumnFormula>
    </tableColumn>
    <tableColumn id="9" xr3:uid="{061DECD2-AF9F-4031-A67F-603180B46265}" name="Total Score" dataDxfId="72">
      <calculatedColumnFormula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0C8F401-99A3-4D0D-BDBB-FA801FF9C698}" name="Table1" displayName="Table1" ref="B1:J39" totalsRowShown="0">
  <autoFilter ref="B1:J39" xr:uid="{D0C8F401-99A3-4D0D-BDBB-FA801FF9C698}"/>
  <tableColumns count="9">
    <tableColumn id="2" xr3:uid="{44F0B7E4-717F-49F2-8060-8AD88550FC6F}" name="Race/Ethnicity"/>
    <tableColumn id="3" xr3:uid="{08F2B8FF-F6D2-4D69-9562-1E17298C25BE}" name="Parental Level of Education"/>
    <tableColumn id="4" xr3:uid="{CCC13952-695D-43A4-9BD9-78E5AC179D80}" name="Lunch"/>
    <tableColumn id="5" xr3:uid="{2F4CCC12-AB56-4245-9C43-97DDD6865293}" name="Test Preparation Course"/>
    <tableColumn id="6" xr3:uid="{56E4F356-F70D-4BBE-B6E8-8C79A8AD4493}" name="Math Score"/>
    <tableColumn id="7" xr3:uid="{001D051A-9163-4D4A-B248-B328EC764E40}" name="Reading Score"/>
    <tableColumn id="8" xr3:uid="{44D2FF80-AA86-4F5A-8149-F16F0A25982C}" name="Writing Score"/>
    <tableColumn id="1" xr3:uid="{4856A022-68B2-469C-95B3-534F0115DCB8}" name="Row No."/>
    <tableColumn id="9" xr3:uid="{E653C61C-7247-45BA-AC9A-2B8936D6DC5D}" name="Flag Reason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129944E-E078-4B13-8F5E-DBD09B60352E}" name="Table2" displayName="Table2" ref="A1:A3" totalsRowShown="0">
  <autoFilter ref="A1:A3" xr:uid="{2129944E-E078-4B13-8F5E-DBD09B60352E}"/>
  <tableColumns count="1">
    <tableColumn id="1" xr3:uid="{0716CA7F-C8F8-42E1-B575-3585FFB58F7F}" name="Gender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E70586-7010-4310-B9E2-169BCC7491BF}" name="Education_map" displayName="Education_map" ref="A1:B57" totalsRowShown="0" headerRowDxfId="21">
  <autoFilter ref="A1:B57" xr:uid="{73E70586-7010-4310-B9E2-169BCC7491BF}"/>
  <tableColumns count="2">
    <tableColumn id="1" xr3:uid="{43266257-ACF3-45A6-8238-365C4398F32E}" name="Incorrect Spelling" dataDxfId="20"/>
    <tableColumn id="2" xr3:uid="{F3DCFD09-48D3-4D1E-AC27-AB606284DA75}" name="Correct Spelling" dataDxfId="19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BED572-D3AA-4233-AE7F-931E44046012}" name="Table4" displayName="Table4" ref="A1:B10" totalsRowShown="0" headerRowDxfId="18" dataDxfId="16" headerRowBorderDxfId="17" tableBorderDxfId="15">
  <autoFilter ref="A1:B10" xr:uid="{2EBED572-D3AA-4233-AE7F-931E44046012}"/>
  <tableColumns count="2">
    <tableColumn id="1" xr3:uid="{ED1EF57F-BC9A-4781-86F7-625A1E9C94C5}" name="Incorrect Spelling" dataDxfId="14"/>
    <tableColumn id="2" xr3:uid="{371CC57A-D7A5-4C1C-8DEE-532E97B43172}" name="Correct Spelling" dataDxfId="1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table" Target="../tables/table6.xml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openxmlformats.org/officeDocument/2006/relationships/drawing" Target="../drawings/drawing7.xml"/><Relationship Id="rId4" Type="http://schemas.openxmlformats.org/officeDocument/2006/relationships/pivotTable" Target="../pivotTables/pivotTable1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6" Type="http://schemas.openxmlformats.org/officeDocument/2006/relationships/drawing" Target="../drawings/drawing8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1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2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2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2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FAD88-610F-4D3A-AA00-BE4AB4ACD551}">
  <dimension ref="A1:AB1038"/>
  <sheetViews>
    <sheetView topLeftCell="T1" workbookViewId="0">
      <selection activeCell="AI19" sqref="AI19"/>
    </sheetView>
  </sheetViews>
  <sheetFormatPr defaultRowHeight="14.4" x14ac:dyDescent="0.3"/>
  <cols>
    <col min="1" max="1" width="8.88671875" style="1"/>
    <col min="2" max="2" width="15.88671875" style="1" customWidth="1"/>
    <col min="3" max="3" width="25.109375" customWidth="1"/>
    <col min="4" max="4" width="15.88671875" style="1" customWidth="1"/>
    <col min="5" max="5" width="23.44140625" style="1" customWidth="1"/>
    <col min="6" max="6" width="12.88671875" style="4" customWidth="1"/>
    <col min="7" max="7" width="15.5546875" style="4" customWidth="1"/>
    <col min="8" max="9" width="14.44140625" style="4" customWidth="1"/>
    <col min="10" max="10" width="13.44140625" style="10" customWidth="1"/>
    <col min="11" max="11" width="16" style="10" customWidth="1"/>
    <col min="12" max="12" width="15" style="10" customWidth="1"/>
    <col min="13" max="13" width="15.109375" style="10" customWidth="1"/>
    <col min="14" max="14" width="16.88671875" style="10" customWidth="1"/>
    <col min="15" max="15" width="19" style="10" customWidth="1"/>
    <col min="16" max="18" width="16.88671875" style="10" customWidth="1"/>
    <col min="19" max="21" width="17.109375" style="10" customWidth="1"/>
    <col min="22" max="22" width="12.44140625" style="10" customWidth="1"/>
    <col min="24" max="24" width="14.44140625" style="4" customWidth="1"/>
    <col min="25" max="25" width="13.88671875" customWidth="1"/>
    <col min="26" max="26" width="8.88671875" style="9"/>
    <col min="27" max="27" width="10.5546875" style="9" customWidth="1"/>
    <col min="28" max="28" width="9.44140625" style="9" customWidth="1"/>
  </cols>
  <sheetData>
    <row r="1" spans="1:28" x14ac:dyDescent="0.3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121</v>
      </c>
      <c r="J1" s="10" t="s">
        <v>123</v>
      </c>
      <c r="K1" s="10" t="s">
        <v>126</v>
      </c>
      <c r="L1" s="10" t="s">
        <v>127</v>
      </c>
      <c r="M1" s="10" t="s">
        <v>128</v>
      </c>
      <c r="N1" s="10" t="s">
        <v>132</v>
      </c>
      <c r="O1" s="10" t="s">
        <v>133</v>
      </c>
      <c r="P1" s="10" t="s">
        <v>134</v>
      </c>
      <c r="Q1" s="10" t="s">
        <v>161</v>
      </c>
      <c r="R1" s="10" t="s">
        <v>162</v>
      </c>
      <c r="S1" s="10" t="s">
        <v>163</v>
      </c>
      <c r="T1" s="10" t="s">
        <v>168</v>
      </c>
      <c r="U1" s="10" t="s">
        <v>170</v>
      </c>
      <c r="V1" s="10" t="s">
        <v>171</v>
      </c>
      <c r="Y1" t="s">
        <v>111</v>
      </c>
      <c r="Z1" s="9" t="s">
        <v>112</v>
      </c>
      <c r="AA1" s="9" t="s">
        <v>113</v>
      </c>
      <c r="AB1" s="9" t="s">
        <v>114</v>
      </c>
    </row>
    <row r="2" spans="1:28" x14ac:dyDescent="0.3">
      <c r="A2" s="1" t="s">
        <v>8</v>
      </c>
      <c r="B2" s="1" t="s">
        <v>26</v>
      </c>
      <c r="C2" s="1" t="s">
        <v>83</v>
      </c>
      <c r="D2" s="1" t="s">
        <v>11</v>
      </c>
      <c r="E2" s="1" t="s">
        <v>12</v>
      </c>
      <c r="F2" s="4">
        <v>100</v>
      </c>
      <c r="G2" s="4">
        <v>100</v>
      </c>
      <c r="H2" s="4">
        <v>100</v>
      </c>
      <c r="I2" s="4">
        <f>AVERAGE(Student­­Performance[[#This Row],[Math Score]],Student­­Performance[[#This Row],[Reading Score]],Student­­Performance[[#This Row],[Writing Score]])</f>
        <v>100</v>
      </c>
      <c r="J2" s="10" t="str">
        <f>IF(Student­­Performance[[#This Row],[Average Score]]&gt;=50,"Pass","Fail")</f>
        <v>Pass</v>
      </c>
      <c r="K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2" s="4">
        <f>IF(ISNUMBER(Student­­Performance[[#This Row],[Math Score]]),Student­­Performance[[#This Row],[Math Score]],0)</f>
        <v>100</v>
      </c>
      <c r="O2" s="4">
        <f>IF(ISNUMBER(Student­­Performance[[#This Row],[Reading Score]]),Student­­Performance[[#This Row],[Reading Score]],0)</f>
        <v>100</v>
      </c>
      <c r="P2" s="4">
        <f>IF(ISNUMBER(Student­­Performance[[#This Row],[Writing Score]]),Student­­Performance[[#This Row],[Writing Score]],0)</f>
        <v>100</v>
      </c>
      <c r="Q2" s="4" t="str">
        <f>IF(Student­­Performance[[#This Row],[Math Score]]&gt;=50,"Pass","Fail")</f>
        <v>Pass</v>
      </c>
      <c r="R2" s="4" t="str">
        <f>IF(Student­­Performance[[#This Row],[Reading Score]]&gt;=50,"Pass","Fail")</f>
        <v>Pass</v>
      </c>
      <c r="S2" s="4" t="str">
        <f>IF(Student­­Performance[[#This Row],[Writing Score]]&gt;=50,"Pass","Fail")</f>
        <v>Pass</v>
      </c>
      <c r="T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300</v>
      </c>
      <c r="U2" s="4" cm="1">
        <f t="array" ref="U2">IF(COUNT(F2:H2)=0,"", MAX(IF(ISNUMBER(F2:H2),F2:H2)) - MIN(IF(ISNUMBER(F2:H2),F2:H2)))</f>
        <v>0</v>
      </c>
      <c r="V2" s="4" t="str">
        <f>IF(U2="","",IF(U2&gt;25,"Outlier","Normal"))</f>
        <v>Normal</v>
      </c>
      <c r="Y2" t="s">
        <v>115</v>
      </c>
      <c r="Z2" s="9" cm="1">
        <f t="array" ref="Z2">_xlfn.STDEV.S(_xlfn._xlws.FILTER(F2:F1001, A2:A1001="female"))</f>
        <v>14.640538129098392</v>
      </c>
      <c r="AA2" s="9" cm="1">
        <f t="array" ref="AA2">_xlfn.STDEV.S(_xlfn._xlws.FILTER(G2:G1001, A2:A1001="female"))</f>
        <v>13.581565472163955</v>
      </c>
      <c r="AB2" s="9" cm="1">
        <f t="array" ref="AB2">_xlfn.STDEV.S(_xlfn._xlws.FILTER(H2:H1001, A2:A1001="female"))</f>
        <v>13.922831540144344</v>
      </c>
    </row>
    <row r="3" spans="1:28" x14ac:dyDescent="0.3">
      <c r="A3" s="1" t="s">
        <v>17</v>
      </c>
      <c r="B3" s="1" t="s">
        <v>26</v>
      </c>
      <c r="C3" s="1" t="s">
        <v>83</v>
      </c>
      <c r="D3" s="1" t="s">
        <v>11</v>
      </c>
      <c r="E3" s="1" t="s">
        <v>15</v>
      </c>
      <c r="F3" s="4">
        <v>100</v>
      </c>
      <c r="G3" s="4">
        <v>100</v>
      </c>
      <c r="H3" s="4">
        <v>100</v>
      </c>
      <c r="I3" s="4">
        <f>AVERAGE(Student­­Performance[[#This Row],[Math Score]],Student­­Performance[[#This Row],[Reading Score]],Student­­Performance[[#This Row],[Writing Score]])</f>
        <v>100</v>
      </c>
      <c r="J3" s="10" t="str">
        <f>IF(Student­­Performance[[#This Row],[Average Score]]&gt;=50,"Pass","Fail")</f>
        <v>Pass</v>
      </c>
      <c r="K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3" s="4">
        <f>IF(ISNUMBER(Student­­Performance[[#This Row],[Math Score]]),Student­­Performance[[#This Row],[Math Score]],0)</f>
        <v>100</v>
      </c>
      <c r="O3" s="4">
        <f>IF(ISNUMBER(Student­­Performance[[#This Row],[Reading Score]]),Student­­Performance[[#This Row],[Reading Score]],0)</f>
        <v>100</v>
      </c>
      <c r="P3" s="4">
        <f>IF(ISNUMBER(Student­­Performance[[#This Row],[Writing Score]]),Student­­Performance[[#This Row],[Writing Score]],0)</f>
        <v>100</v>
      </c>
      <c r="Q3" s="4" t="str">
        <f>IF(Student­­Performance[[#This Row],[Math Score]]&gt;=50,"Pass","Fail")</f>
        <v>Pass</v>
      </c>
      <c r="R3" s="4" t="str">
        <f>IF(Student­­Performance[[#This Row],[Reading Score]]&gt;=50,"Pass","Fail")</f>
        <v>Pass</v>
      </c>
      <c r="S3" s="4" t="str">
        <f>IF(Student­­Performance[[#This Row],[Writing Score]]&gt;=50,"Pass","Fail")</f>
        <v>Pass</v>
      </c>
      <c r="T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300</v>
      </c>
      <c r="U3" s="4" cm="1">
        <f t="array" ref="U3">IF(COUNT(F3:H3)=0,"", MAX(IF(ISNUMBER(F3:H3),F3:H3)) - MIN(IF(ISNUMBER(F3:H3),F3:H3)))</f>
        <v>0</v>
      </c>
      <c r="V3" s="4" t="str">
        <f>IF(U3="","",IF(U3&gt;25,"Outlier","Normal"))</f>
        <v>Normal</v>
      </c>
      <c r="Y3" t="s">
        <v>116</v>
      </c>
      <c r="Z3" s="9" cm="1">
        <f t="array" ref="Z3">_xlfn.STDEV.S(_xlfn._xlws.FILTER(F2:F1001, A2:A1001="male"))</f>
        <v>14.071235285050744</v>
      </c>
      <c r="AA3" s="9" cm="1">
        <f t="array" ref="AA3">_xlfn.STDEV.S(_xlfn._xlws.FILTER(G2:G1001, A2:A1001="male"))</f>
        <v>13.58119388701606</v>
      </c>
      <c r="AB3" s="9" cm="1">
        <f t="array" ref="AB3">_xlfn.STDEV.S(_xlfn._xlws.FILTER(H2:H1001, A2:A1001="male"))</f>
        <v>13.656987664644062</v>
      </c>
    </row>
    <row r="4" spans="1:28" x14ac:dyDescent="0.3">
      <c r="A4" s="1" t="s">
        <v>8</v>
      </c>
      <c r="B4" s="1" t="s">
        <v>26</v>
      </c>
      <c r="C4" s="1" t="s">
        <v>86</v>
      </c>
      <c r="D4" s="1" t="s">
        <v>11</v>
      </c>
      <c r="E4" s="1" t="s">
        <v>12</v>
      </c>
      <c r="F4" s="4">
        <v>100</v>
      </c>
      <c r="G4" s="4">
        <v>100</v>
      </c>
      <c r="H4" s="4">
        <v>100</v>
      </c>
      <c r="I4" s="4">
        <f>AVERAGE(Student­­Performance[[#This Row],[Math Score]],Student­­Performance[[#This Row],[Reading Score]],Student­­Performance[[#This Row],[Writing Score]])</f>
        <v>100</v>
      </c>
      <c r="J4" s="10" t="str">
        <f>IF(Student­­Performance[[#This Row],[Average Score]]&gt;=50,"Pass","Fail")</f>
        <v>Pass</v>
      </c>
      <c r="K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4" s="4">
        <f>IF(ISNUMBER(Student­­Performance[[#This Row],[Math Score]]),Student­­Performance[[#This Row],[Math Score]],0)</f>
        <v>100</v>
      </c>
      <c r="O4" s="4">
        <f>IF(ISNUMBER(Student­­Performance[[#This Row],[Reading Score]]),Student­­Performance[[#This Row],[Reading Score]],0)</f>
        <v>100</v>
      </c>
      <c r="P4" s="4">
        <f>IF(ISNUMBER(Student­­Performance[[#This Row],[Writing Score]]),Student­­Performance[[#This Row],[Writing Score]],0)</f>
        <v>100</v>
      </c>
      <c r="Q4" s="4" t="str">
        <f>IF(Student­­Performance[[#This Row],[Math Score]]&gt;=50,"Pass","Fail")</f>
        <v>Pass</v>
      </c>
      <c r="R4" s="4" t="str">
        <f>IF(Student­­Performance[[#This Row],[Reading Score]]&gt;=50,"Pass","Fail")</f>
        <v>Pass</v>
      </c>
      <c r="S4" s="4" t="str">
        <f>IF(Student­­Performance[[#This Row],[Writing Score]]&gt;=50,"Pass","Fail")</f>
        <v>Pass</v>
      </c>
      <c r="T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300</v>
      </c>
      <c r="U4" s="4" cm="1">
        <f t="array" ref="U4">IF(COUNT(F4:H4)=0,"", MAX(IF(ISNUMBER(F4:H4),F4:H4)) - MIN(IF(ISNUMBER(F4:H4),F4:H4)))</f>
        <v>0</v>
      </c>
      <c r="V4" s="4" t="str">
        <f>IF(U4="","",IF(U4&gt;25,"Outlier","Normal"))</f>
        <v>Normal</v>
      </c>
      <c r="Y4" t="s">
        <v>178</v>
      </c>
      <c r="Z4" s="9">
        <f>AVERAGE(Z2:Z3)</f>
        <v>14.355886707074568</v>
      </c>
      <c r="AA4" s="9">
        <f t="shared" ref="AA4:AB4" si="0">AVERAGE(AA2:AA3)</f>
        <v>13.581379679590007</v>
      </c>
      <c r="AB4" s="9">
        <f t="shared" si="0"/>
        <v>13.789909602394204</v>
      </c>
    </row>
    <row r="5" spans="1:28" x14ac:dyDescent="0.3">
      <c r="A5" s="1" t="s">
        <v>8</v>
      </c>
      <c r="B5" s="1" t="s">
        <v>26</v>
      </c>
      <c r="C5" s="1" t="s">
        <v>83</v>
      </c>
      <c r="D5" s="1" t="s">
        <v>11</v>
      </c>
      <c r="E5" s="1" t="s">
        <v>15</v>
      </c>
      <c r="F5" s="4">
        <v>99</v>
      </c>
      <c r="G5" s="4">
        <v>100</v>
      </c>
      <c r="H5" s="4">
        <v>100</v>
      </c>
      <c r="I5" s="4">
        <f>AVERAGE(Student­­Performance[[#This Row],[Math Score]],Student­­Performance[[#This Row],[Reading Score]],Student­­Performance[[#This Row],[Writing Score]])</f>
        <v>99.666666666666671</v>
      </c>
      <c r="J5" s="10" t="str">
        <f>IF(Student­­Performance[[#This Row],[Average Score]]&gt;=50,"Pass","Fail")</f>
        <v>Pass</v>
      </c>
      <c r="K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5" s="4">
        <f>IF(ISNUMBER(Student­­Performance[[#This Row],[Math Score]]),Student­­Performance[[#This Row],[Math Score]],0)</f>
        <v>99</v>
      </c>
      <c r="O5" s="4">
        <f>IF(ISNUMBER(Student­­Performance[[#This Row],[Reading Score]]),Student­­Performance[[#This Row],[Reading Score]],0)</f>
        <v>100</v>
      </c>
      <c r="P5" s="4">
        <f>IF(ISNUMBER(Student­­Performance[[#This Row],[Writing Score]]),Student­­Performance[[#This Row],[Writing Score]],0)</f>
        <v>100</v>
      </c>
      <c r="Q5" s="4" t="str">
        <f>IF(Student­­Performance[[#This Row],[Math Score]]&gt;=50,"Pass","Fail")</f>
        <v>Pass</v>
      </c>
      <c r="R5" s="4" t="str">
        <f>IF(Student­­Performance[[#This Row],[Reading Score]]&gt;=50,"Pass","Fail")</f>
        <v>Pass</v>
      </c>
      <c r="S5" s="4" t="str">
        <f>IF(Student­­Performance[[#This Row],[Writing Score]]&gt;=50,"Pass","Fail")</f>
        <v>Pass</v>
      </c>
      <c r="T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299</v>
      </c>
      <c r="U5" s="4" cm="1">
        <f t="array" ref="U5">IF(COUNT(F5:H5)=0,"", MAX(IF(ISNUMBER(F5:H5),F5:H5)) - MIN(IF(ISNUMBER(F5:H5),F5:H5)))</f>
        <v>1</v>
      </c>
      <c r="V5" s="4" t="str">
        <f>IF(U5="","",IF(U5&gt;25,"Outlier","Normal"))</f>
        <v>Normal</v>
      </c>
    </row>
    <row r="6" spans="1:28" x14ac:dyDescent="0.3">
      <c r="A6" s="1" t="s">
        <v>8</v>
      </c>
      <c r="B6" s="1" t="s">
        <v>21</v>
      </c>
      <c r="C6" s="1" t="s">
        <v>88</v>
      </c>
      <c r="D6" s="1" t="s">
        <v>11</v>
      </c>
      <c r="E6" s="1" t="s">
        <v>15</v>
      </c>
      <c r="F6" s="4">
        <v>97</v>
      </c>
      <c r="G6" s="4">
        <v>100</v>
      </c>
      <c r="H6" s="4">
        <v>100</v>
      </c>
      <c r="I6" s="4">
        <f>AVERAGE(Student­­Performance[[#This Row],[Math Score]],Student­­Performance[[#This Row],[Reading Score]],Student­­Performance[[#This Row],[Writing Score]])</f>
        <v>99</v>
      </c>
      <c r="J6" s="10" t="str">
        <f>IF(Student­­Performance[[#This Row],[Average Score]]&gt;=50,"Pass","Fail")</f>
        <v>Pass</v>
      </c>
      <c r="K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6" s="4">
        <f>IF(ISNUMBER(Student­­Performance[[#This Row],[Math Score]]),Student­­Performance[[#This Row],[Math Score]],0)</f>
        <v>97</v>
      </c>
      <c r="O6" s="4">
        <f>IF(ISNUMBER(Student­­Performance[[#This Row],[Reading Score]]),Student­­Performance[[#This Row],[Reading Score]],0)</f>
        <v>100</v>
      </c>
      <c r="P6" s="4">
        <f>IF(ISNUMBER(Student­­Performance[[#This Row],[Writing Score]]),Student­­Performance[[#This Row],[Writing Score]],0)</f>
        <v>100</v>
      </c>
      <c r="Q6" s="4" t="str">
        <f>IF(Student­­Performance[[#This Row],[Math Score]]&gt;=50,"Pass","Fail")</f>
        <v>Pass</v>
      </c>
      <c r="R6" s="4" t="str">
        <f>IF(Student­­Performance[[#This Row],[Reading Score]]&gt;=50,"Pass","Fail")</f>
        <v>Pass</v>
      </c>
      <c r="S6" s="4" t="str">
        <f>IF(Student­­Performance[[#This Row],[Writing Score]]&gt;=50,"Pass","Fail")</f>
        <v>Pass</v>
      </c>
      <c r="T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297</v>
      </c>
      <c r="U6" s="4" cm="1">
        <f t="array" ref="U6">IF(COUNT(F6:H6)=0,"", MAX(IF(ISNUMBER(F6:H6),F6:H6)) - MIN(IF(ISNUMBER(F6:H6),F6:H6)))</f>
        <v>3</v>
      </c>
      <c r="V6" s="4" t="str">
        <f>IF(U6="","",IF(U6&gt;25,"Outlier","Normal"))</f>
        <v>Normal</v>
      </c>
    </row>
    <row r="7" spans="1:28" x14ac:dyDescent="0.3">
      <c r="A7" s="1" t="s">
        <v>8</v>
      </c>
      <c r="B7" s="1" t="s">
        <v>21</v>
      </c>
      <c r="C7" s="1" t="s">
        <v>84</v>
      </c>
      <c r="D7" s="1" t="s">
        <v>11</v>
      </c>
      <c r="E7" s="1" t="s">
        <v>12</v>
      </c>
      <c r="F7" s="4">
        <v>98</v>
      </c>
      <c r="G7" s="4">
        <v>100</v>
      </c>
      <c r="H7" s="4">
        <v>99</v>
      </c>
      <c r="I7" s="4">
        <f>AVERAGE(Student­­Performance[[#This Row],[Math Score]],Student­­Performance[[#This Row],[Reading Score]],Student­­Performance[[#This Row],[Writing Score]])</f>
        <v>99</v>
      </c>
      <c r="J7" s="10" t="str">
        <f>IF(Student­­Performance[[#This Row],[Average Score]]&gt;=50,"Pass","Fail")</f>
        <v>Pass</v>
      </c>
      <c r="K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7" s="4">
        <f>IF(ISNUMBER(Student­­Performance[[#This Row],[Math Score]]),Student­­Performance[[#This Row],[Math Score]],0)</f>
        <v>98</v>
      </c>
      <c r="O7" s="4">
        <f>IF(ISNUMBER(Student­­Performance[[#This Row],[Reading Score]]),Student­­Performance[[#This Row],[Reading Score]],0)</f>
        <v>100</v>
      </c>
      <c r="P7" s="4">
        <f>IF(ISNUMBER(Student­­Performance[[#This Row],[Writing Score]]),Student­­Performance[[#This Row],[Writing Score]],0)</f>
        <v>99</v>
      </c>
      <c r="Q7" s="4" t="str">
        <f>IF(Student­­Performance[[#This Row],[Math Score]]&gt;=50,"Pass","Fail")</f>
        <v>Pass</v>
      </c>
      <c r="R7" s="4" t="str">
        <f>IF(Student­­Performance[[#This Row],[Reading Score]]&gt;=50,"Pass","Fail")</f>
        <v>Pass</v>
      </c>
      <c r="S7" s="4" t="str">
        <f>IF(Student­­Performance[[#This Row],[Writing Score]]&gt;=50,"Pass","Fail")</f>
        <v>Pass</v>
      </c>
      <c r="T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297</v>
      </c>
      <c r="U7" s="4" cm="1">
        <f t="array" ref="U7">IF(COUNT(F7:H7)=0,"", MAX(IF(ISNUMBER(F7:H7),F7:H7)) - MIN(IF(ISNUMBER(F7:H7),F7:H7)))</f>
        <v>2</v>
      </c>
      <c r="V7" s="4" t="str">
        <f>IF(U7="","",IF(U7&gt;25,"Outlier","Normal"))</f>
        <v>Normal</v>
      </c>
    </row>
    <row r="8" spans="1:28" x14ac:dyDescent="0.3">
      <c r="A8" s="1" t="s">
        <v>8</v>
      </c>
      <c r="B8" s="1" t="s">
        <v>13</v>
      </c>
      <c r="C8" s="1" t="s">
        <v>83</v>
      </c>
      <c r="D8" s="1" t="s">
        <v>11</v>
      </c>
      <c r="E8" s="1" t="s">
        <v>15</v>
      </c>
      <c r="F8" s="4">
        <v>96</v>
      </c>
      <c r="G8" s="4">
        <v>100</v>
      </c>
      <c r="H8" s="4">
        <v>100</v>
      </c>
      <c r="I8" s="4">
        <f>AVERAGE(Student­­Performance[[#This Row],[Math Score]],Student­­Performance[[#This Row],[Reading Score]],Student­­Performance[[#This Row],[Writing Score]])</f>
        <v>98.666666666666671</v>
      </c>
      <c r="J8" s="10" t="str">
        <f>IF(Student­­Performance[[#This Row],[Average Score]]&gt;=50,"Pass","Fail")</f>
        <v>Pass</v>
      </c>
      <c r="K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8" s="4">
        <f>IF(ISNUMBER(Student­­Performance[[#This Row],[Math Score]]),Student­­Performance[[#This Row],[Math Score]],0)</f>
        <v>96</v>
      </c>
      <c r="O8" s="4">
        <f>IF(ISNUMBER(Student­­Performance[[#This Row],[Reading Score]]),Student­­Performance[[#This Row],[Reading Score]],0)</f>
        <v>100</v>
      </c>
      <c r="P8" s="4">
        <f>IF(ISNUMBER(Student­­Performance[[#This Row],[Writing Score]]),Student­­Performance[[#This Row],[Writing Score]],0)</f>
        <v>100</v>
      </c>
      <c r="Q8" s="4" t="str">
        <f>IF(Student­­Performance[[#This Row],[Math Score]]&gt;=50,"Pass","Fail")</f>
        <v>Pass</v>
      </c>
      <c r="R8" s="4" t="str">
        <f>IF(Student­­Performance[[#This Row],[Reading Score]]&gt;=50,"Pass","Fail")</f>
        <v>Pass</v>
      </c>
      <c r="S8" s="4" t="str">
        <f>IF(Student­­Performance[[#This Row],[Writing Score]]&gt;=50,"Pass","Fail")</f>
        <v>Pass</v>
      </c>
      <c r="T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296</v>
      </c>
      <c r="U8" s="4" cm="1">
        <f t="array" ref="U8">IF(COUNT(F8:H8)=0,"", MAX(IF(ISNUMBER(F8:H8),F8:H8)) - MIN(IF(ISNUMBER(F8:H8),F8:H8)))</f>
        <v>4</v>
      </c>
      <c r="V8" s="4" t="str">
        <f>IF(U8="","",IF(U8&gt;25,"Outlier","Normal"))</f>
        <v>Normal</v>
      </c>
    </row>
    <row r="9" spans="1:28" x14ac:dyDescent="0.3">
      <c r="A9" s="1" t="s">
        <v>17</v>
      </c>
      <c r="B9" s="1" t="s">
        <v>21</v>
      </c>
      <c r="C9" s="1" t="s">
        <v>84</v>
      </c>
      <c r="D9" s="1" t="s">
        <v>11</v>
      </c>
      <c r="E9" s="1" t="s">
        <v>15</v>
      </c>
      <c r="F9" s="4">
        <v>100</v>
      </c>
      <c r="G9" s="4">
        <v>97</v>
      </c>
      <c r="H9" s="4">
        <v>99</v>
      </c>
      <c r="I9" s="4">
        <f>AVERAGE(Student­­Performance[[#This Row],[Math Score]],Student­­Performance[[#This Row],[Reading Score]],Student­­Performance[[#This Row],[Writing Score]])</f>
        <v>98.666666666666671</v>
      </c>
      <c r="J9" s="10" t="str">
        <f>IF(Student­­Performance[[#This Row],[Average Score]]&gt;=50,"Pass","Fail")</f>
        <v>Pass</v>
      </c>
      <c r="K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9" s="4">
        <f>IF(ISNUMBER(Student­­Performance[[#This Row],[Math Score]]),Student­­Performance[[#This Row],[Math Score]],0)</f>
        <v>100</v>
      </c>
      <c r="O9" s="4">
        <f>IF(ISNUMBER(Student­­Performance[[#This Row],[Reading Score]]),Student­­Performance[[#This Row],[Reading Score]],0)</f>
        <v>97</v>
      </c>
      <c r="P9" s="4">
        <f>IF(ISNUMBER(Student­­Performance[[#This Row],[Writing Score]]),Student­­Performance[[#This Row],[Writing Score]],0)</f>
        <v>99</v>
      </c>
      <c r="Q9" s="4" t="str">
        <f>IF(Student­­Performance[[#This Row],[Math Score]]&gt;=50,"Pass","Fail")</f>
        <v>Pass</v>
      </c>
      <c r="R9" s="4" t="str">
        <f>IF(Student­­Performance[[#This Row],[Reading Score]]&gt;=50,"Pass","Fail")</f>
        <v>Pass</v>
      </c>
      <c r="S9" s="4" t="str">
        <f>IF(Student­­Performance[[#This Row],[Writing Score]]&gt;=50,"Pass","Fail")</f>
        <v>Pass</v>
      </c>
      <c r="T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296</v>
      </c>
      <c r="U9" s="4" cm="1">
        <f t="array" ref="U9">IF(COUNT(F9:H9)=0,"", MAX(IF(ISNUMBER(F9:H9),F9:H9)) - MIN(IF(ISNUMBER(F9:H9),F9:H9)))</f>
        <v>3</v>
      </c>
      <c r="V9" s="4" t="str">
        <f>IF(U9="","",IF(U9&gt;25,"Outlier","Normal"))</f>
        <v>Normal</v>
      </c>
    </row>
    <row r="10" spans="1:28" x14ac:dyDescent="0.3">
      <c r="A10" s="1" t="s">
        <v>17</v>
      </c>
      <c r="B10" s="1" t="s">
        <v>26</v>
      </c>
      <c r="C10" s="1" t="s">
        <v>86</v>
      </c>
      <c r="D10" s="1" t="s">
        <v>20</v>
      </c>
      <c r="E10" s="1" t="s">
        <v>15</v>
      </c>
      <c r="F10" s="4">
        <v>100</v>
      </c>
      <c r="G10" s="4">
        <v>100</v>
      </c>
      <c r="H10" s="4">
        <v>93</v>
      </c>
      <c r="I10" s="4">
        <f>AVERAGE(Student­­Performance[[#This Row],[Math Score]],Student­­Performance[[#This Row],[Reading Score]],Student­­Performance[[#This Row],[Writing Score]])</f>
        <v>97.666666666666671</v>
      </c>
      <c r="J10" s="10" t="str">
        <f>IF(Student­­Performance[[#This Row],[Average Score]]&gt;=50,"Pass","Fail")</f>
        <v>Pass</v>
      </c>
      <c r="K1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1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1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10" s="4">
        <f>IF(ISNUMBER(Student­­Performance[[#This Row],[Math Score]]),Student­­Performance[[#This Row],[Math Score]],0)</f>
        <v>100</v>
      </c>
      <c r="O10" s="4">
        <f>IF(ISNUMBER(Student­­Performance[[#This Row],[Reading Score]]),Student­­Performance[[#This Row],[Reading Score]],0)</f>
        <v>100</v>
      </c>
      <c r="P10" s="4">
        <f>IF(ISNUMBER(Student­­Performance[[#This Row],[Writing Score]]),Student­­Performance[[#This Row],[Writing Score]],0)</f>
        <v>93</v>
      </c>
      <c r="Q10" s="4" t="str">
        <f>IF(Student­­Performance[[#This Row],[Math Score]]&gt;=50,"Pass","Fail")</f>
        <v>Pass</v>
      </c>
      <c r="R10" s="4" t="str">
        <f>IF(Student­­Performance[[#This Row],[Reading Score]]&gt;=50,"Pass","Fail")</f>
        <v>Pass</v>
      </c>
      <c r="S10" s="4" t="str">
        <f>IF(Student­­Performance[[#This Row],[Writing Score]]&gt;=50,"Pass","Fail")</f>
        <v>Pass</v>
      </c>
      <c r="T1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293</v>
      </c>
      <c r="U10" s="4" cm="1">
        <f t="array" ref="U10">IF(COUNT(F10:H10)=0,"", MAX(IF(ISNUMBER(F10:H10),F10:H10)) - MIN(IF(ISNUMBER(F10:H10),F10:H10)))</f>
        <v>7</v>
      </c>
      <c r="V10" s="4" t="str">
        <f>IF(U10="","",IF(U10&gt;25,"Outlier","Normal"))</f>
        <v>Normal</v>
      </c>
    </row>
    <row r="11" spans="1:28" x14ac:dyDescent="0.3">
      <c r="A11" s="1" t="s">
        <v>8</v>
      </c>
      <c r="B11" s="1" t="s">
        <v>26</v>
      </c>
      <c r="C11" s="1" t="s">
        <v>85</v>
      </c>
      <c r="D11" s="1" t="s">
        <v>11</v>
      </c>
      <c r="E11" s="1" t="s">
        <v>15</v>
      </c>
      <c r="F11" s="4">
        <v>94</v>
      </c>
      <c r="G11" s="4">
        <v>99</v>
      </c>
      <c r="H11" s="4">
        <v>100</v>
      </c>
      <c r="I11" s="4">
        <f>AVERAGE(Student­­Performance[[#This Row],[Math Score]],Student­­Performance[[#This Row],[Reading Score]],Student­­Performance[[#This Row],[Writing Score]])</f>
        <v>97.666666666666671</v>
      </c>
      <c r="J11" s="10" t="str">
        <f>IF(Student­­Performance[[#This Row],[Average Score]]&gt;=50,"Pass","Fail")</f>
        <v>Pass</v>
      </c>
      <c r="K1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1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1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11" s="4">
        <f>IF(ISNUMBER(Student­­Performance[[#This Row],[Math Score]]),Student­­Performance[[#This Row],[Math Score]],0)</f>
        <v>94</v>
      </c>
      <c r="O11" s="4">
        <f>IF(ISNUMBER(Student­­Performance[[#This Row],[Reading Score]]),Student­­Performance[[#This Row],[Reading Score]],0)</f>
        <v>99</v>
      </c>
      <c r="P11" s="4">
        <f>IF(ISNUMBER(Student­­Performance[[#This Row],[Writing Score]]),Student­­Performance[[#This Row],[Writing Score]],0)</f>
        <v>100</v>
      </c>
      <c r="Q11" s="4" t="str">
        <f>IF(Student­­Performance[[#This Row],[Math Score]]&gt;=50,"Pass","Fail")</f>
        <v>Pass</v>
      </c>
      <c r="R11" s="4" t="str">
        <f>IF(Student­­Performance[[#This Row],[Reading Score]]&gt;=50,"Pass","Fail")</f>
        <v>Pass</v>
      </c>
      <c r="S11" s="4" t="str">
        <f>IF(Student­­Performance[[#This Row],[Writing Score]]&gt;=50,"Pass","Fail")</f>
        <v>Pass</v>
      </c>
      <c r="T1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293</v>
      </c>
      <c r="U11" s="4" cm="1">
        <f t="array" ref="U11">IF(COUNT(F11:H11)=0,"", MAX(IF(ISNUMBER(F11:H11),F11:H11)) - MIN(IF(ISNUMBER(F11:H11),F11:H11)))</f>
        <v>6</v>
      </c>
      <c r="V11" s="4" t="str">
        <f>IF(U11="","",IF(U11&gt;25,"Outlier","Normal"))</f>
        <v>Normal</v>
      </c>
    </row>
    <row r="12" spans="1:28" x14ac:dyDescent="0.3">
      <c r="A12" s="1" t="s">
        <v>8</v>
      </c>
      <c r="B12" s="1" t="s">
        <v>21</v>
      </c>
      <c r="C12" s="1" t="s">
        <v>83</v>
      </c>
      <c r="D12" s="1" t="s">
        <v>20</v>
      </c>
      <c r="E12" s="1" t="s">
        <v>15</v>
      </c>
      <c r="F12" s="4">
        <v>93</v>
      </c>
      <c r="G12" s="4">
        <v>100</v>
      </c>
      <c r="H12" s="4">
        <v>100</v>
      </c>
      <c r="I12" s="4">
        <f>AVERAGE(Student­­Performance[[#This Row],[Math Score]],Student­­Performance[[#This Row],[Reading Score]],Student­­Performance[[#This Row],[Writing Score]])</f>
        <v>97.666666666666671</v>
      </c>
      <c r="J12" s="10" t="str">
        <f>IF(Student­­Performance[[#This Row],[Average Score]]&gt;=50,"Pass","Fail")</f>
        <v>Pass</v>
      </c>
      <c r="K1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1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1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12" s="4">
        <f>IF(ISNUMBER(Student­­Performance[[#This Row],[Math Score]]),Student­­Performance[[#This Row],[Math Score]],0)</f>
        <v>93</v>
      </c>
      <c r="O12" s="4">
        <f>IF(ISNUMBER(Student­­Performance[[#This Row],[Reading Score]]),Student­­Performance[[#This Row],[Reading Score]],0)</f>
        <v>100</v>
      </c>
      <c r="P12" s="4">
        <f>IF(ISNUMBER(Student­­Performance[[#This Row],[Writing Score]]),Student­­Performance[[#This Row],[Writing Score]],0)</f>
        <v>100</v>
      </c>
      <c r="Q12" s="4" t="str">
        <f>IF(Student­­Performance[[#This Row],[Math Score]]&gt;=50,"Pass","Fail")</f>
        <v>Pass</v>
      </c>
      <c r="R12" s="4" t="str">
        <f>IF(Student­­Performance[[#This Row],[Reading Score]]&gt;=50,"Pass","Fail")</f>
        <v>Pass</v>
      </c>
      <c r="S12" s="4" t="str">
        <f>IF(Student­­Performance[[#This Row],[Writing Score]]&gt;=50,"Pass","Fail")</f>
        <v>Pass</v>
      </c>
      <c r="T1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293</v>
      </c>
      <c r="U12" s="4" cm="1">
        <f t="array" ref="U12">IF(COUNT(F12:H12)=0,"", MAX(IF(ISNUMBER(F12:H12),F12:H12)) - MIN(IF(ISNUMBER(F12:H12),F12:H12)))</f>
        <v>7</v>
      </c>
      <c r="V12" s="4" t="str">
        <f>IF(U12="","",IF(U12&gt;25,"Outlier","Normal"))</f>
        <v>Normal</v>
      </c>
    </row>
    <row r="13" spans="1:28" x14ac:dyDescent="0.3">
      <c r="A13" s="1" t="s">
        <v>8</v>
      </c>
      <c r="B13" s="1" t="s">
        <v>26</v>
      </c>
      <c r="C13" s="1" t="s">
        <v>83</v>
      </c>
      <c r="D13" s="1" t="s">
        <v>20</v>
      </c>
      <c r="E13" s="1" t="s">
        <v>15</v>
      </c>
      <c r="F13" s="4">
        <v>92</v>
      </c>
      <c r="G13" s="4">
        <v>100</v>
      </c>
      <c r="H13" s="4">
        <v>100</v>
      </c>
      <c r="I13" s="4">
        <f>AVERAGE(Student­­Performance[[#This Row],[Math Score]],Student­­Performance[[#This Row],[Reading Score]],Student­­Performance[[#This Row],[Writing Score]])</f>
        <v>97.333333333333329</v>
      </c>
      <c r="J13" s="10" t="str">
        <f>IF(Student­­Performance[[#This Row],[Average Score]]&gt;=50,"Pass","Fail")</f>
        <v>Pass</v>
      </c>
      <c r="K1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1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1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13" s="4">
        <f>IF(ISNUMBER(Student­­Performance[[#This Row],[Math Score]]),Student­­Performance[[#This Row],[Math Score]],0)</f>
        <v>92</v>
      </c>
      <c r="O13" s="4">
        <f>IF(ISNUMBER(Student­­Performance[[#This Row],[Reading Score]]),Student­­Performance[[#This Row],[Reading Score]],0)</f>
        <v>100</v>
      </c>
      <c r="P13" s="4">
        <f>IF(ISNUMBER(Student­­Performance[[#This Row],[Writing Score]]),Student­­Performance[[#This Row],[Writing Score]],0)</f>
        <v>100</v>
      </c>
      <c r="Q13" s="4" t="str">
        <f>IF(Student­­Performance[[#This Row],[Math Score]]&gt;=50,"Pass","Fail")</f>
        <v>Pass</v>
      </c>
      <c r="R13" s="4" t="str">
        <f>IF(Student­­Performance[[#This Row],[Reading Score]]&gt;=50,"Pass","Fail")</f>
        <v>Pass</v>
      </c>
      <c r="S13" s="4" t="str">
        <f>IF(Student­­Performance[[#This Row],[Writing Score]]&gt;=50,"Pass","Fail")</f>
        <v>Pass</v>
      </c>
      <c r="T1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292</v>
      </c>
      <c r="U13" s="4" cm="1">
        <f t="array" ref="U13">IF(COUNT(F13:H13)=0,"", MAX(IF(ISNUMBER(F13:H13),F13:H13)) - MIN(IF(ISNUMBER(F13:H13),F13:H13)))</f>
        <v>8</v>
      </c>
      <c r="V13" s="4" t="str">
        <f>IF(U13="","",IF(U13&gt;25,"Outlier","Normal"))</f>
        <v>Normal</v>
      </c>
    </row>
    <row r="14" spans="1:28" x14ac:dyDescent="0.3">
      <c r="A14" s="1" t="s">
        <v>8</v>
      </c>
      <c r="B14" s="1" t="s">
        <v>21</v>
      </c>
      <c r="C14" s="1" t="s">
        <v>85</v>
      </c>
      <c r="D14" s="1" t="s">
        <v>11</v>
      </c>
      <c r="E14" s="1" t="s">
        <v>12</v>
      </c>
      <c r="F14" s="4">
        <v>92</v>
      </c>
      <c r="G14" s="4">
        <v>100</v>
      </c>
      <c r="H14" s="4">
        <v>100</v>
      </c>
      <c r="I14" s="4">
        <f>AVERAGE(Student­­Performance[[#This Row],[Math Score]],Student­­Performance[[#This Row],[Reading Score]],Student­­Performance[[#This Row],[Writing Score]])</f>
        <v>97.333333333333329</v>
      </c>
      <c r="J14" s="10" t="str">
        <f>IF(Student­­Performance[[#This Row],[Average Score]]&gt;=50,"Pass","Fail")</f>
        <v>Pass</v>
      </c>
      <c r="K1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1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1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14" s="4">
        <f>IF(ISNUMBER(Student­­Performance[[#This Row],[Math Score]]),Student­­Performance[[#This Row],[Math Score]],0)</f>
        <v>92</v>
      </c>
      <c r="O14" s="4">
        <f>IF(ISNUMBER(Student­­Performance[[#This Row],[Reading Score]]),Student­­Performance[[#This Row],[Reading Score]],0)</f>
        <v>100</v>
      </c>
      <c r="P14" s="4">
        <f>IF(ISNUMBER(Student­­Performance[[#This Row],[Writing Score]]),Student­­Performance[[#This Row],[Writing Score]],0)</f>
        <v>100</v>
      </c>
      <c r="Q14" s="4" t="str">
        <f>IF(Student­­Performance[[#This Row],[Math Score]]&gt;=50,"Pass","Fail")</f>
        <v>Pass</v>
      </c>
      <c r="R14" s="4" t="str">
        <f>IF(Student­­Performance[[#This Row],[Reading Score]]&gt;=50,"Pass","Fail")</f>
        <v>Pass</v>
      </c>
      <c r="S14" s="4" t="str">
        <f>IF(Student­­Performance[[#This Row],[Writing Score]]&gt;=50,"Pass","Fail")</f>
        <v>Pass</v>
      </c>
      <c r="T1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292</v>
      </c>
      <c r="U14" s="4" cm="1">
        <f t="array" ref="U14">IF(COUNT(F14:H14)=0,"", MAX(IF(ISNUMBER(F14:H14),F14:H14)) - MIN(IF(ISNUMBER(F14:H14),F14:H14)))</f>
        <v>8</v>
      </c>
      <c r="V14" s="4" t="str">
        <f>IF(U14="","",IF(U14&gt;25,"Outlier","Normal"))</f>
        <v>Normal</v>
      </c>
    </row>
    <row r="15" spans="1:28" x14ac:dyDescent="0.3">
      <c r="A15" s="1" t="s">
        <v>8</v>
      </c>
      <c r="B15" s="1" t="s">
        <v>13</v>
      </c>
      <c r="C15" s="1" t="s">
        <v>83</v>
      </c>
      <c r="D15" s="1" t="s">
        <v>11</v>
      </c>
      <c r="E15" s="1" t="s">
        <v>15</v>
      </c>
      <c r="F15" s="4">
        <v>92</v>
      </c>
      <c r="G15" s="4">
        <v>100</v>
      </c>
      <c r="H15" s="4">
        <v>99</v>
      </c>
      <c r="I15" s="4">
        <f>AVERAGE(Student­­Performance[[#This Row],[Math Score]],Student­­Performance[[#This Row],[Reading Score]],Student­­Performance[[#This Row],[Writing Score]])</f>
        <v>97</v>
      </c>
      <c r="J15" s="10" t="str">
        <f>IF(Student­­Performance[[#This Row],[Average Score]]&gt;=50,"Pass","Fail")</f>
        <v>Pass</v>
      </c>
      <c r="K1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1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1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15" s="4">
        <f>IF(ISNUMBER(Student­­Performance[[#This Row],[Math Score]]),Student­­Performance[[#This Row],[Math Score]],0)</f>
        <v>92</v>
      </c>
      <c r="O15" s="4">
        <f>IF(ISNUMBER(Student­­Performance[[#This Row],[Reading Score]]),Student­­Performance[[#This Row],[Reading Score]],0)</f>
        <v>100</v>
      </c>
      <c r="P15" s="4">
        <f>IF(ISNUMBER(Student­­Performance[[#This Row],[Writing Score]]),Student­­Performance[[#This Row],[Writing Score]],0)</f>
        <v>99</v>
      </c>
      <c r="Q15" s="4" t="str">
        <f>IF(Student­­Performance[[#This Row],[Math Score]]&gt;=50,"Pass","Fail")</f>
        <v>Pass</v>
      </c>
      <c r="R15" s="4" t="str">
        <f>IF(Student­­Performance[[#This Row],[Reading Score]]&gt;=50,"Pass","Fail")</f>
        <v>Pass</v>
      </c>
      <c r="S15" s="4" t="str">
        <f>IF(Student­­Performance[[#This Row],[Writing Score]]&gt;=50,"Pass","Fail")</f>
        <v>Pass</v>
      </c>
      <c r="T1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291</v>
      </c>
      <c r="U15" s="4" cm="1">
        <f t="array" ref="U15">IF(COUNT(F15:H15)=0,"", MAX(IF(ISNUMBER(F15:H15),F15:H15)) - MIN(IF(ISNUMBER(F15:H15),F15:H15)))</f>
        <v>8</v>
      </c>
      <c r="V15" s="4" t="str">
        <f>IF(U15="","",IF(U15&gt;25,"Outlier","Normal"))</f>
        <v>Normal</v>
      </c>
      <c r="Y15" s="42"/>
      <c r="Z15" s="43"/>
      <c r="AA15" s="43"/>
      <c r="AB15" s="44"/>
    </row>
    <row r="16" spans="1:28" x14ac:dyDescent="0.3">
      <c r="A16" s="1" t="s">
        <v>8</v>
      </c>
      <c r="B16" s="1" t="s">
        <v>13</v>
      </c>
      <c r="C16" s="1" t="s">
        <v>86</v>
      </c>
      <c r="D16" s="1" t="s">
        <v>11</v>
      </c>
      <c r="E16" s="1" t="s">
        <v>15</v>
      </c>
      <c r="F16" s="4">
        <v>96</v>
      </c>
      <c r="G16" s="4">
        <v>96</v>
      </c>
      <c r="H16" s="4">
        <v>99</v>
      </c>
      <c r="I16" s="4">
        <f>AVERAGE(Student­­Performance[[#This Row],[Math Score]],Student­­Performance[[#This Row],[Reading Score]],Student­­Performance[[#This Row],[Writing Score]])</f>
        <v>97</v>
      </c>
      <c r="J16" s="10" t="str">
        <f>IF(Student­­Performance[[#This Row],[Average Score]]&gt;=50,"Pass","Fail")</f>
        <v>Pass</v>
      </c>
      <c r="K1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1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1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16" s="4">
        <f>IF(ISNUMBER(Student­­Performance[[#This Row],[Math Score]]),Student­­Performance[[#This Row],[Math Score]],0)</f>
        <v>96</v>
      </c>
      <c r="O16" s="4">
        <f>IF(ISNUMBER(Student­­Performance[[#This Row],[Reading Score]]),Student­­Performance[[#This Row],[Reading Score]],0)</f>
        <v>96</v>
      </c>
      <c r="P16" s="4">
        <f>IF(ISNUMBER(Student­­Performance[[#This Row],[Writing Score]]),Student­­Performance[[#This Row],[Writing Score]],0)</f>
        <v>99</v>
      </c>
      <c r="Q16" s="4" t="str">
        <f>IF(Student­­Performance[[#This Row],[Math Score]]&gt;=50,"Pass","Fail")</f>
        <v>Pass</v>
      </c>
      <c r="R16" s="4" t="str">
        <f>IF(Student­­Performance[[#This Row],[Reading Score]]&gt;=50,"Pass","Fail")</f>
        <v>Pass</v>
      </c>
      <c r="S16" s="4" t="str">
        <f>IF(Student­­Performance[[#This Row],[Writing Score]]&gt;=50,"Pass","Fail")</f>
        <v>Pass</v>
      </c>
      <c r="T1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291</v>
      </c>
      <c r="U16" s="4" cm="1">
        <f t="array" ref="U16">IF(COUNT(F16:H16)=0,"", MAX(IF(ISNUMBER(F16:H16),F16:H16)) - MIN(IF(ISNUMBER(F16:H16),F16:H16)))</f>
        <v>3</v>
      </c>
      <c r="V16" s="4" t="str">
        <f>IF(U16="","",IF(U16&gt;25,"Outlier","Normal"))</f>
        <v>Normal</v>
      </c>
      <c r="Y16" s="45"/>
      <c r="Z16" s="46"/>
      <c r="AA16" s="46"/>
      <c r="AB16" s="47"/>
    </row>
    <row r="17" spans="1:28" x14ac:dyDescent="0.3">
      <c r="A17" s="1" t="s">
        <v>8</v>
      </c>
      <c r="B17" s="1" t="s">
        <v>9</v>
      </c>
      <c r="C17" s="1" t="s">
        <v>83</v>
      </c>
      <c r="D17" s="1" t="s">
        <v>11</v>
      </c>
      <c r="E17" s="1" t="s">
        <v>12</v>
      </c>
      <c r="F17" s="4">
        <v>97</v>
      </c>
      <c r="G17" s="4">
        <v>97</v>
      </c>
      <c r="H17" s="4">
        <v>96</v>
      </c>
      <c r="I17" s="4">
        <f>AVERAGE(Student­­Performance[[#This Row],[Math Score]],Student­­Performance[[#This Row],[Reading Score]],Student­­Performance[[#This Row],[Writing Score]])</f>
        <v>96.666666666666671</v>
      </c>
      <c r="J17" s="10" t="str">
        <f>IF(Student­­Performance[[#This Row],[Average Score]]&gt;=50,"Pass","Fail")</f>
        <v>Pass</v>
      </c>
      <c r="K1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1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1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17" s="4">
        <f>IF(ISNUMBER(Student­­Performance[[#This Row],[Math Score]]),Student­­Performance[[#This Row],[Math Score]],0)</f>
        <v>97</v>
      </c>
      <c r="O17" s="4">
        <f>IF(ISNUMBER(Student­­Performance[[#This Row],[Reading Score]]),Student­­Performance[[#This Row],[Reading Score]],0)</f>
        <v>97</v>
      </c>
      <c r="P17" s="4">
        <f>IF(ISNUMBER(Student­­Performance[[#This Row],[Writing Score]]),Student­­Performance[[#This Row],[Writing Score]],0)</f>
        <v>96</v>
      </c>
      <c r="Q17" s="4" t="str">
        <f>IF(Student­­Performance[[#This Row],[Math Score]]&gt;=50,"Pass","Fail")</f>
        <v>Pass</v>
      </c>
      <c r="R17" s="4" t="str">
        <f>IF(Student­­Performance[[#This Row],[Reading Score]]&gt;=50,"Pass","Fail")</f>
        <v>Pass</v>
      </c>
      <c r="S17" s="4" t="str">
        <f>IF(Student­­Performance[[#This Row],[Writing Score]]&gt;=50,"Pass","Fail")</f>
        <v>Pass</v>
      </c>
      <c r="T1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290</v>
      </c>
      <c r="U17" s="4" cm="1">
        <f t="array" ref="U17">IF(COUNT(F17:H17)=0,"", MAX(IF(ISNUMBER(F17:H17),F17:H17)) - MIN(IF(ISNUMBER(F17:H17),F17:H17)))</f>
        <v>1</v>
      </c>
      <c r="V17" s="4" t="str">
        <f>IF(U17="","",IF(U17&gt;25,"Outlier","Normal"))</f>
        <v>Normal</v>
      </c>
      <c r="Y17" s="33" t="s">
        <v>125</v>
      </c>
      <c r="Z17" s="34" t="s">
        <v>112</v>
      </c>
      <c r="AA17" s="34" t="s">
        <v>124</v>
      </c>
      <c r="AB17" s="35" t="s">
        <v>114</v>
      </c>
    </row>
    <row r="18" spans="1:28" x14ac:dyDescent="0.3">
      <c r="A18" s="1" t="s">
        <v>8</v>
      </c>
      <c r="B18" s="1" t="s">
        <v>26</v>
      </c>
      <c r="C18" s="1" t="s">
        <v>84</v>
      </c>
      <c r="D18" s="1" t="s">
        <v>11</v>
      </c>
      <c r="E18" s="1" t="s">
        <v>12</v>
      </c>
      <c r="F18" s="4">
        <v>100</v>
      </c>
      <c r="G18" s="4">
        <v>92</v>
      </c>
      <c r="H18" s="4">
        <v>97</v>
      </c>
      <c r="I18" s="4">
        <f>AVERAGE(Student­­Performance[[#This Row],[Math Score]],Student­­Performance[[#This Row],[Reading Score]],Student­­Performance[[#This Row],[Writing Score]])</f>
        <v>96.333333333333329</v>
      </c>
      <c r="J18" s="10" t="str">
        <f>IF(Student­­Performance[[#This Row],[Average Score]]&gt;=50,"Pass","Fail")</f>
        <v>Pass</v>
      </c>
      <c r="K1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-8</v>
      </c>
      <c r="L1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1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18" s="4">
        <f>IF(ISNUMBER(Student­­Performance[[#This Row],[Math Score]]),Student­­Performance[[#This Row],[Math Score]],0)</f>
        <v>100</v>
      </c>
      <c r="O18" s="4">
        <f>IF(ISNUMBER(Student­­Performance[[#This Row],[Reading Score]]),Student­­Performance[[#This Row],[Reading Score]],0)</f>
        <v>92</v>
      </c>
      <c r="P18" s="4">
        <f>IF(ISNUMBER(Student­­Performance[[#This Row],[Writing Score]]),Student­­Performance[[#This Row],[Writing Score]],0)</f>
        <v>97</v>
      </c>
      <c r="Q18" s="4" t="str">
        <f>IF(Student­­Performance[[#This Row],[Math Score]]&gt;=50,"Pass","Fail")</f>
        <v>Pass</v>
      </c>
      <c r="R18" s="4" t="str">
        <f>IF(Student­­Performance[[#This Row],[Reading Score]]&gt;=50,"Pass","Fail")</f>
        <v>Pass</v>
      </c>
      <c r="S18" s="4" t="str">
        <f>IF(Student­­Performance[[#This Row],[Writing Score]]&gt;=50,"Pass","Fail")</f>
        <v>Pass</v>
      </c>
      <c r="T1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289</v>
      </c>
      <c r="U18" s="4" cm="1">
        <f t="array" ref="U18">IF(COUNT(F18:H18)=0,"", MAX(IF(ISNUMBER(F18:H18),F18:H18)) - MIN(IF(ISNUMBER(F18:H18),F18:H18)))</f>
        <v>8</v>
      </c>
      <c r="V18" s="4" t="str">
        <f>IF(U18="","",IF(U18&gt;25,"Outlier","Normal"))</f>
        <v>Normal</v>
      </c>
      <c r="Y18" s="36" t="s">
        <v>112</v>
      </c>
      <c r="Z18" s="37">
        <v>1</v>
      </c>
      <c r="AA18" s="37">
        <f>CORREL(F2:F1001,G2:G1001)</f>
        <v>0.80519243035180676</v>
      </c>
      <c r="AB18" s="38">
        <f>CORREL(F2:F1001,H2:H1001)</f>
        <v>0.78852886537916655</v>
      </c>
    </row>
    <row r="19" spans="1:28" x14ac:dyDescent="0.3">
      <c r="A19" s="1" t="s">
        <v>8</v>
      </c>
      <c r="B19" s="1" t="s">
        <v>18</v>
      </c>
      <c r="C19" s="1" t="s">
        <v>88</v>
      </c>
      <c r="D19" s="1" t="s">
        <v>11</v>
      </c>
      <c r="E19" s="1" t="s">
        <v>15</v>
      </c>
      <c r="F19" s="4">
        <v>92</v>
      </c>
      <c r="G19" s="4">
        <v>100</v>
      </c>
      <c r="H19" s="4">
        <v>97</v>
      </c>
      <c r="I19" s="4">
        <f>AVERAGE(Student­­Performance[[#This Row],[Math Score]],Student­­Performance[[#This Row],[Reading Score]],Student­­Performance[[#This Row],[Writing Score]])</f>
        <v>96.333333333333329</v>
      </c>
      <c r="J19" s="10" t="str">
        <f>IF(Student­­Performance[[#This Row],[Average Score]]&gt;=50,"Pass","Fail")</f>
        <v>Pass</v>
      </c>
      <c r="K1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1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1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19" s="4">
        <f>IF(ISNUMBER(Student­­Performance[[#This Row],[Math Score]]),Student­­Performance[[#This Row],[Math Score]],0)</f>
        <v>92</v>
      </c>
      <c r="O19" s="4">
        <f>IF(ISNUMBER(Student­­Performance[[#This Row],[Reading Score]]),Student­­Performance[[#This Row],[Reading Score]],0)</f>
        <v>100</v>
      </c>
      <c r="P19" s="4">
        <f>IF(ISNUMBER(Student­­Performance[[#This Row],[Writing Score]]),Student­­Performance[[#This Row],[Writing Score]],0)</f>
        <v>97</v>
      </c>
      <c r="Q19" s="4" t="str">
        <f>IF(Student­­Performance[[#This Row],[Math Score]]&gt;=50,"Pass","Fail")</f>
        <v>Pass</v>
      </c>
      <c r="R19" s="4" t="str">
        <f>IF(Student­­Performance[[#This Row],[Reading Score]]&gt;=50,"Pass","Fail")</f>
        <v>Pass</v>
      </c>
      <c r="S19" s="4" t="str">
        <f>IF(Student­­Performance[[#This Row],[Writing Score]]&gt;=50,"Pass","Fail")</f>
        <v>Pass</v>
      </c>
      <c r="T1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289</v>
      </c>
      <c r="U19" s="4" cm="1">
        <f t="array" ref="U19">IF(COUNT(F19:H19)=0,"", MAX(IF(ISNUMBER(F19:H19),F19:H19)) - MIN(IF(ISNUMBER(F19:H19),F19:H19)))</f>
        <v>8</v>
      </c>
      <c r="V19" s="4" t="str">
        <f>IF(U19="","",IF(U19&gt;25,"Outlier","Normal"))</f>
        <v>Normal</v>
      </c>
      <c r="Y19" s="36" t="s">
        <v>113</v>
      </c>
      <c r="Z19" s="37">
        <f>CORREL(G2:G1001,F2:F1001)</f>
        <v>0.80519243035180676</v>
      </c>
      <c r="AA19" s="37">
        <v>1</v>
      </c>
      <c r="AB19" s="38">
        <f>CORREL(G2:G1001,H2:H1001)</f>
        <v>0.95133329667596922</v>
      </c>
    </row>
    <row r="20" spans="1:28" x14ac:dyDescent="0.3">
      <c r="A20" s="1" t="s">
        <v>8</v>
      </c>
      <c r="B20" s="1" t="s">
        <v>21</v>
      </c>
      <c r="C20" s="1" t="s">
        <v>83</v>
      </c>
      <c r="D20" s="1" t="s">
        <v>11</v>
      </c>
      <c r="E20" s="1" t="s">
        <v>12</v>
      </c>
      <c r="F20" s="4">
        <v>89</v>
      </c>
      <c r="G20" s="4">
        <v>100</v>
      </c>
      <c r="H20" s="4">
        <v>100</v>
      </c>
      <c r="I20" s="4">
        <f>AVERAGE(Student­­Performance[[#This Row],[Math Score]],Student­­Performance[[#This Row],[Reading Score]],Student­­Performance[[#This Row],[Writing Score]])</f>
        <v>96.333333333333329</v>
      </c>
      <c r="J20" s="10" t="str">
        <f>IF(Student­­Performance[[#This Row],[Average Score]]&gt;=50,"Pass","Fail")</f>
        <v>Pass</v>
      </c>
      <c r="K2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2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2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20" s="4">
        <f>IF(ISNUMBER(Student­­Performance[[#This Row],[Math Score]]),Student­­Performance[[#This Row],[Math Score]],0)</f>
        <v>89</v>
      </c>
      <c r="O20" s="4">
        <f>IF(ISNUMBER(Student­­Performance[[#This Row],[Reading Score]]),Student­­Performance[[#This Row],[Reading Score]],0)</f>
        <v>100</v>
      </c>
      <c r="P20" s="4">
        <f>IF(ISNUMBER(Student­­Performance[[#This Row],[Writing Score]]),Student­­Performance[[#This Row],[Writing Score]],0)</f>
        <v>100</v>
      </c>
      <c r="Q20" s="4" t="str">
        <f>IF(Student­­Performance[[#This Row],[Math Score]]&gt;=50,"Pass","Fail")</f>
        <v>Pass</v>
      </c>
      <c r="R20" s="4" t="str">
        <f>IF(Student­­Performance[[#This Row],[Reading Score]]&gt;=50,"Pass","Fail")</f>
        <v>Pass</v>
      </c>
      <c r="S20" s="4" t="str">
        <f>IF(Student­­Performance[[#This Row],[Writing Score]]&gt;=50,"Pass","Fail")</f>
        <v>Pass</v>
      </c>
      <c r="T2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289</v>
      </c>
      <c r="U20" s="4" cm="1">
        <f t="array" ref="U20">IF(COUNT(F20:H20)=0,"", MAX(IF(ISNUMBER(F20:H20),F20:H20)) - MIN(IF(ISNUMBER(F20:H20),F20:H20)))</f>
        <v>11</v>
      </c>
      <c r="V20" s="4" t="str">
        <f>IF(U20="","",IF(U20&gt;25,"Outlier","Normal"))</f>
        <v>Normal</v>
      </c>
      <c r="Y20" s="39" t="s">
        <v>114</v>
      </c>
      <c r="Z20" s="40">
        <f>CORREL(H2:H1001,F2:F1001)</f>
        <v>0.78852886537916655</v>
      </c>
      <c r="AA20" s="40">
        <f>CORREL(H2:H1001,G2:G1001)</f>
        <v>0.95133329667596922</v>
      </c>
      <c r="AB20" s="41">
        <v>1</v>
      </c>
    </row>
    <row r="21" spans="1:28" x14ac:dyDescent="0.3">
      <c r="A21" s="1" t="s">
        <v>8</v>
      </c>
      <c r="B21" s="1" t="s">
        <v>26</v>
      </c>
      <c r="C21" s="1" t="s">
        <v>86</v>
      </c>
      <c r="D21" s="1" t="s">
        <v>11</v>
      </c>
      <c r="E21" s="1" t="s">
        <v>15</v>
      </c>
      <c r="F21" s="4">
        <v>93</v>
      </c>
      <c r="G21" s="4">
        <v>100</v>
      </c>
      <c r="H21" s="4">
        <v>95</v>
      </c>
      <c r="I21" s="4">
        <f>AVERAGE(Student­­Performance[[#This Row],[Math Score]],Student­­Performance[[#This Row],[Reading Score]],Student­­Performance[[#This Row],[Writing Score]])</f>
        <v>96</v>
      </c>
      <c r="J21" s="10" t="str">
        <f>IF(Student­­Performance[[#This Row],[Average Score]]&gt;=50,"Pass","Fail")</f>
        <v>Pass</v>
      </c>
      <c r="K2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2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2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21" s="4">
        <f>IF(ISNUMBER(Student­­Performance[[#This Row],[Math Score]]),Student­­Performance[[#This Row],[Math Score]],0)</f>
        <v>93</v>
      </c>
      <c r="O21" s="4">
        <f>IF(ISNUMBER(Student­­Performance[[#This Row],[Reading Score]]),Student­­Performance[[#This Row],[Reading Score]],0)</f>
        <v>100</v>
      </c>
      <c r="P21" s="4">
        <f>IF(ISNUMBER(Student­­Performance[[#This Row],[Writing Score]]),Student­­Performance[[#This Row],[Writing Score]],0)</f>
        <v>95</v>
      </c>
      <c r="Q21" s="4" t="str">
        <f>IF(Student­­Performance[[#This Row],[Math Score]]&gt;=50,"Pass","Fail")</f>
        <v>Pass</v>
      </c>
      <c r="R21" s="4" t="str">
        <f>IF(Student­­Performance[[#This Row],[Reading Score]]&gt;=50,"Pass","Fail")</f>
        <v>Pass</v>
      </c>
      <c r="S21" s="4" t="str">
        <f>IF(Student­­Performance[[#This Row],[Writing Score]]&gt;=50,"Pass","Fail")</f>
        <v>Pass</v>
      </c>
      <c r="T2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288</v>
      </c>
      <c r="U21" s="4" cm="1">
        <f t="array" ref="U21">IF(COUNT(F21:H21)=0,"", MAX(IF(ISNUMBER(F21:H21),F21:H21)) - MIN(IF(ISNUMBER(F21:H21),F21:H21)))</f>
        <v>7</v>
      </c>
      <c r="V21" s="4" t="str">
        <f>IF(U21="","",IF(U21&gt;25,"Outlier","Normal"))</f>
        <v>Normal</v>
      </c>
    </row>
    <row r="22" spans="1:28" x14ac:dyDescent="0.3">
      <c r="A22" s="1" t="s">
        <v>8</v>
      </c>
      <c r="B22" s="1" t="s">
        <v>21</v>
      </c>
      <c r="C22" s="1" t="s">
        <v>85</v>
      </c>
      <c r="D22" s="1" t="s">
        <v>11</v>
      </c>
      <c r="E22" s="1" t="s">
        <v>12</v>
      </c>
      <c r="F22" s="4">
        <v>87</v>
      </c>
      <c r="G22" s="4">
        <v>100</v>
      </c>
      <c r="H22" s="4">
        <v>100</v>
      </c>
      <c r="I22" s="4">
        <f>AVERAGE(Student­­Performance[[#This Row],[Math Score]],Student­­Performance[[#This Row],[Reading Score]],Student­­Performance[[#This Row],[Writing Score]])</f>
        <v>95.666666666666671</v>
      </c>
      <c r="J22" s="10" t="str">
        <f>IF(Student­­Performance[[#This Row],[Average Score]]&gt;=50,"Pass","Fail")</f>
        <v>Pass</v>
      </c>
      <c r="K2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13</v>
      </c>
      <c r="L2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2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13</v>
      </c>
      <c r="N22" s="4">
        <f>IF(ISNUMBER(Student­­Performance[[#This Row],[Math Score]]),Student­­Performance[[#This Row],[Math Score]],0)</f>
        <v>87</v>
      </c>
      <c r="O22" s="4">
        <f>IF(ISNUMBER(Student­­Performance[[#This Row],[Reading Score]]),Student­­Performance[[#This Row],[Reading Score]],0)</f>
        <v>100</v>
      </c>
      <c r="P22" s="4">
        <f>IF(ISNUMBER(Student­­Performance[[#This Row],[Writing Score]]),Student­­Performance[[#This Row],[Writing Score]],0)</f>
        <v>100</v>
      </c>
      <c r="Q22" s="4" t="str">
        <f>IF(Student­­Performance[[#This Row],[Math Score]]&gt;=50,"Pass","Fail")</f>
        <v>Pass</v>
      </c>
      <c r="R22" s="4" t="str">
        <f>IF(Student­­Performance[[#This Row],[Reading Score]]&gt;=50,"Pass","Fail")</f>
        <v>Pass</v>
      </c>
      <c r="S22" s="4" t="str">
        <f>IF(Student­­Performance[[#This Row],[Writing Score]]&gt;=50,"Pass","Fail")</f>
        <v>Pass</v>
      </c>
      <c r="T2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287</v>
      </c>
      <c r="U22" s="4" cm="1">
        <f t="array" ref="U22">IF(COUNT(F22:H22)=0,"", MAX(IF(ISNUMBER(F22:H22),F22:H22)) - MIN(IF(ISNUMBER(F22:H22),F22:H22)))</f>
        <v>13</v>
      </c>
      <c r="V22" s="4" t="str">
        <f>IF(U22="","",IF(U22&gt;25,"Outlier","Normal"))</f>
        <v>Normal</v>
      </c>
    </row>
    <row r="23" spans="1:28" x14ac:dyDescent="0.3">
      <c r="A23" s="1" t="s">
        <v>8</v>
      </c>
      <c r="B23" s="1" t="s">
        <v>26</v>
      </c>
      <c r="C23" s="1" t="s">
        <v>87</v>
      </c>
      <c r="D23" s="1" t="s">
        <v>11</v>
      </c>
      <c r="E23" s="1" t="s">
        <v>12</v>
      </c>
      <c r="F23" s="4">
        <v>99</v>
      </c>
      <c r="G23" s="4">
        <v>93</v>
      </c>
      <c r="H23" s="4">
        <v>90</v>
      </c>
      <c r="I23" s="4">
        <f>AVERAGE(Student­­Performance[[#This Row],[Math Score]],Student­­Performance[[#This Row],[Reading Score]],Student­­Performance[[#This Row],[Writing Score]])</f>
        <v>94</v>
      </c>
      <c r="J23" s="10" t="str">
        <f>IF(Student­­Performance[[#This Row],[Average Score]]&gt;=50,"Pass","Fail")</f>
        <v>Pass</v>
      </c>
      <c r="K2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2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2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-9</v>
      </c>
      <c r="N23" s="4">
        <f>IF(ISNUMBER(Student­­Performance[[#This Row],[Math Score]]),Student­­Performance[[#This Row],[Math Score]],0)</f>
        <v>99</v>
      </c>
      <c r="O23" s="4">
        <f>IF(ISNUMBER(Student­­Performance[[#This Row],[Reading Score]]),Student­­Performance[[#This Row],[Reading Score]],0)</f>
        <v>93</v>
      </c>
      <c r="P23" s="4">
        <f>IF(ISNUMBER(Student­­Performance[[#This Row],[Writing Score]]),Student­­Performance[[#This Row],[Writing Score]],0)</f>
        <v>90</v>
      </c>
      <c r="Q23" s="4" t="str">
        <f>IF(Student­­Performance[[#This Row],[Math Score]]&gt;=50,"Pass","Fail")</f>
        <v>Pass</v>
      </c>
      <c r="R23" s="4" t="str">
        <f>IF(Student­­Performance[[#This Row],[Reading Score]]&gt;=50,"Pass","Fail")</f>
        <v>Pass</v>
      </c>
      <c r="S23" s="4" t="str">
        <f>IF(Student­­Performance[[#This Row],[Writing Score]]&gt;=50,"Pass","Fail")</f>
        <v>Pass</v>
      </c>
      <c r="T2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282</v>
      </c>
      <c r="U23" s="4" cm="1">
        <f t="array" ref="U23">IF(COUNT(F23:H23)=0,"", MAX(IF(ISNUMBER(F23:H23),F23:H23)) - MIN(IF(ISNUMBER(F23:H23),F23:H23)))</f>
        <v>9</v>
      </c>
      <c r="V23" s="4" t="str">
        <f>IF(U23="","",IF(U23&gt;25,"Outlier","Normal"))</f>
        <v>Normal</v>
      </c>
    </row>
    <row r="24" spans="1:28" x14ac:dyDescent="0.3">
      <c r="A24" s="1" t="s">
        <v>17</v>
      </c>
      <c r="B24" s="1" t="s">
        <v>13</v>
      </c>
      <c r="C24" s="1" t="s">
        <v>86</v>
      </c>
      <c r="D24" s="1" t="s">
        <v>11</v>
      </c>
      <c r="E24" s="1" t="s">
        <v>15</v>
      </c>
      <c r="F24" s="4">
        <v>87</v>
      </c>
      <c r="G24" s="4">
        <v>100</v>
      </c>
      <c r="H24" s="4">
        <v>95</v>
      </c>
      <c r="I24" s="4">
        <f>AVERAGE(Student­­Performance[[#This Row],[Math Score]],Student­­Performance[[#This Row],[Reading Score]],Student­­Performance[[#This Row],[Writing Score]])</f>
        <v>94</v>
      </c>
      <c r="J24" s="10" t="str">
        <f>IF(Student­­Performance[[#This Row],[Average Score]]&gt;=50,"Pass","Fail")</f>
        <v>Pass</v>
      </c>
      <c r="K2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13</v>
      </c>
      <c r="L2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2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24" s="4">
        <f>IF(ISNUMBER(Student­­Performance[[#This Row],[Math Score]]),Student­­Performance[[#This Row],[Math Score]],0)</f>
        <v>87</v>
      </c>
      <c r="O24" s="4">
        <f>IF(ISNUMBER(Student­­Performance[[#This Row],[Reading Score]]),Student­­Performance[[#This Row],[Reading Score]],0)</f>
        <v>100</v>
      </c>
      <c r="P24" s="4">
        <f>IF(ISNUMBER(Student­­Performance[[#This Row],[Writing Score]]),Student­­Performance[[#This Row],[Writing Score]],0)</f>
        <v>95</v>
      </c>
      <c r="Q24" s="4" t="str">
        <f>IF(Student­­Performance[[#This Row],[Math Score]]&gt;=50,"Pass","Fail")</f>
        <v>Pass</v>
      </c>
      <c r="R24" s="4" t="str">
        <f>IF(Student­­Performance[[#This Row],[Reading Score]]&gt;=50,"Pass","Fail")</f>
        <v>Pass</v>
      </c>
      <c r="S24" s="4" t="str">
        <f>IF(Student­­Performance[[#This Row],[Writing Score]]&gt;=50,"Pass","Fail")</f>
        <v>Pass</v>
      </c>
      <c r="T2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282</v>
      </c>
      <c r="U24" s="4" cm="1">
        <f t="array" ref="U24">IF(COUNT(F24:H24)=0,"", MAX(IF(ISNUMBER(F24:H24),F24:H24)) - MIN(IF(ISNUMBER(F24:H24),F24:H24)))</f>
        <v>13</v>
      </c>
      <c r="V24" s="4" t="str">
        <f>IF(U24="","",IF(U24&gt;25,"Outlier","Normal"))</f>
        <v>Normal</v>
      </c>
    </row>
    <row r="25" spans="1:28" x14ac:dyDescent="0.3">
      <c r="A25" s="1" t="s">
        <v>17</v>
      </c>
      <c r="B25" s="1" t="s">
        <v>18</v>
      </c>
      <c r="C25" s="1" t="s">
        <v>84</v>
      </c>
      <c r="D25" s="1" t="s">
        <v>11</v>
      </c>
      <c r="E25" s="1" t="s">
        <v>15</v>
      </c>
      <c r="F25" s="4">
        <v>100</v>
      </c>
      <c r="G25" s="4">
        <v>96</v>
      </c>
      <c r="H25" s="4">
        <v>86</v>
      </c>
      <c r="I25" s="4">
        <f>AVERAGE(Student­­Performance[[#This Row],[Math Score]],Student­­Performance[[#This Row],[Reading Score]],Student­­Performance[[#This Row],[Writing Score]])</f>
        <v>94</v>
      </c>
      <c r="J25" s="10" t="str">
        <f>IF(Student­­Performance[[#This Row],[Average Score]]&gt;=50,"Pass","Fail")</f>
        <v>Pass</v>
      </c>
      <c r="K2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2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-10</v>
      </c>
      <c r="M2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-14</v>
      </c>
      <c r="N25" s="4">
        <f>IF(ISNUMBER(Student­­Performance[[#This Row],[Math Score]]),Student­­Performance[[#This Row],[Math Score]],0)</f>
        <v>100</v>
      </c>
      <c r="O25" s="4">
        <f>IF(ISNUMBER(Student­­Performance[[#This Row],[Reading Score]]),Student­­Performance[[#This Row],[Reading Score]],0)</f>
        <v>96</v>
      </c>
      <c r="P25" s="4">
        <f>IF(ISNUMBER(Student­­Performance[[#This Row],[Writing Score]]),Student­­Performance[[#This Row],[Writing Score]],0)</f>
        <v>86</v>
      </c>
      <c r="Q25" s="4" t="str">
        <f>IF(Student­­Performance[[#This Row],[Math Score]]&gt;=50,"Pass","Fail")</f>
        <v>Pass</v>
      </c>
      <c r="R25" s="4" t="str">
        <f>IF(Student­­Performance[[#This Row],[Reading Score]]&gt;=50,"Pass","Fail")</f>
        <v>Pass</v>
      </c>
      <c r="S25" s="4" t="str">
        <f>IF(Student­­Performance[[#This Row],[Writing Score]]&gt;=50,"Pass","Fail")</f>
        <v>Pass</v>
      </c>
      <c r="T2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282</v>
      </c>
      <c r="U25" s="4" cm="1">
        <f t="array" ref="U25">IF(COUNT(F25:H25)=0,"", MAX(IF(ISNUMBER(F25:H25),F25:H25)) - MIN(IF(ISNUMBER(F25:H25),F25:H25)))</f>
        <v>14</v>
      </c>
      <c r="V25" s="4" t="str">
        <f>IF(U25="","",IF(U25&gt;25,"Outlier","Normal"))</f>
        <v>Normal</v>
      </c>
    </row>
    <row r="26" spans="1:28" x14ac:dyDescent="0.3">
      <c r="A26" s="1" t="s">
        <v>8</v>
      </c>
      <c r="B26" s="1" t="s">
        <v>26</v>
      </c>
      <c r="C26" s="1" t="s">
        <v>85</v>
      </c>
      <c r="D26" s="1" t="s">
        <v>11</v>
      </c>
      <c r="E26" s="1" t="s">
        <v>15</v>
      </c>
      <c r="F26" s="4">
        <v>88</v>
      </c>
      <c r="G26" s="4">
        <v>99</v>
      </c>
      <c r="H26" s="4">
        <v>95</v>
      </c>
      <c r="I26" s="4">
        <f>AVERAGE(Student­­Performance[[#This Row],[Math Score]],Student­­Performance[[#This Row],[Reading Score]],Student­­Performance[[#This Row],[Writing Score]])</f>
        <v>94</v>
      </c>
      <c r="J26" s="10" t="str">
        <f>IF(Student­­Performance[[#This Row],[Average Score]]&gt;=50,"Pass","Fail")</f>
        <v>Pass</v>
      </c>
      <c r="K2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2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2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26" s="4">
        <f>IF(ISNUMBER(Student­­Performance[[#This Row],[Math Score]]),Student­­Performance[[#This Row],[Math Score]],0)</f>
        <v>88</v>
      </c>
      <c r="O26" s="4">
        <f>IF(ISNUMBER(Student­­Performance[[#This Row],[Reading Score]]),Student­­Performance[[#This Row],[Reading Score]],0)</f>
        <v>99</v>
      </c>
      <c r="P26" s="4">
        <f>IF(ISNUMBER(Student­­Performance[[#This Row],[Writing Score]]),Student­­Performance[[#This Row],[Writing Score]],0)</f>
        <v>95</v>
      </c>
      <c r="Q26" s="4" t="str">
        <f>IF(Student­­Performance[[#This Row],[Math Score]]&gt;=50,"Pass","Fail")</f>
        <v>Pass</v>
      </c>
      <c r="R26" s="4" t="str">
        <f>IF(Student­­Performance[[#This Row],[Reading Score]]&gt;=50,"Pass","Fail")</f>
        <v>Pass</v>
      </c>
      <c r="S26" s="4" t="str">
        <f>IF(Student­­Performance[[#This Row],[Writing Score]]&gt;=50,"Pass","Fail")</f>
        <v>Pass</v>
      </c>
      <c r="T2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282</v>
      </c>
      <c r="U26" s="4" cm="1">
        <f t="array" ref="U26">IF(COUNT(F26:H26)=0,"", MAX(IF(ISNUMBER(F26:H26),F26:H26)) - MIN(IF(ISNUMBER(F26:H26),F26:H26)))</f>
        <v>11</v>
      </c>
      <c r="V26" s="4" t="str">
        <f>IF(U26="","",IF(U26&gt;25,"Outlier","Normal"))</f>
        <v>Normal</v>
      </c>
    </row>
    <row r="27" spans="1:28" x14ac:dyDescent="0.3">
      <c r="A27" s="1" t="s">
        <v>17</v>
      </c>
      <c r="B27" s="1" t="s">
        <v>13</v>
      </c>
      <c r="C27" s="1" t="s">
        <v>86</v>
      </c>
      <c r="D27" s="1" t="s">
        <v>11</v>
      </c>
      <c r="E27" s="1" t="s">
        <v>12</v>
      </c>
      <c r="F27" s="4">
        <v>97</v>
      </c>
      <c r="G27" s="4">
        <v>93</v>
      </c>
      <c r="H27" s="4">
        <v>91</v>
      </c>
      <c r="I27" s="4">
        <f>AVERAGE(Student­­Performance[[#This Row],[Math Score]],Student­­Performance[[#This Row],[Reading Score]],Student­­Performance[[#This Row],[Writing Score]])</f>
        <v>93.666666666666671</v>
      </c>
      <c r="J27" s="10" t="str">
        <f>IF(Student­­Performance[[#This Row],[Average Score]]&gt;=50,"Pass","Fail")</f>
        <v>Pass</v>
      </c>
      <c r="K2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2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2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27" s="4">
        <f>IF(ISNUMBER(Student­­Performance[[#This Row],[Math Score]]),Student­­Performance[[#This Row],[Math Score]],0)</f>
        <v>97</v>
      </c>
      <c r="O27" s="4">
        <f>IF(ISNUMBER(Student­­Performance[[#This Row],[Reading Score]]),Student­­Performance[[#This Row],[Reading Score]],0)</f>
        <v>93</v>
      </c>
      <c r="P27" s="4">
        <f>IF(ISNUMBER(Student­­Performance[[#This Row],[Writing Score]]),Student­­Performance[[#This Row],[Writing Score]],0)</f>
        <v>91</v>
      </c>
      <c r="Q27" s="4" t="str">
        <f>IF(Student­­Performance[[#This Row],[Math Score]]&gt;=50,"Pass","Fail")</f>
        <v>Pass</v>
      </c>
      <c r="R27" s="4" t="str">
        <f>IF(Student­­Performance[[#This Row],[Reading Score]]&gt;=50,"Pass","Fail")</f>
        <v>Pass</v>
      </c>
      <c r="S27" s="4" t="str">
        <f>IF(Student­­Performance[[#This Row],[Writing Score]]&gt;=50,"Pass","Fail")</f>
        <v>Pass</v>
      </c>
      <c r="T2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281</v>
      </c>
      <c r="U27" s="4" cm="1">
        <f t="array" ref="U27">IF(COUNT(F27:H27)=0,"", MAX(IF(ISNUMBER(F27:H27),F27:H27)) - MIN(IF(ISNUMBER(F27:H27),F27:H27)))</f>
        <v>6</v>
      </c>
      <c r="V27" s="4" t="str">
        <f>IF(U27="","",IF(U27&gt;25,"Outlier","Normal"))</f>
        <v>Normal</v>
      </c>
    </row>
    <row r="28" spans="1:28" x14ac:dyDescent="0.3">
      <c r="A28" s="1" t="s">
        <v>8</v>
      </c>
      <c r="B28" s="1" t="s">
        <v>13</v>
      </c>
      <c r="C28" s="1" t="s">
        <v>86</v>
      </c>
      <c r="D28" s="1" t="s">
        <v>11</v>
      </c>
      <c r="E28" s="1" t="s">
        <v>12</v>
      </c>
      <c r="F28" s="4">
        <v>91</v>
      </c>
      <c r="G28" s="4">
        <v>95</v>
      </c>
      <c r="H28" s="4">
        <v>94</v>
      </c>
      <c r="I28" s="4">
        <f>AVERAGE(Student­­Performance[[#This Row],[Math Score]],Student­­Performance[[#This Row],[Reading Score]],Student­­Performance[[#This Row],[Writing Score]])</f>
        <v>93.333333333333329</v>
      </c>
      <c r="J28" s="10" t="str">
        <f>IF(Student­­Performance[[#This Row],[Average Score]]&gt;=50,"Pass","Fail")</f>
        <v>Pass</v>
      </c>
      <c r="K2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2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2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28" s="4">
        <f>IF(ISNUMBER(Student­­Performance[[#This Row],[Math Score]]),Student­­Performance[[#This Row],[Math Score]],0)</f>
        <v>91</v>
      </c>
      <c r="O28" s="4">
        <f>IF(ISNUMBER(Student­­Performance[[#This Row],[Reading Score]]),Student­­Performance[[#This Row],[Reading Score]],0)</f>
        <v>95</v>
      </c>
      <c r="P28" s="4">
        <f>IF(ISNUMBER(Student­­Performance[[#This Row],[Writing Score]]),Student­­Performance[[#This Row],[Writing Score]],0)</f>
        <v>94</v>
      </c>
      <c r="Q28" s="4" t="str">
        <f>IF(Student­­Performance[[#This Row],[Math Score]]&gt;=50,"Pass","Fail")</f>
        <v>Pass</v>
      </c>
      <c r="R28" s="4" t="str">
        <f>IF(Student­­Performance[[#This Row],[Reading Score]]&gt;=50,"Pass","Fail")</f>
        <v>Pass</v>
      </c>
      <c r="S28" s="4" t="str">
        <f>IF(Student­­Performance[[#This Row],[Writing Score]]&gt;=50,"Pass","Fail")</f>
        <v>Pass</v>
      </c>
      <c r="T2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280</v>
      </c>
      <c r="U28" s="4" cm="1">
        <f t="array" ref="U28">IF(COUNT(F28:H28)=0,"", MAX(IF(ISNUMBER(F28:H28),F28:H28)) - MIN(IF(ISNUMBER(F28:H28),F28:H28)))</f>
        <v>4</v>
      </c>
      <c r="V28" s="4" t="str">
        <f>IF(U28="","",IF(U28&gt;25,"Outlier","Normal"))</f>
        <v>Normal</v>
      </c>
    </row>
    <row r="29" spans="1:28" x14ac:dyDescent="0.3">
      <c r="A29" s="1" t="s">
        <v>17</v>
      </c>
      <c r="B29" s="1" t="s">
        <v>18</v>
      </c>
      <c r="C29" s="1" t="s">
        <v>83</v>
      </c>
      <c r="D29" s="1" t="s">
        <v>11</v>
      </c>
      <c r="E29" s="1" t="s">
        <v>12</v>
      </c>
      <c r="F29" s="4">
        <v>91</v>
      </c>
      <c r="G29" s="4">
        <v>96</v>
      </c>
      <c r="H29" s="4">
        <v>92</v>
      </c>
      <c r="I29" s="4">
        <f>AVERAGE(Student­­Performance[[#This Row],[Math Score]],Student­­Performance[[#This Row],[Reading Score]],Student­­Performance[[#This Row],[Writing Score]])</f>
        <v>93</v>
      </c>
      <c r="J29" s="10" t="str">
        <f>IF(Student­­Performance[[#This Row],[Average Score]]&gt;=50,"Pass","Fail")</f>
        <v>Pass</v>
      </c>
      <c r="K2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2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2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29" s="4">
        <f>IF(ISNUMBER(Student­­Performance[[#This Row],[Math Score]]),Student­­Performance[[#This Row],[Math Score]],0)</f>
        <v>91</v>
      </c>
      <c r="O29" s="4">
        <f>IF(ISNUMBER(Student­­Performance[[#This Row],[Reading Score]]),Student­­Performance[[#This Row],[Reading Score]],0)</f>
        <v>96</v>
      </c>
      <c r="P29" s="4">
        <f>IF(ISNUMBER(Student­­Performance[[#This Row],[Writing Score]]),Student­­Performance[[#This Row],[Writing Score]],0)</f>
        <v>92</v>
      </c>
      <c r="Q29" s="4" t="str">
        <f>IF(Student­­Performance[[#This Row],[Math Score]]&gt;=50,"Pass","Fail")</f>
        <v>Pass</v>
      </c>
      <c r="R29" s="4" t="str">
        <f>IF(Student­­Performance[[#This Row],[Reading Score]]&gt;=50,"Pass","Fail")</f>
        <v>Pass</v>
      </c>
      <c r="S29" s="4" t="str">
        <f>IF(Student­­Performance[[#This Row],[Writing Score]]&gt;=50,"Pass","Fail")</f>
        <v>Pass</v>
      </c>
      <c r="T2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279</v>
      </c>
      <c r="U29" s="4" cm="1">
        <f t="array" ref="U29">IF(COUNT(F29:H29)=0,"", MAX(IF(ISNUMBER(F29:H29),F29:H29)) - MIN(IF(ISNUMBER(F29:H29),F29:H29)))</f>
        <v>5</v>
      </c>
      <c r="V29" s="4" t="str">
        <f>IF(U29="","",IF(U29&gt;25,"Outlier","Normal"))</f>
        <v>Normal</v>
      </c>
    </row>
    <row r="30" spans="1:28" x14ac:dyDescent="0.3">
      <c r="A30" s="1" t="s">
        <v>8</v>
      </c>
      <c r="B30" s="1" t="s">
        <v>9</v>
      </c>
      <c r="C30" s="1" t="s">
        <v>85</v>
      </c>
      <c r="D30" s="1" t="s">
        <v>11</v>
      </c>
      <c r="E30" s="1" t="s">
        <v>12</v>
      </c>
      <c r="F30" s="4">
        <v>90</v>
      </c>
      <c r="G30" s="4">
        <v>95</v>
      </c>
      <c r="H30" s="4">
        <v>93</v>
      </c>
      <c r="I30" s="4">
        <f>AVERAGE(Student­­Performance[[#This Row],[Math Score]],Student­­Performance[[#This Row],[Reading Score]],Student­­Performance[[#This Row],[Writing Score]])</f>
        <v>92.666666666666671</v>
      </c>
      <c r="J30" s="10" t="str">
        <f>IF(Student­­Performance[[#This Row],[Average Score]]&gt;=50,"Pass","Fail")</f>
        <v>Pass</v>
      </c>
      <c r="K3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3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3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30" s="4">
        <f>IF(ISNUMBER(Student­­Performance[[#This Row],[Math Score]]),Student­­Performance[[#This Row],[Math Score]],0)</f>
        <v>90</v>
      </c>
      <c r="O30" s="4">
        <f>IF(ISNUMBER(Student­­Performance[[#This Row],[Reading Score]]),Student­­Performance[[#This Row],[Reading Score]],0)</f>
        <v>95</v>
      </c>
      <c r="P30" s="4">
        <f>IF(ISNUMBER(Student­­Performance[[#This Row],[Writing Score]]),Student­­Performance[[#This Row],[Writing Score]],0)</f>
        <v>93</v>
      </c>
      <c r="Q30" s="4" t="str">
        <f>IF(Student­­Performance[[#This Row],[Math Score]]&gt;=50,"Pass","Fail")</f>
        <v>Pass</v>
      </c>
      <c r="R30" s="4" t="str">
        <f>IF(Student­­Performance[[#This Row],[Reading Score]]&gt;=50,"Pass","Fail")</f>
        <v>Pass</v>
      </c>
      <c r="S30" s="4" t="str">
        <f>IF(Student­­Performance[[#This Row],[Writing Score]]&gt;=50,"Pass","Fail")</f>
        <v>Pass</v>
      </c>
      <c r="T3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278</v>
      </c>
      <c r="U30" s="4" cm="1">
        <f t="array" ref="U30">IF(COUNT(F30:H30)=0,"", MAX(IF(ISNUMBER(F30:H30),F30:H30)) - MIN(IF(ISNUMBER(F30:H30),F30:H30)))</f>
        <v>5</v>
      </c>
      <c r="V30" s="4" t="str">
        <f>IF(U30="","",IF(U30&gt;25,"Outlier","Normal"))</f>
        <v>Normal</v>
      </c>
    </row>
    <row r="31" spans="1:28" x14ac:dyDescent="0.3">
      <c r="A31" s="1" t="s">
        <v>17</v>
      </c>
      <c r="B31" s="1" t="s">
        <v>13</v>
      </c>
      <c r="C31" s="1" t="s">
        <v>83</v>
      </c>
      <c r="D31" s="1" t="s">
        <v>11</v>
      </c>
      <c r="E31" s="1" t="s">
        <v>15</v>
      </c>
      <c r="F31" s="4">
        <v>96</v>
      </c>
      <c r="G31" s="4">
        <v>90</v>
      </c>
      <c r="H31" s="4">
        <v>92</v>
      </c>
      <c r="I31" s="4">
        <f>AVERAGE(Student­­Performance[[#This Row],[Math Score]],Student­­Performance[[#This Row],[Reading Score]],Student­­Performance[[#This Row],[Writing Score]])</f>
        <v>92.666666666666671</v>
      </c>
      <c r="J31" s="10" t="str">
        <f>IF(Student­­Performance[[#This Row],[Average Score]]&gt;=50,"Pass","Fail")</f>
        <v>Pass</v>
      </c>
      <c r="K3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3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3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31" s="4">
        <f>IF(ISNUMBER(Student­­Performance[[#This Row],[Math Score]]),Student­­Performance[[#This Row],[Math Score]],0)</f>
        <v>96</v>
      </c>
      <c r="O31" s="4">
        <f>IF(ISNUMBER(Student­­Performance[[#This Row],[Reading Score]]),Student­­Performance[[#This Row],[Reading Score]],0)</f>
        <v>90</v>
      </c>
      <c r="P31" s="4">
        <f>IF(ISNUMBER(Student­­Performance[[#This Row],[Writing Score]]),Student­­Performance[[#This Row],[Writing Score]],0)</f>
        <v>92</v>
      </c>
      <c r="Q31" s="4" t="str">
        <f>IF(Student­­Performance[[#This Row],[Math Score]]&gt;=50,"Pass","Fail")</f>
        <v>Pass</v>
      </c>
      <c r="R31" s="4" t="str">
        <f>IF(Student­­Performance[[#This Row],[Reading Score]]&gt;=50,"Pass","Fail")</f>
        <v>Pass</v>
      </c>
      <c r="S31" s="4" t="str">
        <f>IF(Student­­Performance[[#This Row],[Writing Score]]&gt;=50,"Pass","Fail")</f>
        <v>Pass</v>
      </c>
      <c r="T3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278</v>
      </c>
      <c r="U31" s="4" cm="1">
        <f t="array" ref="U31">IF(COUNT(F31:H31)=0,"", MAX(IF(ISNUMBER(F31:H31),F31:H31)) - MIN(IF(ISNUMBER(F31:H31),F31:H31)))</f>
        <v>6</v>
      </c>
      <c r="V31" s="4" t="str">
        <f>IF(U31="","",IF(U31&gt;25,"Outlier","Normal"))</f>
        <v>Normal</v>
      </c>
    </row>
    <row r="32" spans="1:28" x14ac:dyDescent="0.3">
      <c r="A32" s="1" t="s">
        <v>17</v>
      </c>
      <c r="B32" s="1" t="s">
        <v>9</v>
      </c>
      <c r="C32" s="1" t="s">
        <v>84</v>
      </c>
      <c r="D32" s="1" t="s">
        <v>11</v>
      </c>
      <c r="E32" s="1" t="s">
        <v>15</v>
      </c>
      <c r="F32" s="4">
        <v>91</v>
      </c>
      <c r="G32" s="4">
        <v>96</v>
      </c>
      <c r="H32" s="4">
        <v>91</v>
      </c>
      <c r="I32" s="4">
        <f>AVERAGE(Student­­Performance[[#This Row],[Math Score]],Student­­Performance[[#This Row],[Reading Score]],Student­­Performance[[#This Row],[Writing Score]])</f>
        <v>92.666666666666671</v>
      </c>
      <c r="J32" s="10" t="str">
        <f>IF(Student­­Performance[[#This Row],[Average Score]]&gt;=50,"Pass","Fail")</f>
        <v>Pass</v>
      </c>
      <c r="K3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3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3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32" s="4">
        <f>IF(ISNUMBER(Student­­Performance[[#This Row],[Math Score]]),Student­­Performance[[#This Row],[Math Score]],0)</f>
        <v>91</v>
      </c>
      <c r="O32" s="4">
        <f>IF(ISNUMBER(Student­­Performance[[#This Row],[Reading Score]]),Student­­Performance[[#This Row],[Reading Score]],0)</f>
        <v>96</v>
      </c>
      <c r="P32" s="4">
        <f>IF(ISNUMBER(Student­­Performance[[#This Row],[Writing Score]]),Student­­Performance[[#This Row],[Writing Score]],0)</f>
        <v>91</v>
      </c>
      <c r="Q32" s="4" t="str">
        <f>IF(Student­­Performance[[#This Row],[Math Score]]&gt;=50,"Pass","Fail")</f>
        <v>Pass</v>
      </c>
      <c r="R32" s="4" t="str">
        <f>IF(Student­­Performance[[#This Row],[Reading Score]]&gt;=50,"Pass","Fail")</f>
        <v>Pass</v>
      </c>
      <c r="S32" s="4" t="str">
        <f>IF(Student­­Performance[[#This Row],[Writing Score]]&gt;=50,"Pass","Fail")</f>
        <v>Pass</v>
      </c>
      <c r="T3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278</v>
      </c>
      <c r="U32" s="4" cm="1">
        <f t="array" ref="U32">IF(COUNT(F32:H32)=0,"", MAX(IF(ISNUMBER(F32:H32),F32:H32)) - MIN(IF(ISNUMBER(F32:H32),F32:H32)))</f>
        <v>5</v>
      </c>
      <c r="V32" s="4" t="str">
        <f>IF(U32="","",IF(U32&gt;25,"Outlier","Normal"))</f>
        <v>Normal</v>
      </c>
    </row>
    <row r="33" spans="1:22" x14ac:dyDescent="0.3">
      <c r="A33" s="1" t="s">
        <v>8</v>
      </c>
      <c r="B33" s="1" t="s">
        <v>13</v>
      </c>
      <c r="C33" s="1" t="s">
        <v>84</v>
      </c>
      <c r="D33" s="1" t="s">
        <v>11</v>
      </c>
      <c r="E33" s="1" t="s">
        <v>15</v>
      </c>
      <c r="F33" s="4">
        <v>88</v>
      </c>
      <c r="G33" s="4">
        <v>95</v>
      </c>
      <c r="H33" s="4">
        <v>94</v>
      </c>
      <c r="I33" s="4">
        <f>AVERAGE(Student­­Performance[[#This Row],[Math Score]],Student­­Performance[[#This Row],[Reading Score]],Student­­Performance[[#This Row],[Writing Score]])</f>
        <v>92.333333333333329</v>
      </c>
      <c r="J33" s="10" t="str">
        <f>IF(Student­­Performance[[#This Row],[Average Score]]&gt;=50,"Pass","Fail")</f>
        <v>Pass</v>
      </c>
      <c r="K3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3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3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33" s="4">
        <f>IF(ISNUMBER(Student­­Performance[[#This Row],[Math Score]]),Student­­Performance[[#This Row],[Math Score]],0)</f>
        <v>88</v>
      </c>
      <c r="O33" s="4">
        <f>IF(ISNUMBER(Student­­Performance[[#This Row],[Reading Score]]),Student­­Performance[[#This Row],[Reading Score]],0)</f>
        <v>95</v>
      </c>
      <c r="P33" s="4">
        <f>IF(ISNUMBER(Student­­Performance[[#This Row],[Writing Score]]),Student­­Performance[[#This Row],[Writing Score]],0)</f>
        <v>94</v>
      </c>
      <c r="Q33" s="4" t="str">
        <f>IF(Student­­Performance[[#This Row],[Math Score]]&gt;=50,"Pass","Fail")</f>
        <v>Pass</v>
      </c>
      <c r="R33" s="4" t="str">
        <f>IF(Student­­Performance[[#This Row],[Reading Score]]&gt;=50,"Pass","Fail")</f>
        <v>Pass</v>
      </c>
      <c r="S33" s="4" t="str">
        <f>IF(Student­­Performance[[#This Row],[Writing Score]]&gt;=50,"Pass","Fail")</f>
        <v>Pass</v>
      </c>
      <c r="T3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277</v>
      </c>
      <c r="U33" s="4" cm="1">
        <f t="array" ref="U33">IF(COUNT(F33:H33)=0,"", MAX(IF(ISNUMBER(F33:H33),F33:H33)) - MIN(IF(ISNUMBER(F33:H33),F33:H33)))</f>
        <v>7</v>
      </c>
      <c r="V33" s="4" t="str">
        <f>IF(U33="","",IF(U33&gt;25,"Outlier","Normal"))</f>
        <v>Normal</v>
      </c>
    </row>
    <row r="34" spans="1:22" x14ac:dyDescent="0.3">
      <c r="A34" s="1" t="s">
        <v>8</v>
      </c>
      <c r="B34" s="1" t="s">
        <v>26</v>
      </c>
      <c r="C34" s="1" t="s">
        <v>86</v>
      </c>
      <c r="D34" s="1" t="s">
        <v>11</v>
      </c>
      <c r="E34" s="1" t="s">
        <v>15</v>
      </c>
      <c r="F34" s="4">
        <v>95</v>
      </c>
      <c r="G34" s="4">
        <v>89</v>
      </c>
      <c r="H34" s="4">
        <v>92</v>
      </c>
      <c r="I34" s="4">
        <f>AVERAGE(Student­­Performance[[#This Row],[Math Score]],Student­­Performance[[#This Row],[Reading Score]],Student­­Performance[[#This Row],[Writing Score]])</f>
        <v>92</v>
      </c>
      <c r="J34" s="10" t="str">
        <f>IF(Student­­Performance[[#This Row],[Average Score]]&gt;=50,"Pass","Fail")</f>
        <v>Pass</v>
      </c>
      <c r="K3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3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3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34" s="4">
        <f>IF(ISNUMBER(Student­­Performance[[#This Row],[Math Score]]),Student­­Performance[[#This Row],[Math Score]],0)</f>
        <v>95</v>
      </c>
      <c r="O34" s="4">
        <f>IF(ISNUMBER(Student­­Performance[[#This Row],[Reading Score]]),Student­­Performance[[#This Row],[Reading Score]],0)</f>
        <v>89</v>
      </c>
      <c r="P34" s="4">
        <f>IF(ISNUMBER(Student­­Performance[[#This Row],[Writing Score]]),Student­­Performance[[#This Row],[Writing Score]],0)</f>
        <v>92</v>
      </c>
      <c r="Q34" s="4" t="str">
        <f>IF(Student­­Performance[[#This Row],[Math Score]]&gt;=50,"Pass","Fail")</f>
        <v>Pass</v>
      </c>
      <c r="R34" s="4" t="str">
        <f>IF(Student­­Performance[[#This Row],[Reading Score]]&gt;=50,"Pass","Fail")</f>
        <v>Pass</v>
      </c>
      <c r="S34" s="4" t="str">
        <f>IF(Student­­Performance[[#This Row],[Writing Score]]&gt;=50,"Pass","Fail")</f>
        <v>Pass</v>
      </c>
      <c r="T3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276</v>
      </c>
      <c r="U34" s="4" cm="1">
        <f t="array" ref="U34">IF(COUNT(F34:H34)=0,"", MAX(IF(ISNUMBER(F34:H34),F34:H34)) - MIN(IF(ISNUMBER(F34:H34),F34:H34)))</f>
        <v>6</v>
      </c>
      <c r="V34" s="4" t="str">
        <f>IF(U34="","",IF(U34&gt;25,"Outlier","Normal"))</f>
        <v>Normal</v>
      </c>
    </row>
    <row r="35" spans="1:22" x14ac:dyDescent="0.3">
      <c r="A35" s="1" t="s">
        <v>8</v>
      </c>
      <c r="B35" s="1" t="s">
        <v>26</v>
      </c>
      <c r="C35" s="1" t="s">
        <v>86</v>
      </c>
      <c r="D35" s="1" t="s">
        <v>11</v>
      </c>
      <c r="E35" s="1" t="s">
        <v>12</v>
      </c>
      <c r="F35" s="4">
        <v>87</v>
      </c>
      <c r="G35" s="4">
        <v>94</v>
      </c>
      <c r="H35" s="4">
        <v>95</v>
      </c>
      <c r="I35" s="4">
        <f>AVERAGE(Student­­Performance[[#This Row],[Math Score]],Student­­Performance[[#This Row],[Reading Score]],Student­­Performance[[#This Row],[Writing Score]])</f>
        <v>92</v>
      </c>
      <c r="J35" s="10" t="str">
        <f>IF(Student­­Performance[[#This Row],[Average Score]]&gt;=50,"Pass","Fail")</f>
        <v>Pass</v>
      </c>
      <c r="K3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3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3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35" s="4">
        <f>IF(ISNUMBER(Student­­Performance[[#This Row],[Math Score]]),Student­­Performance[[#This Row],[Math Score]],0)</f>
        <v>87</v>
      </c>
      <c r="O35" s="4">
        <f>IF(ISNUMBER(Student­­Performance[[#This Row],[Reading Score]]),Student­­Performance[[#This Row],[Reading Score]],0)</f>
        <v>94</v>
      </c>
      <c r="P35" s="4">
        <f>IF(ISNUMBER(Student­­Performance[[#This Row],[Writing Score]]),Student­­Performance[[#This Row],[Writing Score]],0)</f>
        <v>95</v>
      </c>
      <c r="Q35" s="4" t="str">
        <f>IF(Student­­Performance[[#This Row],[Math Score]]&gt;=50,"Pass","Fail")</f>
        <v>Pass</v>
      </c>
      <c r="R35" s="4" t="str">
        <f>IF(Student­­Performance[[#This Row],[Reading Score]]&gt;=50,"Pass","Fail")</f>
        <v>Pass</v>
      </c>
      <c r="S35" s="4" t="str">
        <f>IF(Student­­Performance[[#This Row],[Writing Score]]&gt;=50,"Pass","Fail")</f>
        <v>Pass</v>
      </c>
      <c r="T3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276</v>
      </c>
      <c r="U35" s="4" cm="1">
        <f t="array" ref="U35">IF(COUNT(F35:H35)=0,"", MAX(IF(ISNUMBER(F35:H35),F35:H35)) - MIN(IF(ISNUMBER(F35:H35),F35:H35)))</f>
        <v>8</v>
      </c>
      <c r="V35" s="4" t="str">
        <f>IF(U35="","",IF(U35&gt;25,"Outlier","Normal"))</f>
        <v>Normal</v>
      </c>
    </row>
    <row r="36" spans="1:22" x14ac:dyDescent="0.3">
      <c r="A36" s="1" t="s">
        <v>8</v>
      </c>
      <c r="B36" s="1" t="s">
        <v>9</v>
      </c>
      <c r="C36" s="1" t="s">
        <v>84</v>
      </c>
      <c r="D36" s="1" t="s">
        <v>11</v>
      </c>
      <c r="E36" s="1" t="s">
        <v>15</v>
      </c>
      <c r="F36" s="4">
        <v>88</v>
      </c>
      <c r="G36" s="4">
        <v>95</v>
      </c>
      <c r="H36" s="4">
        <v>92</v>
      </c>
      <c r="I36" s="4">
        <f>AVERAGE(Student­­Performance[[#This Row],[Math Score]],Student­­Performance[[#This Row],[Reading Score]],Student­­Performance[[#This Row],[Writing Score]])</f>
        <v>91.666666666666671</v>
      </c>
      <c r="J36" s="10" t="str">
        <f>IF(Student­­Performance[[#This Row],[Average Score]]&gt;=50,"Pass","Fail")</f>
        <v>Pass</v>
      </c>
      <c r="K3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3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3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36" s="4">
        <f>IF(ISNUMBER(Student­­Performance[[#This Row],[Math Score]]),Student­­Performance[[#This Row],[Math Score]],0)</f>
        <v>88</v>
      </c>
      <c r="O36" s="4">
        <f>IF(ISNUMBER(Student­­Performance[[#This Row],[Reading Score]]),Student­­Performance[[#This Row],[Reading Score]],0)</f>
        <v>95</v>
      </c>
      <c r="P36" s="4">
        <f>IF(ISNUMBER(Student­­Performance[[#This Row],[Writing Score]]),Student­­Performance[[#This Row],[Writing Score]],0)</f>
        <v>92</v>
      </c>
      <c r="Q36" s="4" t="str">
        <f>IF(Student­­Performance[[#This Row],[Math Score]]&gt;=50,"Pass","Fail")</f>
        <v>Pass</v>
      </c>
      <c r="R36" s="4" t="str">
        <f>IF(Student­­Performance[[#This Row],[Reading Score]]&gt;=50,"Pass","Fail")</f>
        <v>Pass</v>
      </c>
      <c r="S36" s="4" t="str">
        <f>IF(Student­­Performance[[#This Row],[Writing Score]]&gt;=50,"Pass","Fail")</f>
        <v>Pass</v>
      </c>
      <c r="T3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275</v>
      </c>
      <c r="U36" s="4" cm="1">
        <f t="array" ref="U36">IF(COUNT(F36:H36)=0,"", MAX(IF(ISNUMBER(F36:H36),F36:H36)) - MIN(IF(ISNUMBER(F36:H36),F36:H36)))</f>
        <v>7</v>
      </c>
      <c r="V36" s="4" t="str">
        <f>IF(U36="","",IF(U36&gt;25,"Outlier","Normal"))</f>
        <v>Normal</v>
      </c>
    </row>
    <row r="37" spans="1:22" x14ac:dyDescent="0.3">
      <c r="A37" s="1" t="s">
        <v>8</v>
      </c>
      <c r="B37" s="1" t="s">
        <v>21</v>
      </c>
      <c r="C37" s="1" t="s">
        <v>86</v>
      </c>
      <c r="D37" s="1" t="s">
        <v>11</v>
      </c>
      <c r="E37" s="1" t="s">
        <v>15</v>
      </c>
      <c r="F37" s="4">
        <v>88</v>
      </c>
      <c r="G37" s="4">
        <v>92</v>
      </c>
      <c r="H37" s="4">
        <v>95</v>
      </c>
      <c r="I37" s="4">
        <f>AVERAGE(Student­­Performance[[#This Row],[Math Score]],Student­­Performance[[#This Row],[Reading Score]],Student­­Performance[[#This Row],[Writing Score]])</f>
        <v>91.666666666666671</v>
      </c>
      <c r="J37" s="10" t="str">
        <f>IF(Student­­Performance[[#This Row],[Average Score]]&gt;=50,"Pass","Fail")</f>
        <v>Pass</v>
      </c>
      <c r="K3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3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3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37" s="4">
        <f>IF(ISNUMBER(Student­­Performance[[#This Row],[Math Score]]),Student­­Performance[[#This Row],[Math Score]],0)</f>
        <v>88</v>
      </c>
      <c r="O37" s="4">
        <f>IF(ISNUMBER(Student­­Performance[[#This Row],[Reading Score]]),Student­­Performance[[#This Row],[Reading Score]],0)</f>
        <v>92</v>
      </c>
      <c r="P37" s="4">
        <f>IF(ISNUMBER(Student­­Performance[[#This Row],[Writing Score]]),Student­­Performance[[#This Row],[Writing Score]],0)</f>
        <v>95</v>
      </c>
      <c r="Q37" s="4" t="str">
        <f>IF(Student­­Performance[[#This Row],[Math Score]]&gt;=50,"Pass","Fail")</f>
        <v>Pass</v>
      </c>
      <c r="R37" s="4" t="str">
        <f>IF(Student­­Performance[[#This Row],[Reading Score]]&gt;=50,"Pass","Fail")</f>
        <v>Pass</v>
      </c>
      <c r="S37" s="4" t="str">
        <f>IF(Student­­Performance[[#This Row],[Writing Score]]&gt;=50,"Pass","Fail")</f>
        <v>Pass</v>
      </c>
      <c r="T3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275</v>
      </c>
      <c r="U37" s="4" cm="1">
        <f t="array" ref="U37">IF(COUNT(F37:H37)=0,"", MAX(IF(ISNUMBER(F37:H37),F37:H37)) - MIN(IF(ISNUMBER(F37:H37),F37:H37)))</f>
        <v>7</v>
      </c>
      <c r="V37" s="4" t="str">
        <f>IF(U37="","",IF(U37&gt;25,"Outlier","Normal"))</f>
        <v>Normal</v>
      </c>
    </row>
    <row r="38" spans="1:22" x14ac:dyDescent="0.3">
      <c r="A38" s="1" t="s">
        <v>8</v>
      </c>
      <c r="B38" s="1" t="s">
        <v>21</v>
      </c>
      <c r="C38" s="1" t="s">
        <v>84</v>
      </c>
      <c r="D38" s="1" t="s">
        <v>11</v>
      </c>
      <c r="E38" s="1" t="s">
        <v>15</v>
      </c>
      <c r="F38" s="4">
        <v>82</v>
      </c>
      <c r="G38" s="4">
        <v>97</v>
      </c>
      <c r="H38" s="4">
        <v>96</v>
      </c>
      <c r="I38" s="4">
        <f>AVERAGE(Student­­Performance[[#This Row],[Math Score]],Student­­Performance[[#This Row],[Reading Score]],Student­­Performance[[#This Row],[Writing Score]])</f>
        <v>91.666666666666671</v>
      </c>
      <c r="J38" s="10" t="str">
        <f>IF(Student­­Performance[[#This Row],[Average Score]]&gt;=50,"Pass","Fail")</f>
        <v>Pass</v>
      </c>
      <c r="K3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15</v>
      </c>
      <c r="L3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3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14</v>
      </c>
      <c r="N38" s="4">
        <f>IF(ISNUMBER(Student­­Performance[[#This Row],[Math Score]]),Student­­Performance[[#This Row],[Math Score]],0)</f>
        <v>82</v>
      </c>
      <c r="O38" s="4">
        <f>IF(ISNUMBER(Student­­Performance[[#This Row],[Reading Score]]),Student­­Performance[[#This Row],[Reading Score]],0)</f>
        <v>97</v>
      </c>
      <c r="P38" s="4">
        <f>IF(ISNUMBER(Student­­Performance[[#This Row],[Writing Score]]),Student­­Performance[[#This Row],[Writing Score]],0)</f>
        <v>96</v>
      </c>
      <c r="Q38" s="4" t="str">
        <f>IF(Student­­Performance[[#This Row],[Math Score]]&gt;=50,"Pass","Fail")</f>
        <v>Pass</v>
      </c>
      <c r="R38" s="4" t="str">
        <f>IF(Student­­Performance[[#This Row],[Reading Score]]&gt;=50,"Pass","Fail")</f>
        <v>Pass</v>
      </c>
      <c r="S38" s="4" t="str">
        <f>IF(Student­­Performance[[#This Row],[Writing Score]]&gt;=50,"Pass","Fail")</f>
        <v>Pass</v>
      </c>
      <c r="T3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275</v>
      </c>
      <c r="U38" s="4" cm="1">
        <f t="array" ref="U38">IF(COUNT(F38:H38)=0,"", MAX(IF(ISNUMBER(F38:H38),F38:H38)) - MIN(IF(ISNUMBER(F38:H38),F38:H38)))</f>
        <v>15</v>
      </c>
      <c r="V38" s="4" t="str">
        <f>IF(U38="","",IF(U38&gt;25,"Outlier","Normal"))</f>
        <v>Normal</v>
      </c>
    </row>
    <row r="39" spans="1:22" x14ac:dyDescent="0.3">
      <c r="A39" s="1" t="s">
        <v>17</v>
      </c>
      <c r="B39" s="1" t="s">
        <v>13</v>
      </c>
      <c r="C39" s="1" t="s">
        <v>83</v>
      </c>
      <c r="D39" s="1" t="s">
        <v>11</v>
      </c>
      <c r="E39" s="1" t="s">
        <v>15</v>
      </c>
      <c r="F39" s="4">
        <v>94</v>
      </c>
      <c r="G39" s="4">
        <v>90</v>
      </c>
      <c r="H39" s="4">
        <v>91</v>
      </c>
      <c r="I39" s="4">
        <f>AVERAGE(Student­­Performance[[#This Row],[Math Score]],Student­­Performance[[#This Row],[Reading Score]],Student­­Performance[[#This Row],[Writing Score]])</f>
        <v>91.666666666666671</v>
      </c>
      <c r="J39" s="10" t="str">
        <f>IF(Student­­Performance[[#This Row],[Average Score]]&gt;=50,"Pass","Fail")</f>
        <v>Pass</v>
      </c>
      <c r="K3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3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3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39" s="4">
        <f>IF(ISNUMBER(Student­­Performance[[#This Row],[Math Score]]),Student­­Performance[[#This Row],[Math Score]],0)</f>
        <v>94</v>
      </c>
      <c r="O39" s="4">
        <f>IF(ISNUMBER(Student­­Performance[[#This Row],[Reading Score]]),Student­­Performance[[#This Row],[Reading Score]],0)</f>
        <v>90</v>
      </c>
      <c r="P39" s="4">
        <f>IF(ISNUMBER(Student­­Performance[[#This Row],[Writing Score]]),Student­­Performance[[#This Row],[Writing Score]],0)</f>
        <v>91</v>
      </c>
      <c r="Q39" s="4" t="str">
        <f>IF(Student­­Performance[[#This Row],[Math Score]]&gt;=50,"Pass","Fail")</f>
        <v>Pass</v>
      </c>
      <c r="R39" s="4" t="str">
        <f>IF(Student­­Performance[[#This Row],[Reading Score]]&gt;=50,"Pass","Fail")</f>
        <v>Pass</v>
      </c>
      <c r="S39" s="4" t="str">
        <f>IF(Student­­Performance[[#This Row],[Writing Score]]&gt;=50,"Pass","Fail")</f>
        <v>Pass</v>
      </c>
      <c r="T3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275</v>
      </c>
      <c r="U39" s="4" cm="1">
        <f t="array" ref="U39">IF(COUNT(F39:H39)=0,"", MAX(IF(ISNUMBER(F39:H39),F39:H39)) - MIN(IF(ISNUMBER(F39:H39),F39:H39)))</f>
        <v>4</v>
      </c>
      <c r="V39" s="4" t="str">
        <f>IF(U39="","",IF(U39&gt;25,"Outlier","Normal"))</f>
        <v>Normal</v>
      </c>
    </row>
    <row r="40" spans="1:22" x14ac:dyDescent="0.3">
      <c r="A40" s="1" t="s">
        <v>17</v>
      </c>
      <c r="B40" s="1" t="s">
        <v>13</v>
      </c>
      <c r="C40" s="1" t="s">
        <v>86</v>
      </c>
      <c r="D40" s="1" t="s">
        <v>11</v>
      </c>
      <c r="E40" s="1" t="s">
        <v>15</v>
      </c>
      <c r="F40" s="4">
        <v>98</v>
      </c>
      <c r="G40" s="4">
        <v>87</v>
      </c>
      <c r="H40" s="4">
        <v>90</v>
      </c>
      <c r="I40" s="4">
        <f>AVERAGE(Student­­Performance[[#This Row],[Math Score]],Student­­Performance[[#This Row],[Reading Score]],Student­­Performance[[#This Row],[Writing Score]])</f>
        <v>91.666666666666671</v>
      </c>
      <c r="J40" s="10" t="str">
        <f>IF(Student­­Performance[[#This Row],[Average Score]]&gt;=50,"Pass","Fail")</f>
        <v>Pass</v>
      </c>
      <c r="K4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-11</v>
      </c>
      <c r="L4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4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40" s="4">
        <f>IF(ISNUMBER(Student­­Performance[[#This Row],[Math Score]]),Student­­Performance[[#This Row],[Math Score]],0)</f>
        <v>98</v>
      </c>
      <c r="O40" s="4">
        <f>IF(ISNUMBER(Student­­Performance[[#This Row],[Reading Score]]),Student­­Performance[[#This Row],[Reading Score]],0)</f>
        <v>87</v>
      </c>
      <c r="P40" s="4">
        <f>IF(ISNUMBER(Student­­Performance[[#This Row],[Writing Score]]),Student­­Performance[[#This Row],[Writing Score]],0)</f>
        <v>90</v>
      </c>
      <c r="Q40" s="4" t="str">
        <f>IF(Student­­Performance[[#This Row],[Math Score]]&gt;=50,"Pass","Fail")</f>
        <v>Pass</v>
      </c>
      <c r="R40" s="4" t="str">
        <f>IF(Student­­Performance[[#This Row],[Reading Score]]&gt;=50,"Pass","Fail")</f>
        <v>Pass</v>
      </c>
      <c r="S40" s="4" t="str">
        <f>IF(Student­­Performance[[#This Row],[Writing Score]]&gt;=50,"Pass","Fail")</f>
        <v>Pass</v>
      </c>
      <c r="T4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275</v>
      </c>
      <c r="U40" s="4" cm="1">
        <f t="array" ref="U40">IF(COUNT(F40:H40)=0,"", MAX(IF(ISNUMBER(F40:H40),F40:H40)) - MIN(IF(ISNUMBER(F40:H40),F40:H40)))</f>
        <v>11</v>
      </c>
      <c r="V40" s="4" t="str">
        <f>IF(U40="","",IF(U40&gt;25,"Outlier","Normal"))</f>
        <v>Normal</v>
      </c>
    </row>
    <row r="41" spans="1:22" x14ac:dyDescent="0.3">
      <c r="A41" s="1" t="s">
        <v>17</v>
      </c>
      <c r="B41" s="1" t="s">
        <v>13</v>
      </c>
      <c r="C41" s="1" t="s">
        <v>84</v>
      </c>
      <c r="D41" s="1" t="s">
        <v>11</v>
      </c>
      <c r="E41" s="1" t="s">
        <v>15</v>
      </c>
      <c r="F41" s="4">
        <v>98</v>
      </c>
      <c r="G41" s="4">
        <v>86</v>
      </c>
      <c r="H41" s="4">
        <v>90</v>
      </c>
      <c r="I41" s="4">
        <f>AVERAGE(Student­­Performance[[#This Row],[Math Score]],Student­­Performance[[#This Row],[Reading Score]],Student­­Performance[[#This Row],[Writing Score]])</f>
        <v>91.333333333333329</v>
      </c>
      <c r="J41" s="10" t="str">
        <f>IF(Student­­Performance[[#This Row],[Average Score]]&gt;=50,"Pass","Fail")</f>
        <v>Pass</v>
      </c>
      <c r="K4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-12</v>
      </c>
      <c r="L4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4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41" s="4">
        <f>IF(ISNUMBER(Student­­Performance[[#This Row],[Math Score]]),Student­­Performance[[#This Row],[Math Score]],0)</f>
        <v>98</v>
      </c>
      <c r="O41" s="4">
        <f>IF(ISNUMBER(Student­­Performance[[#This Row],[Reading Score]]),Student­­Performance[[#This Row],[Reading Score]],0)</f>
        <v>86</v>
      </c>
      <c r="P41" s="4">
        <f>IF(ISNUMBER(Student­­Performance[[#This Row],[Writing Score]]),Student­­Performance[[#This Row],[Writing Score]],0)</f>
        <v>90</v>
      </c>
      <c r="Q41" s="4" t="str">
        <f>IF(Student­­Performance[[#This Row],[Math Score]]&gt;=50,"Pass","Fail")</f>
        <v>Pass</v>
      </c>
      <c r="R41" s="4" t="str">
        <f>IF(Student­­Performance[[#This Row],[Reading Score]]&gt;=50,"Pass","Fail")</f>
        <v>Pass</v>
      </c>
      <c r="S41" s="4" t="str">
        <f>IF(Student­­Performance[[#This Row],[Writing Score]]&gt;=50,"Pass","Fail")</f>
        <v>Pass</v>
      </c>
      <c r="T4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274</v>
      </c>
      <c r="U41" s="4" cm="1">
        <f t="array" ref="U41">IF(COUNT(F41:H41)=0,"", MAX(IF(ISNUMBER(F41:H41),F41:H41)) - MIN(IF(ISNUMBER(F41:H41),F41:H41)))</f>
        <v>12</v>
      </c>
      <c r="V41" s="4" t="str">
        <f>IF(U41="","",IF(U41&gt;25,"Outlier","Normal"))</f>
        <v>Normal</v>
      </c>
    </row>
    <row r="42" spans="1:22" x14ac:dyDescent="0.3">
      <c r="A42" s="1" t="s">
        <v>8</v>
      </c>
      <c r="B42" s="1" t="s">
        <v>13</v>
      </c>
      <c r="C42" s="1" t="s">
        <v>84</v>
      </c>
      <c r="D42" s="1" t="s">
        <v>11</v>
      </c>
      <c r="E42" s="1" t="s">
        <v>15</v>
      </c>
      <c r="F42" s="4">
        <v>88</v>
      </c>
      <c r="G42" s="4">
        <v>93</v>
      </c>
      <c r="H42" s="4">
        <v>93</v>
      </c>
      <c r="I42" s="4">
        <f>AVERAGE(Student­­Performance[[#This Row],[Math Score]],Student­­Performance[[#This Row],[Reading Score]],Student­­Performance[[#This Row],[Writing Score]])</f>
        <v>91.333333333333329</v>
      </c>
      <c r="J42" s="10" t="str">
        <f>IF(Student­­Performance[[#This Row],[Average Score]]&gt;=50,"Pass","Fail")</f>
        <v>Pass</v>
      </c>
      <c r="K4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4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4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42" s="4">
        <f>IF(ISNUMBER(Student­­Performance[[#This Row],[Math Score]]),Student­­Performance[[#This Row],[Math Score]],0)</f>
        <v>88</v>
      </c>
      <c r="O42" s="4">
        <f>IF(ISNUMBER(Student­­Performance[[#This Row],[Reading Score]]),Student­­Performance[[#This Row],[Reading Score]],0)</f>
        <v>93</v>
      </c>
      <c r="P42" s="4">
        <f>IF(ISNUMBER(Student­­Performance[[#This Row],[Writing Score]]),Student­­Performance[[#This Row],[Writing Score]],0)</f>
        <v>93</v>
      </c>
      <c r="Q42" s="4" t="str">
        <f>IF(Student­­Performance[[#This Row],[Math Score]]&gt;=50,"Pass","Fail")</f>
        <v>Pass</v>
      </c>
      <c r="R42" s="4" t="str">
        <f>IF(Student­­Performance[[#This Row],[Reading Score]]&gt;=50,"Pass","Fail")</f>
        <v>Pass</v>
      </c>
      <c r="S42" s="4" t="str">
        <f>IF(Student­­Performance[[#This Row],[Writing Score]]&gt;=50,"Pass","Fail")</f>
        <v>Pass</v>
      </c>
      <c r="T4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274</v>
      </c>
      <c r="U42" s="4" cm="1">
        <f t="array" ref="U42">IF(COUNT(F42:H42)=0,"", MAX(IF(ISNUMBER(F42:H42),F42:H42)) - MIN(IF(ISNUMBER(F42:H42),F42:H42)))</f>
        <v>5</v>
      </c>
      <c r="V42" s="4" t="str">
        <f>IF(U42="","",IF(U42&gt;25,"Outlier","Normal"))</f>
        <v>Normal</v>
      </c>
    </row>
    <row r="43" spans="1:22" x14ac:dyDescent="0.3">
      <c r="A43" s="1" t="s">
        <v>8</v>
      </c>
      <c r="B43" s="1" t="s">
        <v>21</v>
      </c>
      <c r="C43" s="1" t="s">
        <v>88</v>
      </c>
      <c r="D43" s="1" t="s">
        <v>11</v>
      </c>
      <c r="E43" s="1" t="s">
        <v>12</v>
      </c>
      <c r="F43" s="4">
        <v>81</v>
      </c>
      <c r="G43" s="4">
        <v>97</v>
      </c>
      <c r="H43" s="4">
        <v>96</v>
      </c>
      <c r="I43" s="4">
        <f>AVERAGE(Student­­Performance[[#This Row],[Math Score]],Student­­Performance[[#This Row],[Reading Score]],Student­­Performance[[#This Row],[Writing Score]])</f>
        <v>91.333333333333329</v>
      </c>
      <c r="J43" s="10" t="str">
        <f>IF(Student­­Performance[[#This Row],[Average Score]]&gt;=50,"Pass","Fail")</f>
        <v>Pass</v>
      </c>
      <c r="K4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16</v>
      </c>
      <c r="L4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4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15</v>
      </c>
      <c r="N43" s="4">
        <f>IF(ISNUMBER(Student­­Performance[[#This Row],[Math Score]]),Student­­Performance[[#This Row],[Math Score]],0)</f>
        <v>81</v>
      </c>
      <c r="O43" s="4">
        <f>IF(ISNUMBER(Student­­Performance[[#This Row],[Reading Score]]),Student­­Performance[[#This Row],[Reading Score]],0)</f>
        <v>97</v>
      </c>
      <c r="P43" s="4">
        <f>IF(ISNUMBER(Student­­Performance[[#This Row],[Writing Score]]),Student­­Performance[[#This Row],[Writing Score]],0)</f>
        <v>96</v>
      </c>
      <c r="Q43" s="4" t="str">
        <f>IF(Student­­Performance[[#This Row],[Math Score]]&gt;=50,"Pass","Fail")</f>
        <v>Pass</v>
      </c>
      <c r="R43" s="4" t="str">
        <f>IF(Student­­Performance[[#This Row],[Reading Score]]&gt;=50,"Pass","Fail")</f>
        <v>Pass</v>
      </c>
      <c r="S43" s="4" t="str">
        <f>IF(Student­­Performance[[#This Row],[Writing Score]]&gt;=50,"Pass","Fail")</f>
        <v>Pass</v>
      </c>
      <c r="T4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274</v>
      </c>
      <c r="U43" s="4" cm="1">
        <f t="array" ref="U43">IF(COUNT(F43:H43)=0,"", MAX(IF(ISNUMBER(F43:H43),F43:H43)) - MIN(IF(ISNUMBER(F43:H43),F43:H43)))</f>
        <v>16</v>
      </c>
      <c r="V43" s="4" t="str">
        <f>IF(U43="","",IF(U43&gt;25,"Outlier","Normal"))</f>
        <v>Normal</v>
      </c>
    </row>
    <row r="44" spans="1:22" x14ac:dyDescent="0.3">
      <c r="A44" s="1" t="s">
        <v>8</v>
      </c>
      <c r="B44" s="1" t="s">
        <v>9</v>
      </c>
      <c r="C44" s="1" t="s">
        <v>86</v>
      </c>
      <c r="D44" s="1" t="s">
        <v>11</v>
      </c>
      <c r="E44" s="1" t="s">
        <v>15</v>
      </c>
      <c r="F44" s="4">
        <v>94</v>
      </c>
      <c r="G44" s="4">
        <v>87</v>
      </c>
      <c r="H44" s="4">
        <v>92</v>
      </c>
      <c r="I44" s="4">
        <f>AVERAGE(Student­­Performance[[#This Row],[Math Score]],Student­­Performance[[#This Row],[Reading Score]],Student­­Performance[[#This Row],[Writing Score]])</f>
        <v>91</v>
      </c>
      <c r="J44" s="10" t="str">
        <f>IF(Student­­Performance[[#This Row],[Average Score]]&gt;=50,"Pass","Fail")</f>
        <v>Pass</v>
      </c>
      <c r="K4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-7</v>
      </c>
      <c r="L4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4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44" s="4">
        <f>IF(ISNUMBER(Student­­Performance[[#This Row],[Math Score]]),Student­­Performance[[#This Row],[Math Score]],0)</f>
        <v>94</v>
      </c>
      <c r="O44" s="4">
        <f>IF(ISNUMBER(Student­­Performance[[#This Row],[Reading Score]]),Student­­Performance[[#This Row],[Reading Score]],0)</f>
        <v>87</v>
      </c>
      <c r="P44" s="4">
        <f>IF(ISNUMBER(Student­­Performance[[#This Row],[Writing Score]]),Student­­Performance[[#This Row],[Writing Score]],0)</f>
        <v>92</v>
      </c>
      <c r="Q44" s="4" t="str">
        <f>IF(Student­­Performance[[#This Row],[Math Score]]&gt;=50,"Pass","Fail")</f>
        <v>Pass</v>
      </c>
      <c r="R44" s="4" t="str">
        <f>IF(Student­­Performance[[#This Row],[Reading Score]]&gt;=50,"Pass","Fail")</f>
        <v>Pass</v>
      </c>
      <c r="S44" s="4" t="str">
        <f>IF(Student­­Performance[[#This Row],[Writing Score]]&gt;=50,"Pass","Fail")</f>
        <v>Pass</v>
      </c>
      <c r="T4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273</v>
      </c>
      <c r="U44" s="4" cm="1">
        <f t="array" ref="U44">IF(COUNT(F44:H44)=0,"", MAX(IF(ISNUMBER(F44:H44),F44:H44)) - MIN(IF(ISNUMBER(F44:H44),F44:H44)))</f>
        <v>7</v>
      </c>
      <c r="V44" s="4" t="str">
        <f>IF(U44="","",IF(U44&gt;25,"Outlier","Normal"))</f>
        <v>Normal</v>
      </c>
    </row>
    <row r="45" spans="1:22" x14ac:dyDescent="0.3">
      <c r="A45" s="1" t="s">
        <v>17</v>
      </c>
      <c r="B45" s="1" t="s">
        <v>9</v>
      </c>
      <c r="C45" s="1" t="s">
        <v>86</v>
      </c>
      <c r="D45" s="1" t="s">
        <v>11</v>
      </c>
      <c r="E45" s="1" t="s">
        <v>15</v>
      </c>
      <c r="F45" s="4">
        <v>91</v>
      </c>
      <c r="G45" s="4">
        <v>89</v>
      </c>
      <c r="H45" s="4">
        <v>92</v>
      </c>
      <c r="I45" s="4">
        <f>AVERAGE(Student­­Performance[[#This Row],[Math Score]],Student­­Performance[[#This Row],[Reading Score]],Student­­Performance[[#This Row],[Writing Score]])</f>
        <v>90.666666666666671</v>
      </c>
      <c r="J45" s="10" t="str">
        <f>IF(Student­­Performance[[#This Row],[Average Score]]&gt;=50,"Pass","Fail")</f>
        <v>Pass</v>
      </c>
      <c r="K4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</v>
      </c>
      <c r="L4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4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45" s="4">
        <f>IF(ISNUMBER(Student­­Performance[[#This Row],[Math Score]]),Student­­Performance[[#This Row],[Math Score]],0)</f>
        <v>91</v>
      </c>
      <c r="O45" s="4">
        <f>IF(ISNUMBER(Student­­Performance[[#This Row],[Reading Score]]),Student­­Performance[[#This Row],[Reading Score]],0)</f>
        <v>89</v>
      </c>
      <c r="P45" s="4">
        <f>IF(ISNUMBER(Student­­Performance[[#This Row],[Writing Score]]),Student­­Performance[[#This Row],[Writing Score]],0)</f>
        <v>92</v>
      </c>
      <c r="Q45" s="4" t="str">
        <f>IF(Student­­Performance[[#This Row],[Math Score]]&gt;=50,"Pass","Fail")</f>
        <v>Pass</v>
      </c>
      <c r="R45" s="4" t="str">
        <f>IF(Student­­Performance[[#This Row],[Reading Score]]&gt;=50,"Pass","Fail")</f>
        <v>Pass</v>
      </c>
      <c r="S45" s="4" t="str">
        <f>IF(Student­­Performance[[#This Row],[Writing Score]]&gt;=50,"Pass","Fail")</f>
        <v>Pass</v>
      </c>
      <c r="T4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272</v>
      </c>
      <c r="U45" s="4" cm="1">
        <f t="array" ref="U45">IF(COUNT(F45:H45)=0,"", MAX(IF(ISNUMBER(F45:H45),F45:H45)) - MIN(IF(ISNUMBER(F45:H45),F45:H45)))</f>
        <v>3</v>
      </c>
      <c r="V45" s="4" t="str">
        <f>IF(U45="","",IF(U45&gt;25,"Outlier","Normal"))</f>
        <v>Normal</v>
      </c>
    </row>
    <row r="46" spans="1:22" x14ac:dyDescent="0.3">
      <c r="A46" s="1" t="s">
        <v>8</v>
      </c>
      <c r="B46" s="1" t="s">
        <v>13</v>
      </c>
      <c r="C46" s="1" t="s">
        <v>83</v>
      </c>
      <c r="D46" s="1" t="s">
        <v>11</v>
      </c>
      <c r="E46" s="1" t="s">
        <v>12</v>
      </c>
      <c r="F46" s="4">
        <v>83</v>
      </c>
      <c r="G46" s="4">
        <v>93</v>
      </c>
      <c r="H46" s="4">
        <v>95</v>
      </c>
      <c r="I46" s="4">
        <f>AVERAGE(Student­­Performance[[#This Row],[Math Score]],Student­­Performance[[#This Row],[Reading Score]],Student­­Performance[[#This Row],[Writing Score]])</f>
        <v>90.333333333333329</v>
      </c>
      <c r="J46" s="10" t="str">
        <f>IF(Student­­Performance[[#This Row],[Average Score]]&gt;=50,"Pass","Fail")</f>
        <v>Pass</v>
      </c>
      <c r="K4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4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4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46" s="4">
        <f>IF(ISNUMBER(Student­­Performance[[#This Row],[Math Score]]),Student­­Performance[[#This Row],[Math Score]],0)</f>
        <v>83</v>
      </c>
      <c r="O46" s="4">
        <f>IF(ISNUMBER(Student­­Performance[[#This Row],[Reading Score]]),Student­­Performance[[#This Row],[Reading Score]],0)</f>
        <v>93</v>
      </c>
      <c r="P46" s="4">
        <f>IF(ISNUMBER(Student­­Performance[[#This Row],[Writing Score]]),Student­­Performance[[#This Row],[Writing Score]],0)</f>
        <v>95</v>
      </c>
      <c r="Q46" s="4" t="str">
        <f>IF(Student­­Performance[[#This Row],[Math Score]]&gt;=50,"Pass","Fail")</f>
        <v>Pass</v>
      </c>
      <c r="R46" s="4" t="str">
        <f>IF(Student­­Performance[[#This Row],[Reading Score]]&gt;=50,"Pass","Fail")</f>
        <v>Pass</v>
      </c>
      <c r="S46" s="4" t="str">
        <f>IF(Student­­Performance[[#This Row],[Writing Score]]&gt;=50,"Pass","Fail")</f>
        <v>Pass</v>
      </c>
      <c r="T4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271</v>
      </c>
      <c r="U46" s="4" cm="1">
        <f t="array" ref="U46">IF(COUNT(F46:H46)=0,"", MAX(IF(ISNUMBER(F46:H46),F46:H46)) - MIN(IF(ISNUMBER(F46:H46),F46:H46)))</f>
        <v>12</v>
      </c>
      <c r="V46" s="4" t="str">
        <f>IF(U46="","",IF(U46&gt;25,"Outlier","Normal"))</f>
        <v>Normal</v>
      </c>
    </row>
    <row r="47" spans="1:22" x14ac:dyDescent="0.3">
      <c r="A47" s="1" t="s">
        <v>8</v>
      </c>
      <c r="B47" s="1" t="s">
        <v>9</v>
      </c>
      <c r="C47" s="1" t="s">
        <v>86</v>
      </c>
      <c r="D47" s="1" t="s">
        <v>11</v>
      </c>
      <c r="E47" s="1" t="s">
        <v>15</v>
      </c>
      <c r="F47" s="4">
        <v>90</v>
      </c>
      <c r="G47" s="4">
        <v>90</v>
      </c>
      <c r="H47" s="4">
        <v>91</v>
      </c>
      <c r="I47" s="4">
        <f>AVERAGE(Student­­Performance[[#This Row],[Math Score]],Student­­Performance[[#This Row],[Reading Score]],Student­­Performance[[#This Row],[Writing Score]])</f>
        <v>90.333333333333329</v>
      </c>
      <c r="J47" s="10" t="str">
        <f>IF(Student­­Performance[[#This Row],[Average Score]]&gt;=50,"Pass","Fail")</f>
        <v>Pass</v>
      </c>
      <c r="K4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4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4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47" s="4">
        <f>IF(ISNUMBER(Student­­Performance[[#This Row],[Math Score]]),Student­­Performance[[#This Row],[Math Score]],0)</f>
        <v>90</v>
      </c>
      <c r="O47" s="4">
        <f>IF(ISNUMBER(Student­­Performance[[#This Row],[Reading Score]]),Student­­Performance[[#This Row],[Reading Score]],0)</f>
        <v>90</v>
      </c>
      <c r="P47" s="4">
        <f>IF(ISNUMBER(Student­­Performance[[#This Row],[Writing Score]]),Student­­Performance[[#This Row],[Writing Score]],0)</f>
        <v>91</v>
      </c>
      <c r="Q47" s="4" t="str">
        <f>IF(Student­­Performance[[#This Row],[Math Score]]&gt;=50,"Pass","Fail")</f>
        <v>Pass</v>
      </c>
      <c r="R47" s="4" t="str">
        <f>IF(Student­­Performance[[#This Row],[Reading Score]]&gt;=50,"Pass","Fail")</f>
        <v>Pass</v>
      </c>
      <c r="S47" s="4" t="str">
        <f>IF(Student­­Performance[[#This Row],[Writing Score]]&gt;=50,"Pass","Fail")</f>
        <v>Pass</v>
      </c>
      <c r="T4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271</v>
      </c>
      <c r="U47" s="4" cm="1">
        <f t="array" ref="U47">IF(COUNT(F47:H47)=0,"", MAX(IF(ISNUMBER(F47:H47),F47:H47)) - MIN(IF(ISNUMBER(F47:H47),F47:H47)))</f>
        <v>1</v>
      </c>
      <c r="V47" s="4" t="str">
        <f>IF(U47="","",IF(U47&gt;25,"Outlier","Normal"))</f>
        <v>Normal</v>
      </c>
    </row>
    <row r="48" spans="1:22" x14ac:dyDescent="0.3">
      <c r="A48" s="1" t="s">
        <v>8</v>
      </c>
      <c r="B48" s="1" t="s">
        <v>26</v>
      </c>
      <c r="C48" s="1" t="s">
        <v>86</v>
      </c>
      <c r="D48" s="1" t="s">
        <v>11</v>
      </c>
      <c r="E48" s="1" t="s">
        <v>12</v>
      </c>
      <c r="F48" s="4">
        <v>84</v>
      </c>
      <c r="G48" s="4">
        <v>95</v>
      </c>
      <c r="H48" s="4">
        <v>92</v>
      </c>
      <c r="I48" s="4">
        <f>AVERAGE(Student­­Performance[[#This Row],[Math Score]],Student­­Performance[[#This Row],[Reading Score]],Student­­Performance[[#This Row],[Writing Score]])</f>
        <v>90.333333333333329</v>
      </c>
      <c r="J48" s="10" t="str">
        <f>IF(Student­­Performance[[#This Row],[Average Score]]&gt;=50,"Pass","Fail")</f>
        <v>Pass</v>
      </c>
      <c r="K4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4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4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48" s="4">
        <f>IF(ISNUMBER(Student­­Performance[[#This Row],[Math Score]]),Student­­Performance[[#This Row],[Math Score]],0)</f>
        <v>84</v>
      </c>
      <c r="O48" s="4">
        <f>IF(ISNUMBER(Student­­Performance[[#This Row],[Reading Score]]),Student­­Performance[[#This Row],[Reading Score]],0)</f>
        <v>95</v>
      </c>
      <c r="P48" s="4">
        <f>IF(ISNUMBER(Student­­Performance[[#This Row],[Writing Score]]),Student­­Performance[[#This Row],[Writing Score]],0)</f>
        <v>92</v>
      </c>
      <c r="Q48" s="4" t="str">
        <f>IF(Student­­Performance[[#This Row],[Math Score]]&gt;=50,"Pass","Fail")</f>
        <v>Pass</v>
      </c>
      <c r="R48" s="4" t="str">
        <f>IF(Student­­Performance[[#This Row],[Reading Score]]&gt;=50,"Pass","Fail")</f>
        <v>Pass</v>
      </c>
      <c r="S48" s="4" t="str">
        <f>IF(Student­­Performance[[#This Row],[Writing Score]]&gt;=50,"Pass","Fail")</f>
        <v>Pass</v>
      </c>
      <c r="T4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271</v>
      </c>
      <c r="U48" s="4" cm="1">
        <f t="array" ref="U48">IF(COUNT(F48:H48)=0,"", MAX(IF(ISNUMBER(F48:H48),F48:H48)) - MIN(IF(ISNUMBER(F48:H48),F48:H48)))</f>
        <v>11</v>
      </c>
      <c r="V48" s="4" t="str">
        <f>IF(U48="","",IF(U48&gt;25,"Outlier","Normal"))</f>
        <v>Normal</v>
      </c>
    </row>
    <row r="49" spans="1:22" x14ac:dyDescent="0.3">
      <c r="A49" s="1" t="s">
        <v>8</v>
      </c>
      <c r="B49" s="1" t="s">
        <v>13</v>
      </c>
      <c r="C49" s="1" t="s">
        <v>88</v>
      </c>
      <c r="D49" s="1" t="s">
        <v>11</v>
      </c>
      <c r="E49" s="1" t="s">
        <v>15</v>
      </c>
      <c r="F49" s="4">
        <v>85</v>
      </c>
      <c r="G49" s="4">
        <v>92</v>
      </c>
      <c r="H49" s="4">
        <v>93</v>
      </c>
      <c r="I49" s="4">
        <f>AVERAGE(Student­­Performance[[#This Row],[Math Score]],Student­­Performance[[#This Row],[Reading Score]],Student­­Performance[[#This Row],[Writing Score]])</f>
        <v>90</v>
      </c>
      <c r="J49" s="10" t="str">
        <f>IF(Student­­Performance[[#This Row],[Average Score]]&gt;=50,"Pass","Fail")</f>
        <v>Pass</v>
      </c>
      <c r="K4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4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4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49" s="4">
        <f>IF(ISNUMBER(Student­­Performance[[#This Row],[Math Score]]),Student­­Performance[[#This Row],[Math Score]],0)</f>
        <v>85</v>
      </c>
      <c r="O49" s="4">
        <f>IF(ISNUMBER(Student­­Performance[[#This Row],[Reading Score]]),Student­­Performance[[#This Row],[Reading Score]],0)</f>
        <v>92</v>
      </c>
      <c r="P49" s="4">
        <f>IF(ISNUMBER(Student­­Performance[[#This Row],[Writing Score]]),Student­­Performance[[#This Row],[Writing Score]],0)</f>
        <v>93</v>
      </c>
      <c r="Q49" s="4" t="str">
        <f>IF(Student­­Performance[[#This Row],[Math Score]]&gt;=50,"Pass","Fail")</f>
        <v>Pass</v>
      </c>
      <c r="R49" s="4" t="str">
        <f>IF(Student­­Performance[[#This Row],[Reading Score]]&gt;=50,"Pass","Fail")</f>
        <v>Pass</v>
      </c>
      <c r="S49" s="4" t="str">
        <f>IF(Student­­Performance[[#This Row],[Writing Score]]&gt;=50,"Pass","Fail")</f>
        <v>Pass</v>
      </c>
      <c r="T4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270</v>
      </c>
      <c r="U49" s="4" cm="1">
        <f t="array" ref="U49">IF(COUNT(F49:H49)=0,"", MAX(IF(ISNUMBER(F49:H49),F49:H49)) - MIN(IF(ISNUMBER(F49:H49),F49:H49)))</f>
        <v>8</v>
      </c>
      <c r="V49" s="4" t="str">
        <f>IF(U49="","",IF(U49&gt;25,"Outlier","Normal"))</f>
        <v>Normal</v>
      </c>
    </row>
    <row r="50" spans="1:22" x14ac:dyDescent="0.3">
      <c r="A50" s="1" t="s">
        <v>8</v>
      </c>
      <c r="B50" s="1" t="s">
        <v>13</v>
      </c>
      <c r="C50" s="1" t="s">
        <v>84</v>
      </c>
      <c r="D50" s="1" t="s">
        <v>11</v>
      </c>
      <c r="E50" s="1" t="s">
        <v>15</v>
      </c>
      <c r="F50" s="4">
        <v>87</v>
      </c>
      <c r="G50" s="4">
        <v>89</v>
      </c>
      <c r="H50" s="4">
        <v>94</v>
      </c>
      <c r="I50" s="4">
        <f>AVERAGE(Student­­Performance[[#This Row],[Math Score]],Student­­Performance[[#This Row],[Reading Score]],Student­­Performance[[#This Row],[Writing Score]])</f>
        <v>90</v>
      </c>
      <c r="J50" s="10" t="str">
        <f>IF(Student­­Performance[[#This Row],[Average Score]]&gt;=50,"Pass","Fail")</f>
        <v>Pass</v>
      </c>
      <c r="K5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5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5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50" s="4">
        <f>IF(ISNUMBER(Student­­Performance[[#This Row],[Math Score]]),Student­­Performance[[#This Row],[Math Score]],0)</f>
        <v>87</v>
      </c>
      <c r="O50" s="4">
        <f>IF(ISNUMBER(Student­­Performance[[#This Row],[Reading Score]]),Student­­Performance[[#This Row],[Reading Score]],0)</f>
        <v>89</v>
      </c>
      <c r="P50" s="4">
        <f>IF(ISNUMBER(Student­­Performance[[#This Row],[Writing Score]]),Student­­Performance[[#This Row],[Writing Score]],0)</f>
        <v>94</v>
      </c>
      <c r="Q50" s="4" t="str">
        <f>IF(Student­­Performance[[#This Row],[Math Score]]&gt;=50,"Pass","Fail")</f>
        <v>Pass</v>
      </c>
      <c r="R50" s="4" t="str">
        <f>IF(Student­­Performance[[#This Row],[Reading Score]]&gt;=50,"Pass","Fail")</f>
        <v>Pass</v>
      </c>
      <c r="S50" s="4" t="str">
        <f>IF(Student­­Performance[[#This Row],[Writing Score]]&gt;=50,"Pass","Fail")</f>
        <v>Pass</v>
      </c>
      <c r="T5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270</v>
      </c>
      <c r="U50" s="4" cm="1">
        <f t="array" ref="U50">IF(COUNT(F50:H50)=0,"", MAX(IF(ISNUMBER(F50:H50),F50:H50)) - MIN(IF(ISNUMBER(F50:H50),F50:H50)))</f>
        <v>7</v>
      </c>
      <c r="V50" s="4" t="str">
        <f>IF(U50="","",IF(U50&gt;25,"Outlier","Normal"))</f>
        <v>Normal</v>
      </c>
    </row>
    <row r="51" spans="1:22" x14ac:dyDescent="0.3">
      <c r="A51" s="1" t="s">
        <v>8</v>
      </c>
      <c r="B51" s="1" t="s">
        <v>13</v>
      </c>
      <c r="C51" s="1" t="s">
        <v>86</v>
      </c>
      <c r="D51" s="1" t="s">
        <v>11</v>
      </c>
      <c r="E51" s="1" t="s">
        <v>12</v>
      </c>
      <c r="F51" s="4">
        <v>85</v>
      </c>
      <c r="G51" s="4">
        <v>89</v>
      </c>
      <c r="H51" s="4">
        <v>95</v>
      </c>
      <c r="I51" s="4">
        <f>AVERAGE(Student­­Performance[[#This Row],[Math Score]],Student­­Performance[[#This Row],[Reading Score]],Student­­Performance[[#This Row],[Writing Score]])</f>
        <v>89.666666666666671</v>
      </c>
      <c r="J51" s="10" t="str">
        <f>IF(Student­­Performance[[#This Row],[Average Score]]&gt;=50,"Pass","Fail")</f>
        <v>Pass</v>
      </c>
      <c r="K5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5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5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51" s="4">
        <f>IF(ISNUMBER(Student­­Performance[[#This Row],[Math Score]]),Student­­Performance[[#This Row],[Math Score]],0)</f>
        <v>85</v>
      </c>
      <c r="O51" s="4">
        <f>IF(ISNUMBER(Student­­Performance[[#This Row],[Reading Score]]),Student­­Performance[[#This Row],[Reading Score]],0)</f>
        <v>89</v>
      </c>
      <c r="P51" s="4">
        <f>IF(ISNUMBER(Student­­Performance[[#This Row],[Writing Score]]),Student­­Performance[[#This Row],[Writing Score]],0)</f>
        <v>95</v>
      </c>
      <c r="Q51" s="4" t="str">
        <f>IF(Student­­Performance[[#This Row],[Math Score]]&gt;=50,"Pass","Fail")</f>
        <v>Pass</v>
      </c>
      <c r="R51" s="4" t="str">
        <f>IF(Student­­Performance[[#This Row],[Reading Score]]&gt;=50,"Pass","Fail")</f>
        <v>Pass</v>
      </c>
      <c r="S51" s="4" t="str">
        <f>IF(Student­­Performance[[#This Row],[Writing Score]]&gt;=50,"Pass","Fail")</f>
        <v>Pass</v>
      </c>
      <c r="T5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269</v>
      </c>
      <c r="U51" s="4" cm="1">
        <f t="array" ref="U51">IF(COUNT(F51:H51)=0,"", MAX(IF(ISNUMBER(F51:H51),F51:H51)) - MIN(IF(ISNUMBER(F51:H51),F51:H51)))</f>
        <v>10</v>
      </c>
      <c r="V51" s="4" t="str">
        <f>IF(U51="","",IF(U51&gt;25,"Outlier","Normal"))</f>
        <v>Normal</v>
      </c>
    </row>
    <row r="52" spans="1:22" x14ac:dyDescent="0.3">
      <c r="A52" s="1" t="s">
        <v>8</v>
      </c>
      <c r="B52" s="1" t="s">
        <v>21</v>
      </c>
      <c r="C52" s="1" t="s">
        <v>84</v>
      </c>
      <c r="D52" s="1" t="s">
        <v>11</v>
      </c>
      <c r="E52" s="1" t="s">
        <v>15</v>
      </c>
      <c r="F52" s="4">
        <v>85</v>
      </c>
      <c r="G52" s="4">
        <v>86</v>
      </c>
      <c r="H52" s="4">
        <v>98</v>
      </c>
      <c r="I52" s="4">
        <f>AVERAGE(Student­­Performance[[#This Row],[Math Score]],Student­­Performance[[#This Row],[Reading Score]],Student­­Performance[[#This Row],[Writing Score]])</f>
        <v>89.666666666666671</v>
      </c>
      <c r="J52" s="10" t="str">
        <f>IF(Student­­Performance[[#This Row],[Average Score]]&gt;=50,"Pass","Fail")</f>
        <v>Pass</v>
      </c>
      <c r="K5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5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12</v>
      </c>
      <c r="M5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13</v>
      </c>
      <c r="N52" s="4">
        <f>IF(ISNUMBER(Student­­Performance[[#This Row],[Math Score]]),Student­­Performance[[#This Row],[Math Score]],0)</f>
        <v>85</v>
      </c>
      <c r="O52" s="4">
        <f>IF(ISNUMBER(Student­­Performance[[#This Row],[Reading Score]]),Student­­Performance[[#This Row],[Reading Score]],0)</f>
        <v>86</v>
      </c>
      <c r="P52" s="4">
        <f>IF(ISNUMBER(Student­­Performance[[#This Row],[Writing Score]]),Student­­Performance[[#This Row],[Writing Score]],0)</f>
        <v>98</v>
      </c>
      <c r="Q52" s="4" t="str">
        <f>IF(Student­­Performance[[#This Row],[Math Score]]&gt;=50,"Pass","Fail")</f>
        <v>Pass</v>
      </c>
      <c r="R52" s="4" t="str">
        <f>IF(Student­­Performance[[#This Row],[Reading Score]]&gt;=50,"Pass","Fail")</f>
        <v>Pass</v>
      </c>
      <c r="S52" s="4" t="str">
        <f>IF(Student­­Performance[[#This Row],[Writing Score]]&gt;=50,"Pass","Fail")</f>
        <v>Pass</v>
      </c>
      <c r="T5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269</v>
      </c>
      <c r="U52" s="4" cm="1">
        <f t="array" ref="U52">IF(COUNT(F52:H52)=0,"", MAX(IF(ISNUMBER(F52:H52),F52:H52)) - MIN(IF(ISNUMBER(F52:H52),F52:H52)))</f>
        <v>13</v>
      </c>
      <c r="V52" s="4" t="str">
        <f>IF(U52="","",IF(U52&gt;25,"Outlier","Normal"))</f>
        <v>Normal</v>
      </c>
    </row>
    <row r="53" spans="1:22" x14ac:dyDescent="0.3">
      <c r="A53" s="1" t="s">
        <v>8</v>
      </c>
      <c r="B53" s="1" t="s">
        <v>9</v>
      </c>
      <c r="C53" s="1" t="s">
        <v>87</v>
      </c>
      <c r="D53" s="1" t="s">
        <v>11</v>
      </c>
      <c r="E53" s="1" t="s">
        <v>12</v>
      </c>
      <c r="F53" s="4">
        <v>87</v>
      </c>
      <c r="G53" s="4">
        <v>95</v>
      </c>
      <c r="H53" s="4">
        <v>86</v>
      </c>
      <c r="I53" s="4">
        <f>AVERAGE(Student­­Performance[[#This Row],[Math Score]],Student­­Performance[[#This Row],[Reading Score]],Student­­Performance[[#This Row],[Writing Score]])</f>
        <v>89.333333333333329</v>
      </c>
      <c r="J53" s="10" t="str">
        <f>IF(Student­­Performance[[#This Row],[Average Score]]&gt;=50,"Pass","Fail")</f>
        <v>Pass</v>
      </c>
      <c r="K5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5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-9</v>
      </c>
      <c r="M5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53" s="4">
        <f>IF(ISNUMBER(Student­­Performance[[#This Row],[Math Score]]),Student­­Performance[[#This Row],[Math Score]],0)</f>
        <v>87</v>
      </c>
      <c r="O53" s="4">
        <f>IF(ISNUMBER(Student­­Performance[[#This Row],[Reading Score]]),Student­­Performance[[#This Row],[Reading Score]],0)</f>
        <v>95</v>
      </c>
      <c r="P53" s="4">
        <f>IF(ISNUMBER(Student­­Performance[[#This Row],[Writing Score]]),Student­­Performance[[#This Row],[Writing Score]],0)</f>
        <v>86</v>
      </c>
      <c r="Q53" s="4" t="str">
        <f>IF(Student­­Performance[[#This Row],[Math Score]]&gt;=50,"Pass","Fail")</f>
        <v>Pass</v>
      </c>
      <c r="R53" s="4" t="str">
        <f>IF(Student­­Performance[[#This Row],[Reading Score]]&gt;=50,"Pass","Fail")</f>
        <v>Pass</v>
      </c>
      <c r="S53" s="4" t="str">
        <f>IF(Student­­Performance[[#This Row],[Writing Score]]&gt;=50,"Pass","Fail")</f>
        <v>Pass</v>
      </c>
      <c r="T5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268</v>
      </c>
      <c r="U53" s="4" cm="1">
        <f t="array" ref="U53">IF(COUNT(F53:H53)=0,"", MAX(IF(ISNUMBER(F53:H53),F53:H53)) - MIN(IF(ISNUMBER(F53:H53),F53:H53)))</f>
        <v>9</v>
      </c>
      <c r="V53" s="4" t="str">
        <f>IF(U53="","",IF(U53&gt;25,"Outlier","Normal"))</f>
        <v>Normal</v>
      </c>
    </row>
    <row r="54" spans="1:22" x14ac:dyDescent="0.3">
      <c r="A54" s="1" t="s">
        <v>8</v>
      </c>
      <c r="B54" s="1" t="s">
        <v>13</v>
      </c>
      <c r="C54" s="1" t="s">
        <v>86</v>
      </c>
      <c r="D54" s="1" t="s">
        <v>20</v>
      </c>
      <c r="E54" s="1" t="s">
        <v>15</v>
      </c>
      <c r="F54" s="4">
        <v>82</v>
      </c>
      <c r="G54" s="4">
        <v>93</v>
      </c>
      <c r="H54" s="4">
        <v>93</v>
      </c>
      <c r="I54" s="4">
        <f>AVERAGE(Student­­Performance[[#This Row],[Math Score]],Student­­Performance[[#This Row],[Reading Score]],Student­­Performance[[#This Row],[Writing Score]])</f>
        <v>89.333333333333329</v>
      </c>
      <c r="J54" s="10" t="str">
        <f>IF(Student­­Performance[[#This Row],[Average Score]]&gt;=50,"Pass","Fail")</f>
        <v>Pass</v>
      </c>
      <c r="K5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5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5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54" s="4">
        <f>IF(ISNUMBER(Student­­Performance[[#This Row],[Math Score]]),Student­­Performance[[#This Row],[Math Score]],0)</f>
        <v>82</v>
      </c>
      <c r="O54" s="4">
        <f>IF(ISNUMBER(Student­­Performance[[#This Row],[Reading Score]]),Student­­Performance[[#This Row],[Reading Score]],0)</f>
        <v>93</v>
      </c>
      <c r="P54" s="4">
        <f>IF(ISNUMBER(Student­­Performance[[#This Row],[Writing Score]]),Student­­Performance[[#This Row],[Writing Score]],0)</f>
        <v>93</v>
      </c>
      <c r="Q54" s="4" t="str">
        <f>IF(Student­­Performance[[#This Row],[Math Score]]&gt;=50,"Pass","Fail")</f>
        <v>Pass</v>
      </c>
      <c r="R54" s="4" t="str">
        <f>IF(Student­­Performance[[#This Row],[Reading Score]]&gt;=50,"Pass","Fail")</f>
        <v>Pass</v>
      </c>
      <c r="S54" s="4" t="str">
        <f>IF(Student­­Performance[[#This Row],[Writing Score]]&gt;=50,"Pass","Fail")</f>
        <v>Pass</v>
      </c>
      <c r="T5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268</v>
      </c>
      <c r="U54" s="4" cm="1">
        <f t="array" ref="U54">IF(COUNT(F54:H54)=0,"", MAX(IF(ISNUMBER(F54:H54),F54:H54)) - MIN(IF(ISNUMBER(F54:H54),F54:H54)))</f>
        <v>11</v>
      </c>
      <c r="V54" s="4" t="str">
        <f>IF(U54="","",IF(U54&gt;25,"Outlier","Normal"))</f>
        <v>Normal</v>
      </c>
    </row>
    <row r="55" spans="1:22" x14ac:dyDescent="0.3">
      <c r="A55" s="1" t="s">
        <v>8</v>
      </c>
      <c r="B55" s="1" t="s">
        <v>9</v>
      </c>
      <c r="C55" s="1" t="s">
        <v>85</v>
      </c>
      <c r="D55" s="1" t="s">
        <v>20</v>
      </c>
      <c r="E55" s="1" t="s">
        <v>15</v>
      </c>
      <c r="F55" s="4">
        <v>77</v>
      </c>
      <c r="G55" s="4">
        <v>97</v>
      </c>
      <c r="H55" s="4">
        <v>94</v>
      </c>
      <c r="I55" s="4">
        <f>AVERAGE(Student­­Performance[[#This Row],[Math Score]],Student­­Performance[[#This Row],[Reading Score]],Student­­Performance[[#This Row],[Writing Score]])</f>
        <v>89.333333333333329</v>
      </c>
      <c r="J55" s="10" t="str">
        <f>IF(Student­­Performance[[#This Row],[Average Score]]&gt;=50,"Pass","Fail")</f>
        <v>Pass</v>
      </c>
      <c r="K5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20</v>
      </c>
      <c r="L5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5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17</v>
      </c>
      <c r="N55" s="4">
        <f>IF(ISNUMBER(Student­­Performance[[#This Row],[Math Score]]),Student­­Performance[[#This Row],[Math Score]],0)</f>
        <v>77</v>
      </c>
      <c r="O55" s="4">
        <f>IF(ISNUMBER(Student­­Performance[[#This Row],[Reading Score]]),Student­­Performance[[#This Row],[Reading Score]],0)</f>
        <v>97</v>
      </c>
      <c r="P55" s="4">
        <f>IF(ISNUMBER(Student­­Performance[[#This Row],[Writing Score]]),Student­­Performance[[#This Row],[Writing Score]],0)</f>
        <v>94</v>
      </c>
      <c r="Q55" s="4" t="str">
        <f>IF(Student­­Performance[[#This Row],[Math Score]]&gt;=50,"Pass","Fail")</f>
        <v>Pass</v>
      </c>
      <c r="R55" s="4" t="str">
        <f>IF(Student­­Performance[[#This Row],[Reading Score]]&gt;=50,"Pass","Fail")</f>
        <v>Pass</v>
      </c>
      <c r="S55" s="4" t="str">
        <f>IF(Student­­Performance[[#This Row],[Writing Score]]&gt;=50,"Pass","Fail")</f>
        <v>Pass</v>
      </c>
      <c r="T5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268</v>
      </c>
      <c r="U55" s="4" cm="1">
        <f t="array" ref="U55">IF(COUNT(F55:H55)=0,"", MAX(IF(ISNUMBER(F55:H55),F55:H55)) - MIN(IF(ISNUMBER(F55:H55),F55:H55)))</f>
        <v>20</v>
      </c>
      <c r="V55" s="4" t="str">
        <f>IF(U55="","",IF(U55&gt;25,"Outlier","Normal"))</f>
        <v>Normal</v>
      </c>
    </row>
    <row r="56" spans="1:22" x14ac:dyDescent="0.3">
      <c r="A56" s="1" t="s">
        <v>8</v>
      </c>
      <c r="B56" s="1" t="s">
        <v>18</v>
      </c>
      <c r="C56" s="1" t="s">
        <v>86</v>
      </c>
      <c r="D56" s="1" t="s">
        <v>11</v>
      </c>
      <c r="E56" s="1" t="s">
        <v>12</v>
      </c>
      <c r="F56" s="4">
        <v>82</v>
      </c>
      <c r="G56" s="4">
        <v>93</v>
      </c>
      <c r="H56" s="4">
        <v>93</v>
      </c>
      <c r="I56" s="4">
        <f>AVERAGE(Student­­Performance[[#This Row],[Math Score]],Student­­Performance[[#This Row],[Reading Score]],Student­­Performance[[#This Row],[Writing Score]])</f>
        <v>89.333333333333329</v>
      </c>
      <c r="J56" s="10" t="str">
        <f>IF(Student­­Performance[[#This Row],[Average Score]]&gt;=50,"Pass","Fail")</f>
        <v>Pass</v>
      </c>
      <c r="K5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5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5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56" s="4">
        <f>IF(ISNUMBER(Student­­Performance[[#This Row],[Math Score]]),Student­­Performance[[#This Row],[Math Score]],0)</f>
        <v>82</v>
      </c>
      <c r="O56" s="4">
        <f>IF(ISNUMBER(Student­­Performance[[#This Row],[Reading Score]]),Student­­Performance[[#This Row],[Reading Score]],0)</f>
        <v>93</v>
      </c>
      <c r="P56" s="4">
        <f>IF(ISNUMBER(Student­­Performance[[#This Row],[Writing Score]]),Student­­Performance[[#This Row],[Writing Score]],0)</f>
        <v>93</v>
      </c>
      <c r="Q56" s="4" t="str">
        <f>IF(Student­­Performance[[#This Row],[Math Score]]&gt;=50,"Pass","Fail")</f>
        <v>Pass</v>
      </c>
      <c r="R56" s="4" t="str">
        <f>IF(Student­­Performance[[#This Row],[Reading Score]]&gt;=50,"Pass","Fail")</f>
        <v>Pass</v>
      </c>
      <c r="S56" s="4" t="str">
        <f>IF(Student­­Performance[[#This Row],[Writing Score]]&gt;=50,"Pass","Fail")</f>
        <v>Pass</v>
      </c>
      <c r="T5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268</v>
      </c>
      <c r="U56" s="4" cm="1">
        <f t="array" ref="U56">IF(COUNT(F56:H56)=0,"", MAX(IF(ISNUMBER(F56:H56),F56:H56)) - MIN(IF(ISNUMBER(F56:H56),F56:H56)))</f>
        <v>11</v>
      </c>
      <c r="V56" s="4" t="str">
        <f>IF(U56="","",IF(U56&gt;25,"Outlier","Normal"))</f>
        <v>Normal</v>
      </c>
    </row>
    <row r="57" spans="1:22" x14ac:dyDescent="0.3">
      <c r="A57" s="1" t="s">
        <v>17</v>
      </c>
      <c r="B57" s="1" t="s">
        <v>26</v>
      </c>
      <c r="C57" s="1" t="s">
        <v>86</v>
      </c>
      <c r="D57" s="1" t="s">
        <v>11</v>
      </c>
      <c r="E57" s="1" t="s">
        <v>15</v>
      </c>
      <c r="F57" s="4">
        <v>97</v>
      </c>
      <c r="G57" s="4">
        <v>82</v>
      </c>
      <c r="H57" s="4">
        <v>88</v>
      </c>
      <c r="I57" s="4">
        <f>AVERAGE(Student­­Performance[[#This Row],[Math Score]],Student­­Performance[[#This Row],[Reading Score]],Student­­Performance[[#This Row],[Writing Score]])</f>
        <v>89</v>
      </c>
      <c r="J57" s="10" t="str">
        <f>IF(Student­­Performance[[#This Row],[Average Score]]&gt;=50,"Pass","Fail")</f>
        <v>Pass</v>
      </c>
      <c r="K5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-15</v>
      </c>
      <c r="L5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5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-9</v>
      </c>
      <c r="N57" s="4">
        <f>IF(ISNUMBER(Student­­Performance[[#This Row],[Math Score]]),Student­­Performance[[#This Row],[Math Score]],0)</f>
        <v>97</v>
      </c>
      <c r="O57" s="4">
        <f>IF(ISNUMBER(Student­­Performance[[#This Row],[Reading Score]]),Student­­Performance[[#This Row],[Reading Score]],0)</f>
        <v>82</v>
      </c>
      <c r="P57" s="4">
        <f>IF(ISNUMBER(Student­­Performance[[#This Row],[Writing Score]]),Student­­Performance[[#This Row],[Writing Score]],0)</f>
        <v>88</v>
      </c>
      <c r="Q57" s="4" t="str">
        <f>IF(Student­­Performance[[#This Row],[Math Score]]&gt;=50,"Pass","Fail")</f>
        <v>Pass</v>
      </c>
      <c r="R57" s="4" t="str">
        <f>IF(Student­­Performance[[#This Row],[Reading Score]]&gt;=50,"Pass","Fail")</f>
        <v>Pass</v>
      </c>
      <c r="S57" s="4" t="str">
        <f>IF(Student­­Performance[[#This Row],[Writing Score]]&gt;=50,"Pass","Fail")</f>
        <v>Pass</v>
      </c>
      <c r="T5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267</v>
      </c>
      <c r="U57" s="4" cm="1">
        <f t="array" ref="U57">IF(COUNT(F57:H57)=0,"", MAX(IF(ISNUMBER(F57:H57),F57:H57)) - MIN(IF(ISNUMBER(F57:H57),F57:H57)))</f>
        <v>15</v>
      </c>
      <c r="V57" s="4" t="str">
        <f>IF(U57="","",IF(U57&gt;25,"Outlier","Normal"))</f>
        <v>Normal</v>
      </c>
    </row>
    <row r="58" spans="1:22" x14ac:dyDescent="0.3">
      <c r="A58" s="1" t="s">
        <v>17</v>
      </c>
      <c r="B58" s="1" t="s">
        <v>26</v>
      </c>
      <c r="C58" s="1" t="s">
        <v>84</v>
      </c>
      <c r="D58" s="1" t="s">
        <v>11</v>
      </c>
      <c r="E58" s="1" t="s">
        <v>15</v>
      </c>
      <c r="F58" s="4">
        <v>99</v>
      </c>
      <c r="G58" s="4">
        <v>87</v>
      </c>
      <c r="H58" s="4">
        <v>81</v>
      </c>
      <c r="I58" s="4">
        <f>AVERAGE(Student­­Performance[[#This Row],[Math Score]],Student­­Performance[[#This Row],[Reading Score]],Student­­Performance[[#This Row],[Writing Score]])</f>
        <v>89</v>
      </c>
      <c r="J58" s="10" t="str">
        <f>IF(Student­­Performance[[#This Row],[Average Score]]&gt;=50,"Pass","Fail")</f>
        <v>Pass</v>
      </c>
      <c r="K5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-12</v>
      </c>
      <c r="L5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5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-18</v>
      </c>
      <c r="N58" s="4">
        <f>IF(ISNUMBER(Student­­Performance[[#This Row],[Math Score]]),Student­­Performance[[#This Row],[Math Score]],0)</f>
        <v>99</v>
      </c>
      <c r="O58" s="4">
        <f>IF(ISNUMBER(Student­­Performance[[#This Row],[Reading Score]]),Student­­Performance[[#This Row],[Reading Score]],0)</f>
        <v>87</v>
      </c>
      <c r="P58" s="4">
        <f>IF(ISNUMBER(Student­­Performance[[#This Row],[Writing Score]]),Student­­Performance[[#This Row],[Writing Score]],0)</f>
        <v>81</v>
      </c>
      <c r="Q58" s="4" t="str">
        <f>IF(Student­­Performance[[#This Row],[Math Score]]&gt;=50,"Pass","Fail")</f>
        <v>Pass</v>
      </c>
      <c r="R58" s="4" t="str">
        <f>IF(Student­­Performance[[#This Row],[Reading Score]]&gt;=50,"Pass","Fail")</f>
        <v>Pass</v>
      </c>
      <c r="S58" s="4" t="str">
        <f>IF(Student­­Performance[[#This Row],[Writing Score]]&gt;=50,"Pass","Fail")</f>
        <v>Pass</v>
      </c>
      <c r="T5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267</v>
      </c>
      <c r="U58" s="4" cm="1">
        <f t="array" ref="U58">IF(COUNT(F58:H58)=0,"", MAX(IF(ISNUMBER(F58:H58),F58:H58)) - MIN(IF(ISNUMBER(F58:H58),F58:H58)))</f>
        <v>18</v>
      </c>
      <c r="V58" s="4" t="str">
        <f>IF(U58="","",IF(U58&gt;25,"Outlier","Normal"))</f>
        <v>Normal</v>
      </c>
    </row>
    <row r="59" spans="1:22" x14ac:dyDescent="0.3">
      <c r="A59" s="1" t="s">
        <v>17</v>
      </c>
      <c r="B59" s="1" t="s">
        <v>13</v>
      </c>
      <c r="C59" s="1" t="s">
        <v>84</v>
      </c>
      <c r="D59" s="1" t="s">
        <v>11</v>
      </c>
      <c r="E59" s="1" t="s">
        <v>15</v>
      </c>
      <c r="F59" s="4">
        <v>93</v>
      </c>
      <c r="G59" s="4">
        <v>84</v>
      </c>
      <c r="H59" s="4">
        <v>90</v>
      </c>
      <c r="I59" s="4">
        <f>AVERAGE(Student­­Performance[[#This Row],[Math Score]],Student­­Performance[[#This Row],[Reading Score]],Student­­Performance[[#This Row],[Writing Score]])</f>
        <v>89</v>
      </c>
      <c r="J59" s="10" t="str">
        <f>IF(Student­­Performance[[#This Row],[Average Score]]&gt;=50,"Pass","Fail")</f>
        <v>Pass</v>
      </c>
      <c r="K5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-9</v>
      </c>
      <c r="L5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5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59" s="4">
        <f>IF(ISNUMBER(Student­­Performance[[#This Row],[Math Score]]),Student­­Performance[[#This Row],[Math Score]],0)</f>
        <v>93</v>
      </c>
      <c r="O59" s="4">
        <f>IF(ISNUMBER(Student­­Performance[[#This Row],[Reading Score]]),Student­­Performance[[#This Row],[Reading Score]],0)</f>
        <v>84</v>
      </c>
      <c r="P59" s="4">
        <f>IF(ISNUMBER(Student­­Performance[[#This Row],[Writing Score]]),Student­­Performance[[#This Row],[Writing Score]],0)</f>
        <v>90</v>
      </c>
      <c r="Q59" s="4" t="str">
        <f>IF(Student­­Performance[[#This Row],[Math Score]]&gt;=50,"Pass","Fail")</f>
        <v>Pass</v>
      </c>
      <c r="R59" s="4" t="str">
        <f>IF(Student­­Performance[[#This Row],[Reading Score]]&gt;=50,"Pass","Fail")</f>
        <v>Pass</v>
      </c>
      <c r="S59" s="4" t="str">
        <f>IF(Student­­Performance[[#This Row],[Writing Score]]&gt;=50,"Pass","Fail")</f>
        <v>Pass</v>
      </c>
      <c r="T5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267</v>
      </c>
      <c r="U59" s="4" cm="1">
        <f t="array" ref="U59">IF(COUNT(F59:H59)=0,"", MAX(IF(ISNUMBER(F59:H59),F59:H59)) - MIN(IF(ISNUMBER(F59:H59),F59:H59)))</f>
        <v>9</v>
      </c>
      <c r="V59" s="4" t="str">
        <f>IF(U59="","",IF(U59&gt;25,"Outlier","Normal"))</f>
        <v>Normal</v>
      </c>
    </row>
    <row r="60" spans="1:22" x14ac:dyDescent="0.3">
      <c r="A60" s="1" t="s">
        <v>17</v>
      </c>
      <c r="B60" s="1" t="s">
        <v>9</v>
      </c>
      <c r="C60" s="1" t="s">
        <v>88</v>
      </c>
      <c r="D60" s="1" t="s">
        <v>11</v>
      </c>
      <c r="E60" s="1" t="s">
        <v>15</v>
      </c>
      <c r="F60" s="4">
        <v>94</v>
      </c>
      <c r="G60" s="4">
        <v>86</v>
      </c>
      <c r="H60" s="4">
        <v>87</v>
      </c>
      <c r="I60" s="4">
        <f>AVERAGE(Student­­Performance[[#This Row],[Math Score]],Student­­Performance[[#This Row],[Reading Score]],Student­­Performance[[#This Row],[Writing Score]])</f>
        <v>89</v>
      </c>
      <c r="J60" s="10" t="str">
        <f>IF(Student­­Performance[[#This Row],[Average Score]]&gt;=50,"Pass","Fail")</f>
        <v>Pass</v>
      </c>
      <c r="K6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-8</v>
      </c>
      <c r="L6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6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60" s="4">
        <f>IF(ISNUMBER(Student­­Performance[[#This Row],[Math Score]]),Student­­Performance[[#This Row],[Math Score]],0)</f>
        <v>94</v>
      </c>
      <c r="O60" s="4">
        <f>IF(ISNUMBER(Student­­Performance[[#This Row],[Reading Score]]),Student­­Performance[[#This Row],[Reading Score]],0)</f>
        <v>86</v>
      </c>
      <c r="P60" s="4">
        <f>IF(ISNUMBER(Student­­Performance[[#This Row],[Writing Score]]),Student­­Performance[[#This Row],[Writing Score]],0)</f>
        <v>87</v>
      </c>
      <c r="Q60" s="4" t="str">
        <f>IF(Student­­Performance[[#This Row],[Math Score]]&gt;=50,"Pass","Fail")</f>
        <v>Pass</v>
      </c>
      <c r="R60" s="4" t="str">
        <f>IF(Student­­Performance[[#This Row],[Reading Score]]&gt;=50,"Pass","Fail")</f>
        <v>Pass</v>
      </c>
      <c r="S60" s="4" t="str">
        <f>IF(Student­­Performance[[#This Row],[Writing Score]]&gt;=50,"Pass","Fail")</f>
        <v>Pass</v>
      </c>
      <c r="T6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267</v>
      </c>
      <c r="U60" s="4" cm="1">
        <f t="array" ref="U60">IF(COUNT(F60:H60)=0,"", MAX(IF(ISNUMBER(F60:H60),F60:H60)) - MIN(IF(ISNUMBER(F60:H60),F60:H60)))</f>
        <v>8</v>
      </c>
      <c r="V60" s="4" t="str">
        <f>IF(U60="","",IF(U60&gt;25,"Outlier","Normal"))</f>
        <v>Normal</v>
      </c>
    </row>
    <row r="61" spans="1:22" x14ac:dyDescent="0.3">
      <c r="A61" s="1" t="s">
        <v>8</v>
      </c>
      <c r="B61" s="1" t="s">
        <v>18</v>
      </c>
      <c r="C61" s="1" t="s">
        <v>88</v>
      </c>
      <c r="D61" s="1" t="s">
        <v>11</v>
      </c>
      <c r="E61" s="1" t="s">
        <v>15</v>
      </c>
      <c r="F61" s="4">
        <v>85</v>
      </c>
      <c r="G61" s="4">
        <v>90</v>
      </c>
      <c r="H61" s="4">
        <v>92</v>
      </c>
      <c r="I61" s="4">
        <f>AVERAGE(Student­­Performance[[#This Row],[Math Score]],Student­­Performance[[#This Row],[Reading Score]],Student­­Performance[[#This Row],[Writing Score]])</f>
        <v>89</v>
      </c>
      <c r="J61" s="10" t="str">
        <f>IF(Student­­Performance[[#This Row],[Average Score]]&gt;=50,"Pass","Fail")</f>
        <v>Pass</v>
      </c>
      <c r="K6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6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6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61" s="4">
        <f>IF(ISNUMBER(Student­­Performance[[#This Row],[Math Score]]),Student­­Performance[[#This Row],[Math Score]],0)</f>
        <v>85</v>
      </c>
      <c r="O61" s="4">
        <f>IF(ISNUMBER(Student­­Performance[[#This Row],[Reading Score]]),Student­­Performance[[#This Row],[Reading Score]],0)</f>
        <v>90</v>
      </c>
      <c r="P61" s="4">
        <f>IF(ISNUMBER(Student­­Performance[[#This Row],[Writing Score]]),Student­­Performance[[#This Row],[Writing Score]],0)</f>
        <v>92</v>
      </c>
      <c r="Q61" s="4" t="str">
        <f>IF(Student­­Performance[[#This Row],[Math Score]]&gt;=50,"Pass","Fail")</f>
        <v>Pass</v>
      </c>
      <c r="R61" s="4" t="str">
        <f>IF(Student­­Performance[[#This Row],[Reading Score]]&gt;=50,"Pass","Fail")</f>
        <v>Pass</v>
      </c>
      <c r="S61" s="4" t="str">
        <f>IF(Student­­Performance[[#This Row],[Writing Score]]&gt;=50,"Pass","Fail")</f>
        <v>Pass</v>
      </c>
      <c r="T6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267</v>
      </c>
      <c r="U61" s="4" cm="1">
        <f t="array" ref="U61">IF(COUNT(F61:H61)=0,"", MAX(IF(ISNUMBER(F61:H61),F61:H61)) - MIN(IF(ISNUMBER(F61:H61),F61:H61)))</f>
        <v>7</v>
      </c>
      <c r="V61" s="4" t="str">
        <f>IF(U61="","",IF(U61&gt;25,"Outlier","Normal"))</f>
        <v>Normal</v>
      </c>
    </row>
    <row r="62" spans="1:22" x14ac:dyDescent="0.3">
      <c r="A62" s="1" t="s">
        <v>17</v>
      </c>
      <c r="B62" s="1" t="s">
        <v>26</v>
      </c>
      <c r="C62" s="1" t="s">
        <v>84</v>
      </c>
      <c r="D62" s="1" t="s">
        <v>11</v>
      </c>
      <c r="E62" s="1" t="s">
        <v>12</v>
      </c>
      <c r="F62" s="4">
        <v>97</v>
      </c>
      <c r="G62" s="4">
        <v>87</v>
      </c>
      <c r="H62" s="4">
        <v>82</v>
      </c>
      <c r="I62" s="4">
        <f>AVERAGE(Student­­Performance[[#This Row],[Math Score]],Student­­Performance[[#This Row],[Reading Score]],Student­­Performance[[#This Row],[Writing Score]])</f>
        <v>88.666666666666671</v>
      </c>
      <c r="J62" s="10" t="str">
        <f>IF(Student­­Performance[[#This Row],[Average Score]]&gt;=50,"Pass","Fail")</f>
        <v>Pass</v>
      </c>
      <c r="K6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-10</v>
      </c>
      <c r="L6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6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-15</v>
      </c>
      <c r="N62" s="4">
        <f>IF(ISNUMBER(Student­­Performance[[#This Row],[Math Score]]),Student­­Performance[[#This Row],[Math Score]],0)</f>
        <v>97</v>
      </c>
      <c r="O62" s="4">
        <f>IF(ISNUMBER(Student­­Performance[[#This Row],[Reading Score]]),Student­­Performance[[#This Row],[Reading Score]],0)</f>
        <v>87</v>
      </c>
      <c r="P62" s="4">
        <f>IF(ISNUMBER(Student­­Performance[[#This Row],[Writing Score]]),Student­­Performance[[#This Row],[Writing Score]],0)</f>
        <v>82</v>
      </c>
      <c r="Q62" s="4" t="str">
        <f>IF(Student­­Performance[[#This Row],[Math Score]]&gt;=50,"Pass","Fail")</f>
        <v>Pass</v>
      </c>
      <c r="R62" s="4" t="str">
        <f>IF(Student­­Performance[[#This Row],[Reading Score]]&gt;=50,"Pass","Fail")</f>
        <v>Pass</v>
      </c>
      <c r="S62" s="4" t="str">
        <f>IF(Student­­Performance[[#This Row],[Writing Score]]&gt;=50,"Pass","Fail")</f>
        <v>Pass</v>
      </c>
      <c r="T6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266</v>
      </c>
      <c r="U62" s="4" cm="1">
        <f t="array" ref="U62">IF(COUNT(F62:H62)=0,"", MAX(IF(ISNUMBER(F62:H62),F62:H62)) - MIN(IF(ISNUMBER(F62:H62),F62:H62)))</f>
        <v>15</v>
      </c>
      <c r="V62" s="4" t="str">
        <f>IF(U62="","",IF(U62&gt;25,"Outlier","Normal"))</f>
        <v>Normal</v>
      </c>
    </row>
    <row r="63" spans="1:22" x14ac:dyDescent="0.3">
      <c r="A63" s="1" t="s">
        <v>8</v>
      </c>
      <c r="B63" s="1" t="s">
        <v>13</v>
      </c>
      <c r="C63" s="1" t="s">
        <v>84</v>
      </c>
      <c r="D63" s="1" t="s">
        <v>11</v>
      </c>
      <c r="E63" s="1" t="s">
        <v>12</v>
      </c>
      <c r="F63" s="4">
        <v>82</v>
      </c>
      <c r="G63" s="4">
        <v>90</v>
      </c>
      <c r="H63" s="4">
        <v>94</v>
      </c>
      <c r="I63" s="4">
        <f>AVERAGE(Student­­Performance[[#This Row],[Math Score]],Student­­Performance[[#This Row],[Reading Score]],Student­­Performance[[#This Row],[Writing Score]])</f>
        <v>88.666666666666671</v>
      </c>
      <c r="J63" s="10" t="str">
        <f>IF(Student­­Performance[[#This Row],[Average Score]]&gt;=50,"Pass","Fail")</f>
        <v>Pass</v>
      </c>
      <c r="K6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6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6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63" s="4">
        <f>IF(ISNUMBER(Student­­Performance[[#This Row],[Math Score]]),Student­­Performance[[#This Row],[Math Score]],0)</f>
        <v>82</v>
      </c>
      <c r="O63" s="4">
        <f>IF(ISNUMBER(Student­­Performance[[#This Row],[Reading Score]]),Student­­Performance[[#This Row],[Reading Score]],0)</f>
        <v>90</v>
      </c>
      <c r="P63" s="4">
        <f>IF(ISNUMBER(Student­­Performance[[#This Row],[Writing Score]]),Student­­Performance[[#This Row],[Writing Score]],0)</f>
        <v>94</v>
      </c>
      <c r="Q63" s="4" t="str">
        <f>IF(Student­­Performance[[#This Row],[Math Score]]&gt;=50,"Pass","Fail")</f>
        <v>Pass</v>
      </c>
      <c r="R63" s="4" t="str">
        <f>IF(Student­­Performance[[#This Row],[Reading Score]]&gt;=50,"Pass","Fail")</f>
        <v>Pass</v>
      </c>
      <c r="S63" s="4" t="str">
        <f>IF(Student­­Performance[[#This Row],[Writing Score]]&gt;=50,"Pass","Fail")</f>
        <v>Pass</v>
      </c>
      <c r="T6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266</v>
      </c>
      <c r="U63" s="4" cm="1">
        <f t="array" ref="U63">IF(COUNT(F63:H63)=0,"", MAX(IF(ISNUMBER(F63:H63),F63:H63)) - MIN(IF(ISNUMBER(F63:H63),F63:H63)))</f>
        <v>12</v>
      </c>
      <c r="V63" s="4" t="str">
        <f>IF(U63="","",IF(U63&gt;25,"Outlier","Normal"))</f>
        <v>Normal</v>
      </c>
    </row>
    <row r="64" spans="1:22" x14ac:dyDescent="0.3">
      <c r="A64" s="1" t="s">
        <v>8</v>
      </c>
      <c r="B64" s="1" t="s">
        <v>13</v>
      </c>
      <c r="C64" s="1" t="s">
        <v>83</v>
      </c>
      <c r="D64" s="1" t="s">
        <v>11</v>
      </c>
      <c r="E64" s="1" t="s">
        <v>15</v>
      </c>
      <c r="F64" s="4">
        <v>77</v>
      </c>
      <c r="G64" s="4">
        <v>94</v>
      </c>
      <c r="H64" s="4">
        <v>95</v>
      </c>
      <c r="I64" s="4">
        <f>AVERAGE(Student­­Performance[[#This Row],[Math Score]],Student­­Performance[[#This Row],[Reading Score]],Student­­Performance[[#This Row],[Writing Score]])</f>
        <v>88.666666666666671</v>
      </c>
      <c r="J64" s="10" t="str">
        <f>IF(Student­­Performance[[#This Row],[Average Score]]&gt;=50,"Pass","Fail")</f>
        <v>Pass</v>
      </c>
      <c r="K6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17</v>
      </c>
      <c r="L6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6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18</v>
      </c>
      <c r="N64" s="4">
        <f>IF(ISNUMBER(Student­­Performance[[#This Row],[Math Score]]),Student­­Performance[[#This Row],[Math Score]],0)</f>
        <v>77</v>
      </c>
      <c r="O64" s="4">
        <f>IF(ISNUMBER(Student­­Performance[[#This Row],[Reading Score]]),Student­­Performance[[#This Row],[Reading Score]],0)</f>
        <v>94</v>
      </c>
      <c r="P64" s="4">
        <f>IF(ISNUMBER(Student­­Performance[[#This Row],[Writing Score]]),Student­­Performance[[#This Row],[Writing Score]],0)</f>
        <v>95</v>
      </c>
      <c r="Q64" s="4" t="str">
        <f>IF(Student­­Performance[[#This Row],[Math Score]]&gt;=50,"Pass","Fail")</f>
        <v>Pass</v>
      </c>
      <c r="R64" s="4" t="str">
        <f>IF(Student­­Performance[[#This Row],[Reading Score]]&gt;=50,"Pass","Fail")</f>
        <v>Pass</v>
      </c>
      <c r="S64" s="4" t="str">
        <f>IF(Student­­Performance[[#This Row],[Writing Score]]&gt;=50,"Pass","Fail")</f>
        <v>Pass</v>
      </c>
      <c r="T6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266</v>
      </c>
      <c r="U64" s="4" cm="1">
        <f t="array" ref="U64">IF(COUNT(F64:H64)=0,"", MAX(IF(ISNUMBER(F64:H64),F64:H64)) - MIN(IF(ISNUMBER(F64:H64),F64:H64)))</f>
        <v>18</v>
      </c>
      <c r="V64" s="4" t="str">
        <f>IF(U64="","",IF(U64&gt;25,"Outlier","Normal"))</f>
        <v>Normal</v>
      </c>
    </row>
    <row r="65" spans="1:22" x14ac:dyDescent="0.3">
      <c r="A65" s="1" t="s">
        <v>8</v>
      </c>
      <c r="B65" s="1" t="s">
        <v>21</v>
      </c>
      <c r="C65" s="1" t="s">
        <v>86</v>
      </c>
      <c r="D65" s="1" t="s">
        <v>11</v>
      </c>
      <c r="E65" s="1" t="s">
        <v>12</v>
      </c>
      <c r="F65" s="4">
        <v>82</v>
      </c>
      <c r="G65" s="4">
        <v>95</v>
      </c>
      <c r="H65" s="4">
        <v>89</v>
      </c>
      <c r="I65" s="4">
        <f>AVERAGE(Student­­Performance[[#This Row],[Math Score]],Student­­Performance[[#This Row],[Reading Score]],Student­­Performance[[#This Row],[Writing Score]])</f>
        <v>88.666666666666671</v>
      </c>
      <c r="J65" s="10" t="str">
        <f>IF(Student­­Performance[[#This Row],[Average Score]]&gt;=50,"Pass","Fail")</f>
        <v>Pass</v>
      </c>
      <c r="K6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13</v>
      </c>
      <c r="L6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6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65" s="4">
        <f>IF(ISNUMBER(Student­­Performance[[#This Row],[Math Score]]),Student­­Performance[[#This Row],[Math Score]],0)</f>
        <v>82</v>
      </c>
      <c r="O65" s="4">
        <f>IF(ISNUMBER(Student­­Performance[[#This Row],[Reading Score]]),Student­­Performance[[#This Row],[Reading Score]],0)</f>
        <v>95</v>
      </c>
      <c r="P65" s="4">
        <f>IF(ISNUMBER(Student­­Performance[[#This Row],[Writing Score]]),Student­­Performance[[#This Row],[Writing Score]],0)</f>
        <v>89</v>
      </c>
      <c r="Q65" s="4" t="str">
        <f>IF(Student­­Performance[[#This Row],[Math Score]]&gt;=50,"Pass","Fail")</f>
        <v>Pass</v>
      </c>
      <c r="R65" s="4" t="str">
        <f>IF(Student­­Performance[[#This Row],[Reading Score]]&gt;=50,"Pass","Fail")</f>
        <v>Pass</v>
      </c>
      <c r="S65" s="4" t="str">
        <f>IF(Student­­Performance[[#This Row],[Writing Score]]&gt;=50,"Pass","Fail")</f>
        <v>Pass</v>
      </c>
      <c r="T6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266</v>
      </c>
      <c r="U65" s="4" cm="1">
        <f t="array" ref="U65">IF(COUNT(F65:H65)=0,"", MAX(IF(ISNUMBER(F65:H65),F65:H65)) - MIN(IF(ISNUMBER(F65:H65),F65:H65)))</f>
        <v>13</v>
      </c>
      <c r="V65" s="4" t="str">
        <f>IF(U65="","",IF(U65&gt;25,"Outlier","Normal"))</f>
        <v>Normal</v>
      </c>
    </row>
    <row r="66" spans="1:22" x14ac:dyDescent="0.3">
      <c r="A66" s="1" t="s">
        <v>17</v>
      </c>
      <c r="B66" s="1" t="s">
        <v>26</v>
      </c>
      <c r="C66" s="1" t="s">
        <v>84</v>
      </c>
      <c r="D66" s="1" t="s">
        <v>20</v>
      </c>
      <c r="E66" s="1" t="s">
        <v>12</v>
      </c>
      <c r="F66" s="4">
        <v>93</v>
      </c>
      <c r="G66" s="4">
        <v>90</v>
      </c>
      <c r="H66" s="4">
        <v>83</v>
      </c>
      <c r="I66" s="4">
        <f>AVERAGE(Student­­Performance[[#This Row],[Math Score]],Student­­Performance[[#This Row],[Reading Score]],Student­­Performance[[#This Row],[Writing Score]])</f>
        <v>88.666666666666671</v>
      </c>
      <c r="J66" s="10" t="str">
        <f>IF(Student­­Performance[[#This Row],[Average Score]]&gt;=50,"Pass","Fail")</f>
        <v>Pass</v>
      </c>
      <c r="K6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6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6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-10</v>
      </c>
      <c r="N66" s="4">
        <f>IF(ISNUMBER(Student­­Performance[[#This Row],[Math Score]]),Student­­Performance[[#This Row],[Math Score]],0)</f>
        <v>93</v>
      </c>
      <c r="O66" s="4">
        <f>IF(ISNUMBER(Student­­Performance[[#This Row],[Reading Score]]),Student­­Performance[[#This Row],[Reading Score]],0)</f>
        <v>90</v>
      </c>
      <c r="P66" s="4">
        <f>IF(ISNUMBER(Student­­Performance[[#This Row],[Writing Score]]),Student­­Performance[[#This Row],[Writing Score]],0)</f>
        <v>83</v>
      </c>
      <c r="Q66" s="4" t="str">
        <f>IF(Student­­Performance[[#This Row],[Math Score]]&gt;=50,"Pass","Fail")</f>
        <v>Pass</v>
      </c>
      <c r="R66" s="4" t="str">
        <f>IF(Student­­Performance[[#This Row],[Reading Score]]&gt;=50,"Pass","Fail")</f>
        <v>Pass</v>
      </c>
      <c r="S66" s="4" t="str">
        <f>IF(Student­­Performance[[#This Row],[Writing Score]]&gt;=50,"Pass","Fail")</f>
        <v>Pass</v>
      </c>
      <c r="T6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266</v>
      </c>
      <c r="U66" s="4" cm="1">
        <f t="array" ref="U66">IF(COUNT(F66:H66)=0,"", MAX(IF(ISNUMBER(F66:H66),F66:H66)) - MIN(IF(ISNUMBER(F66:H66),F66:H66)))</f>
        <v>10</v>
      </c>
      <c r="V66" s="4" t="str">
        <f>IF(U66="","",IF(U66&gt;25,"Outlier","Normal"))</f>
        <v>Normal</v>
      </c>
    </row>
    <row r="67" spans="1:22" x14ac:dyDescent="0.3">
      <c r="A67" s="1" t="s">
        <v>8</v>
      </c>
      <c r="B67" s="1" t="s">
        <v>21</v>
      </c>
      <c r="C67" s="1" t="s">
        <v>86</v>
      </c>
      <c r="D67" s="1" t="s">
        <v>11</v>
      </c>
      <c r="E67" s="1" t="s">
        <v>12</v>
      </c>
      <c r="F67" s="4">
        <v>85</v>
      </c>
      <c r="G67" s="4">
        <v>91</v>
      </c>
      <c r="H67" s="4">
        <v>89</v>
      </c>
      <c r="I67" s="4">
        <f>AVERAGE(Student­­Performance[[#This Row],[Math Score]],Student­­Performance[[#This Row],[Reading Score]],Student­­Performance[[#This Row],[Writing Score]])</f>
        <v>88.333333333333329</v>
      </c>
      <c r="J67" s="10" t="str">
        <f>IF(Student­­Performance[[#This Row],[Average Score]]&gt;=50,"Pass","Fail")</f>
        <v>Pass</v>
      </c>
      <c r="K6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6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6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67" s="4">
        <f>IF(ISNUMBER(Student­­Performance[[#This Row],[Math Score]]),Student­­Performance[[#This Row],[Math Score]],0)</f>
        <v>85</v>
      </c>
      <c r="O67" s="4">
        <f>IF(ISNUMBER(Student­­Performance[[#This Row],[Reading Score]]),Student­­Performance[[#This Row],[Reading Score]],0)</f>
        <v>91</v>
      </c>
      <c r="P67" s="4">
        <f>IF(ISNUMBER(Student­­Performance[[#This Row],[Writing Score]]),Student­­Performance[[#This Row],[Writing Score]],0)</f>
        <v>89</v>
      </c>
      <c r="Q67" s="4" t="str">
        <f>IF(Student­­Performance[[#This Row],[Math Score]]&gt;=50,"Pass","Fail")</f>
        <v>Pass</v>
      </c>
      <c r="R67" s="4" t="str">
        <f>IF(Student­­Performance[[#This Row],[Reading Score]]&gt;=50,"Pass","Fail")</f>
        <v>Pass</v>
      </c>
      <c r="S67" s="4" t="str">
        <f>IF(Student­­Performance[[#This Row],[Writing Score]]&gt;=50,"Pass","Fail")</f>
        <v>Pass</v>
      </c>
      <c r="T6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265</v>
      </c>
      <c r="U67" s="4" cm="1">
        <f t="array" ref="U67">IF(COUNT(F67:H67)=0,"", MAX(IF(ISNUMBER(F67:H67),F67:H67)) - MIN(IF(ISNUMBER(F67:H67),F67:H67)))</f>
        <v>6</v>
      </c>
      <c r="V67" s="4" t="str">
        <f>IF(U67="","",IF(U67&gt;25,"Outlier","Normal"))</f>
        <v>Normal</v>
      </c>
    </row>
    <row r="68" spans="1:22" x14ac:dyDescent="0.3">
      <c r="A68" s="1" t="s">
        <v>8</v>
      </c>
      <c r="B68" s="1" t="s">
        <v>13</v>
      </c>
      <c r="C68" s="1" t="s">
        <v>83</v>
      </c>
      <c r="D68" s="1" t="s">
        <v>11</v>
      </c>
      <c r="E68" s="1" t="s">
        <v>12</v>
      </c>
      <c r="F68" s="4">
        <v>86</v>
      </c>
      <c r="G68" s="4">
        <v>92</v>
      </c>
      <c r="H68" s="4">
        <v>87</v>
      </c>
      <c r="I68" s="4">
        <f>AVERAGE(Student­­Performance[[#This Row],[Math Score]],Student­­Performance[[#This Row],[Reading Score]],Student­­Performance[[#This Row],[Writing Score]])</f>
        <v>88.333333333333329</v>
      </c>
      <c r="J68" s="10" t="str">
        <f>IF(Student­­Performance[[#This Row],[Average Score]]&gt;=50,"Pass","Fail")</f>
        <v>Pass</v>
      </c>
      <c r="K6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6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6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68" s="4">
        <f>IF(ISNUMBER(Student­­Performance[[#This Row],[Math Score]]),Student­­Performance[[#This Row],[Math Score]],0)</f>
        <v>86</v>
      </c>
      <c r="O68" s="4">
        <f>IF(ISNUMBER(Student­­Performance[[#This Row],[Reading Score]]),Student­­Performance[[#This Row],[Reading Score]],0)</f>
        <v>92</v>
      </c>
      <c r="P68" s="4">
        <f>IF(ISNUMBER(Student­­Performance[[#This Row],[Writing Score]]),Student­­Performance[[#This Row],[Writing Score]],0)</f>
        <v>87</v>
      </c>
      <c r="Q68" s="4" t="str">
        <f>IF(Student­­Performance[[#This Row],[Math Score]]&gt;=50,"Pass","Fail")</f>
        <v>Pass</v>
      </c>
      <c r="R68" s="4" t="str">
        <f>IF(Student­­Performance[[#This Row],[Reading Score]]&gt;=50,"Pass","Fail")</f>
        <v>Pass</v>
      </c>
      <c r="S68" s="4" t="str">
        <f>IF(Student­­Performance[[#This Row],[Writing Score]]&gt;=50,"Pass","Fail")</f>
        <v>Pass</v>
      </c>
      <c r="T6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265</v>
      </c>
      <c r="U68" s="4" cm="1">
        <f t="array" ref="U68">IF(COUNT(F68:H68)=0,"", MAX(IF(ISNUMBER(F68:H68),F68:H68)) - MIN(IF(ISNUMBER(F68:H68),F68:H68)))</f>
        <v>6</v>
      </c>
      <c r="V68" s="4" t="str">
        <f>IF(U68="","",IF(U68&gt;25,"Outlier","Normal"))</f>
        <v>Normal</v>
      </c>
    </row>
    <row r="69" spans="1:22" x14ac:dyDescent="0.3">
      <c r="A69" s="1" t="s">
        <v>17</v>
      </c>
      <c r="B69" s="1" t="s">
        <v>9</v>
      </c>
      <c r="C69" s="1" t="s">
        <v>83</v>
      </c>
      <c r="D69" s="1" t="s">
        <v>20</v>
      </c>
      <c r="E69" s="1" t="s">
        <v>15</v>
      </c>
      <c r="F69" s="4">
        <v>87</v>
      </c>
      <c r="G69" s="4">
        <v>90</v>
      </c>
      <c r="H69" s="4">
        <v>88</v>
      </c>
      <c r="I69" s="4">
        <f>AVERAGE(Student­­Performance[[#This Row],[Math Score]],Student­­Performance[[#This Row],[Reading Score]],Student­­Performance[[#This Row],[Writing Score]])</f>
        <v>88.333333333333329</v>
      </c>
      <c r="J69" s="10" t="str">
        <f>IF(Student­­Performance[[#This Row],[Average Score]]&gt;=50,"Pass","Fail")</f>
        <v>Pass</v>
      </c>
      <c r="K6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6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6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69" s="4">
        <f>IF(ISNUMBER(Student­­Performance[[#This Row],[Math Score]]),Student­­Performance[[#This Row],[Math Score]],0)</f>
        <v>87</v>
      </c>
      <c r="O69" s="4">
        <f>IF(ISNUMBER(Student­­Performance[[#This Row],[Reading Score]]),Student­­Performance[[#This Row],[Reading Score]],0)</f>
        <v>90</v>
      </c>
      <c r="P69" s="4">
        <f>IF(ISNUMBER(Student­­Performance[[#This Row],[Writing Score]]),Student­­Performance[[#This Row],[Writing Score]],0)</f>
        <v>88</v>
      </c>
      <c r="Q69" s="4" t="str">
        <f>IF(Student­­Performance[[#This Row],[Math Score]]&gt;=50,"Pass","Fail")</f>
        <v>Pass</v>
      </c>
      <c r="R69" s="4" t="str">
        <f>IF(Student­­Performance[[#This Row],[Reading Score]]&gt;=50,"Pass","Fail")</f>
        <v>Pass</v>
      </c>
      <c r="S69" s="4" t="str">
        <f>IF(Student­­Performance[[#This Row],[Writing Score]]&gt;=50,"Pass","Fail")</f>
        <v>Pass</v>
      </c>
      <c r="T6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265</v>
      </c>
      <c r="U69" s="4" cm="1">
        <f t="array" ref="U69">IF(COUNT(F69:H69)=0,"", MAX(IF(ISNUMBER(F69:H69),F69:H69)) - MIN(IF(ISNUMBER(F69:H69),F69:H69)))</f>
        <v>3</v>
      </c>
      <c r="V69" s="4" t="str">
        <f>IF(U69="","",IF(U69&gt;25,"Outlier","Normal"))</f>
        <v>Normal</v>
      </c>
    </row>
    <row r="70" spans="1:22" x14ac:dyDescent="0.3">
      <c r="A70" s="1" t="s">
        <v>8</v>
      </c>
      <c r="B70" s="1" t="s">
        <v>26</v>
      </c>
      <c r="C70" s="1" t="s">
        <v>84</v>
      </c>
      <c r="D70" s="1" t="s">
        <v>11</v>
      </c>
      <c r="E70" s="1" t="s">
        <v>12</v>
      </c>
      <c r="F70" s="4">
        <v>87</v>
      </c>
      <c r="G70" s="4">
        <v>85</v>
      </c>
      <c r="H70" s="4">
        <v>93</v>
      </c>
      <c r="I70" s="4">
        <f>AVERAGE(Student­­Performance[[#This Row],[Math Score]],Student­­Performance[[#This Row],[Reading Score]],Student­­Performance[[#This Row],[Writing Score]])</f>
        <v>88.333333333333329</v>
      </c>
      <c r="J70" s="10" t="str">
        <f>IF(Student­­Performance[[#This Row],[Average Score]]&gt;=50,"Pass","Fail")</f>
        <v>Pass</v>
      </c>
      <c r="K7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</v>
      </c>
      <c r="L7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8</v>
      </c>
      <c r="M7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70" s="4">
        <f>IF(ISNUMBER(Student­­Performance[[#This Row],[Math Score]]),Student­­Performance[[#This Row],[Math Score]],0)</f>
        <v>87</v>
      </c>
      <c r="O70" s="4">
        <f>IF(ISNUMBER(Student­­Performance[[#This Row],[Reading Score]]),Student­­Performance[[#This Row],[Reading Score]],0)</f>
        <v>85</v>
      </c>
      <c r="P70" s="4">
        <f>IF(ISNUMBER(Student­­Performance[[#This Row],[Writing Score]]),Student­­Performance[[#This Row],[Writing Score]],0)</f>
        <v>93</v>
      </c>
      <c r="Q70" s="4" t="str">
        <f>IF(Student­­Performance[[#This Row],[Math Score]]&gt;=50,"Pass","Fail")</f>
        <v>Pass</v>
      </c>
      <c r="R70" s="4" t="str">
        <f>IF(Student­­Performance[[#This Row],[Reading Score]]&gt;=50,"Pass","Fail")</f>
        <v>Pass</v>
      </c>
      <c r="S70" s="4" t="str">
        <f>IF(Student­­Performance[[#This Row],[Writing Score]]&gt;=50,"Pass","Fail")</f>
        <v>Pass</v>
      </c>
      <c r="T7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265</v>
      </c>
      <c r="U70" s="4" cm="1">
        <f t="array" ref="U70">IF(COUNT(F70:H70)=0,"", MAX(IF(ISNUMBER(F70:H70),F70:H70)) - MIN(IF(ISNUMBER(F70:H70),F70:H70)))</f>
        <v>8</v>
      </c>
      <c r="V70" s="4" t="str">
        <f>IF(U70="","",IF(U70&gt;25,"Outlier","Normal"))</f>
        <v>Normal</v>
      </c>
    </row>
    <row r="71" spans="1:22" x14ac:dyDescent="0.3">
      <c r="A71" s="1" t="s">
        <v>8</v>
      </c>
      <c r="B71" s="1" t="s">
        <v>21</v>
      </c>
      <c r="C71" s="1" t="s">
        <v>85</v>
      </c>
      <c r="D71" s="1" t="s">
        <v>11</v>
      </c>
      <c r="E71" s="1" t="s">
        <v>12</v>
      </c>
      <c r="F71" s="4">
        <v>78</v>
      </c>
      <c r="G71" s="4">
        <v>91</v>
      </c>
      <c r="H71" s="4">
        <v>96</v>
      </c>
      <c r="I71" s="4">
        <f>AVERAGE(Student­­Performance[[#This Row],[Math Score]],Student­­Performance[[#This Row],[Reading Score]],Student­­Performance[[#This Row],[Writing Score]])</f>
        <v>88.333333333333329</v>
      </c>
      <c r="J71" s="10" t="str">
        <f>IF(Student­­Performance[[#This Row],[Average Score]]&gt;=50,"Pass","Fail")</f>
        <v>Pass</v>
      </c>
      <c r="K7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13</v>
      </c>
      <c r="L7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7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18</v>
      </c>
      <c r="N71" s="4">
        <f>IF(ISNUMBER(Student­­Performance[[#This Row],[Math Score]]),Student­­Performance[[#This Row],[Math Score]],0)</f>
        <v>78</v>
      </c>
      <c r="O71" s="4">
        <f>IF(ISNUMBER(Student­­Performance[[#This Row],[Reading Score]]),Student­­Performance[[#This Row],[Reading Score]],0)</f>
        <v>91</v>
      </c>
      <c r="P71" s="4">
        <f>IF(ISNUMBER(Student­­Performance[[#This Row],[Writing Score]]),Student­­Performance[[#This Row],[Writing Score]],0)</f>
        <v>96</v>
      </c>
      <c r="Q71" s="4" t="str">
        <f>IF(Student­­Performance[[#This Row],[Math Score]]&gt;=50,"Pass","Fail")</f>
        <v>Pass</v>
      </c>
      <c r="R71" s="4" t="str">
        <f>IF(Student­­Performance[[#This Row],[Reading Score]]&gt;=50,"Pass","Fail")</f>
        <v>Pass</v>
      </c>
      <c r="S71" s="4" t="str">
        <f>IF(Student­­Performance[[#This Row],[Writing Score]]&gt;=50,"Pass","Fail")</f>
        <v>Pass</v>
      </c>
      <c r="T7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265</v>
      </c>
      <c r="U71" s="4" cm="1">
        <f t="array" ref="U71">IF(COUNT(F71:H71)=0,"", MAX(IF(ISNUMBER(F71:H71),F71:H71)) - MIN(IF(ISNUMBER(F71:H71),F71:H71)))</f>
        <v>18</v>
      </c>
      <c r="V71" s="4" t="str">
        <f>IF(U71="","",IF(U71&gt;25,"Outlier","Normal"))</f>
        <v>Normal</v>
      </c>
    </row>
    <row r="72" spans="1:22" x14ac:dyDescent="0.3">
      <c r="A72" s="1" t="s">
        <v>8</v>
      </c>
      <c r="B72" s="1" t="s">
        <v>21</v>
      </c>
      <c r="C72" s="1" t="s">
        <v>86</v>
      </c>
      <c r="D72" s="1" t="s">
        <v>20</v>
      </c>
      <c r="E72" s="1" t="s">
        <v>15</v>
      </c>
      <c r="F72" s="4">
        <v>77</v>
      </c>
      <c r="G72" s="4">
        <v>89</v>
      </c>
      <c r="H72" s="4">
        <v>98</v>
      </c>
      <c r="I72" s="4">
        <f>AVERAGE(Student­­Performance[[#This Row],[Math Score]],Student­­Performance[[#This Row],[Reading Score]],Student­­Performance[[#This Row],[Writing Score]])</f>
        <v>88</v>
      </c>
      <c r="J72" s="10" t="str">
        <f>IF(Student­­Performance[[#This Row],[Average Score]]&gt;=50,"Pass","Fail")</f>
        <v>Pass</v>
      </c>
      <c r="K7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7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9</v>
      </c>
      <c r="M7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21</v>
      </c>
      <c r="N72" s="4">
        <f>IF(ISNUMBER(Student­­Performance[[#This Row],[Math Score]]),Student­­Performance[[#This Row],[Math Score]],0)</f>
        <v>77</v>
      </c>
      <c r="O72" s="4">
        <f>IF(ISNUMBER(Student­­Performance[[#This Row],[Reading Score]]),Student­­Performance[[#This Row],[Reading Score]],0)</f>
        <v>89</v>
      </c>
      <c r="P72" s="4">
        <f>IF(ISNUMBER(Student­­Performance[[#This Row],[Writing Score]]),Student­­Performance[[#This Row],[Writing Score]],0)</f>
        <v>98</v>
      </c>
      <c r="Q72" s="4" t="str">
        <f>IF(Student­­Performance[[#This Row],[Math Score]]&gt;=50,"Pass","Fail")</f>
        <v>Pass</v>
      </c>
      <c r="R72" s="4" t="str">
        <f>IF(Student­­Performance[[#This Row],[Reading Score]]&gt;=50,"Pass","Fail")</f>
        <v>Pass</v>
      </c>
      <c r="S72" s="4" t="str">
        <f>IF(Student­­Performance[[#This Row],[Writing Score]]&gt;=50,"Pass","Fail")</f>
        <v>Pass</v>
      </c>
      <c r="T7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264</v>
      </c>
      <c r="U72" s="4" cm="1">
        <f t="array" ref="U72">IF(COUNT(F72:H72)=0,"", MAX(IF(ISNUMBER(F72:H72),F72:H72)) - MIN(IF(ISNUMBER(F72:H72),F72:H72)))</f>
        <v>21</v>
      </c>
      <c r="V72" s="4" t="str">
        <f>IF(U72="","",IF(U72&gt;25,"Outlier","Normal"))</f>
        <v>Normal</v>
      </c>
    </row>
    <row r="73" spans="1:22" x14ac:dyDescent="0.3">
      <c r="A73" s="1" t="s">
        <v>8</v>
      </c>
      <c r="B73" s="1" t="s">
        <v>26</v>
      </c>
      <c r="C73" s="1" t="s">
        <v>85</v>
      </c>
      <c r="D73" s="1" t="s">
        <v>11</v>
      </c>
      <c r="E73" s="1" t="s">
        <v>12</v>
      </c>
      <c r="F73" s="4">
        <v>81</v>
      </c>
      <c r="G73" s="4">
        <v>92</v>
      </c>
      <c r="H73" s="4">
        <v>91</v>
      </c>
      <c r="I73" s="4">
        <f>AVERAGE(Student­­Performance[[#This Row],[Math Score]],Student­­Performance[[#This Row],[Reading Score]],Student­­Performance[[#This Row],[Writing Score]])</f>
        <v>88</v>
      </c>
      <c r="J73" s="10" t="str">
        <f>IF(Student­­Performance[[#This Row],[Average Score]]&gt;=50,"Pass","Fail")</f>
        <v>Pass</v>
      </c>
      <c r="K7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7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7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73" s="4">
        <f>IF(ISNUMBER(Student­­Performance[[#This Row],[Math Score]]),Student­­Performance[[#This Row],[Math Score]],0)</f>
        <v>81</v>
      </c>
      <c r="O73" s="4">
        <f>IF(ISNUMBER(Student­­Performance[[#This Row],[Reading Score]]),Student­­Performance[[#This Row],[Reading Score]],0)</f>
        <v>92</v>
      </c>
      <c r="P73" s="4">
        <f>IF(ISNUMBER(Student­­Performance[[#This Row],[Writing Score]]),Student­­Performance[[#This Row],[Writing Score]],0)</f>
        <v>91</v>
      </c>
      <c r="Q73" s="4" t="str">
        <f>IF(Student­­Performance[[#This Row],[Math Score]]&gt;=50,"Pass","Fail")</f>
        <v>Pass</v>
      </c>
      <c r="R73" s="4" t="str">
        <f>IF(Student­­Performance[[#This Row],[Reading Score]]&gt;=50,"Pass","Fail")</f>
        <v>Pass</v>
      </c>
      <c r="S73" s="4" t="str">
        <f>IF(Student­­Performance[[#This Row],[Writing Score]]&gt;=50,"Pass","Fail")</f>
        <v>Pass</v>
      </c>
      <c r="T7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264</v>
      </c>
      <c r="U73" s="4" cm="1">
        <f t="array" ref="U73">IF(COUNT(F73:H73)=0,"", MAX(IF(ISNUMBER(F73:H73),F73:H73)) - MIN(IF(ISNUMBER(F73:H73),F73:H73)))</f>
        <v>11</v>
      </c>
      <c r="V73" s="4" t="str">
        <f>IF(U73="","",IF(U73&gt;25,"Outlier","Normal"))</f>
        <v>Normal</v>
      </c>
    </row>
    <row r="74" spans="1:22" x14ac:dyDescent="0.3">
      <c r="A74" s="1" t="s">
        <v>17</v>
      </c>
      <c r="B74" s="1" t="s">
        <v>13</v>
      </c>
      <c r="C74" s="1" t="s">
        <v>87</v>
      </c>
      <c r="D74" s="1" t="s">
        <v>11</v>
      </c>
      <c r="E74" s="1" t="s">
        <v>12</v>
      </c>
      <c r="F74" s="4">
        <v>88</v>
      </c>
      <c r="G74" s="4">
        <v>89</v>
      </c>
      <c r="H74" s="4">
        <v>86</v>
      </c>
      <c r="I74" s="4">
        <f>AVERAGE(Student­­Performance[[#This Row],[Math Score]],Student­­Performance[[#This Row],[Reading Score]],Student­­Performance[[#This Row],[Writing Score]])</f>
        <v>87.666666666666671</v>
      </c>
      <c r="J74" s="10" t="str">
        <f>IF(Student­­Performance[[#This Row],[Average Score]]&gt;=50,"Pass","Fail")</f>
        <v>Pass</v>
      </c>
      <c r="K7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7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7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74" s="4">
        <f>IF(ISNUMBER(Student­­Performance[[#This Row],[Math Score]]),Student­­Performance[[#This Row],[Math Score]],0)</f>
        <v>88</v>
      </c>
      <c r="O74" s="4">
        <f>IF(ISNUMBER(Student­­Performance[[#This Row],[Reading Score]]),Student­­Performance[[#This Row],[Reading Score]],0)</f>
        <v>89</v>
      </c>
      <c r="P74" s="4">
        <f>IF(ISNUMBER(Student­­Performance[[#This Row],[Writing Score]]),Student­­Performance[[#This Row],[Writing Score]],0)</f>
        <v>86</v>
      </c>
      <c r="Q74" s="4" t="str">
        <f>IF(Student­­Performance[[#This Row],[Math Score]]&gt;=50,"Pass","Fail")</f>
        <v>Pass</v>
      </c>
      <c r="R74" s="4" t="str">
        <f>IF(Student­­Performance[[#This Row],[Reading Score]]&gt;=50,"Pass","Fail")</f>
        <v>Pass</v>
      </c>
      <c r="S74" s="4" t="str">
        <f>IF(Student­­Performance[[#This Row],[Writing Score]]&gt;=50,"Pass","Fail")</f>
        <v>Pass</v>
      </c>
      <c r="T7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263</v>
      </c>
      <c r="U74" s="4" cm="1">
        <f t="array" ref="U74">IF(COUNT(F74:H74)=0,"", MAX(IF(ISNUMBER(F74:H74),F74:H74)) - MIN(IF(ISNUMBER(F74:H74),F74:H74)))</f>
        <v>3</v>
      </c>
      <c r="V74" s="4" t="str">
        <f>IF(U74="","",IF(U74&gt;25,"Outlier","Normal"))</f>
        <v>Normal</v>
      </c>
    </row>
    <row r="75" spans="1:22" x14ac:dyDescent="0.3">
      <c r="A75" s="1" t="s">
        <v>17</v>
      </c>
      <c r="B75" s="1" t="s">
        <v>21</v>
      </c>
      <c r="C75" s="1" t="s">
        <v>85</v>
      </c>
      <c r="D75" s="1" t="s">
        <v>20</v>
      </c>
      <c r="E75" s="1" t="s">
        <v>15</v>
      </c>
      <c r="F75" s="4">
        <v>84</v>
      </c>
      <c r="G75" s="4">
        <v>89</v>
      </c>
      <c r="H75" s="4">
        <v>90</v>
      </c>
      <c r="I75" s="4">
        <f>AVERAGE(Student­­Performance[[#This Row],[Math Score]],Student­­Performance[[#This Row],[Reading Score]],Student­­Performance[[#This Row],[Writing Score]])</f>
        <v>87.666666666666671</v>
      </c>
      <c r="J75" s="10" t="str">
        <f>IF(Student­­Performance[[#This Row],[Average Score]]&gt;=50,"Pass","Fail")</f>
        <v>Pass</v>
      </c>
      <c r="K7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7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7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75" s="4">
        <f>IF(ISNUMBER(Student­­Performance[[#This Row],[Math Score]]),Student­­Performance[[#This Row],[Math Score]],0)</f>
        <v>84</v>
      </c>
      <c r="O75" s="4">
        <f>IF(ISNUMBER(Student­­Performance[[#This Row],[Reading Score]]),Student­­Performance[[#This Row],[Reading Score]],0)</f>
        <v>89</v>
      </c>
      <c r="P75" s="4">
        <f>IF(ISNUMBER(Student­­Performance[[#This Row],[Writing Score]]),Student­­Performance[[#This Row],[Writing Score]],0)</f>
        <v>90</v>
      </c>
      <c r="Q75" s="4" t="str">
        <f>IF(Student­­Performance[[#This Row],[Math Score]]&gt;=50,"Pass","Fail")</f>
        <v>Pass</v>
      </c>
      <c r="R75" s="4" t="str">
        <f>IF(Student­­Performance[[#This Row],[Reading Score]]&gt;=50,"Pass","Fail")</f>
        <v>Pass</v>
      </c>
      <c r="S75" s="4" t="str">
        <f>IF(Student­­Performance[[#This Row],[Writing Score]]&gt;=50,"Pass","Fail")</f>
        <v>Pass</v>
      </c>
      <c r="T7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263</v>
      </c>
      <c r="U75" s="4" cm="1">
        <f t="array" ref="U75">IF(COUNT(F75:H75)=0,"", MAX(IF(ISNUMBER(F75:H75),F75:H75)) - MIN(IF(ISNUMBER(F75:H75),F75:H75)))</f>
        <v>6</v>
      </c>
      <c r="V75" s="4" t="str">
        <f>IF(U75="","",IF(U75&gt;25,"Outlier","Normal"))</f>
        <v>Normal</v>
      </c>
    </row>
    <row r="76" spans="1:22" x14ac:dyDescent="0.3">
      <c r="A76" s="1" t="s">
        <v>8</v>
      </c>
      <c r="B76" s="1" t="s">
        <v>13</v>
      </c>
      <c r="C76" s="1" t="s">
        <v>84</v>
      </c>
      <c r="D76" s="1" t="s">
        <v>11</v>
      </c>
      <c r="E76" s="1" t="s">
        <v>12</v>
      </c>
      <c r="F76" s="4">
        <v>84</v>
      </c>
      <c r="G76" s="4">
        <v>87</v>
      </c>
      <c r="H76" s="4">
        <v>91</v>
      </c>
      <c r="I76" s="4">
        <f>AVERAGE(Student­­Performance[[#This Row],[Math Score]],Student­­Performance[[#This Row],[Reading Score]],Student­­Performance[[#This Row],[Writing Score]])</f>
        <v>87.333333333333329</v>
      </c>
      <c r="J76" s="10" t="str">
        <f>IF(Student­­Performance[[#This Row],[Average Score]]&gt;=50,"Pass","Fail")</f>
        <v>Pass</v>
      </c>
      <c r="K7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7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7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76" s="4">
        <f>IF(ISNUMBER(Student­­Performance[[#This Row],[Math Score]]),Student­­Performance[[#This Row],[Math Score]],0)</f>
        <v>84</v>
      </c>
      <c r="O76" s="4">
        <f>IF(ISNUMBER(Student­­Performance[[#This Row],[Reading Score]]),Student­­Performance[[#This Row],[Reading Score]],0)</f>
        <v>87</v>
      </c>
      <c r="P76" s="4">
        <f>IF(ISNUMBER(Student­­Performance[[#This Row],[Writing Score]]),Student­­Performance[[#This Row],[Writing Score]],0)</f>
        <v>91</v>
      </c>
      <c r="Q76" s="4" t="str">
        <f>IF(Student­­Performance[[#This Row],[Math Score]]&gt;=50,"Pass","Fail")</f>
        <v>Pass</v>
      </c>
      <c r="R76" s="4" t="str">
        <f>IF(Student­­Performance[[#This Row],[Reading Score]]&gt;=50,"Pass","Fail")</f>
        <v>Pass</v>
      </c>
      <c r="S76" s="4" t="str">
        <f>IF(Student­­Performance[[#This Row],[Writing Score]]&gt;=50,"Pass","Fail")</f>
        <v>Pass</v>
      </c>
      <c r="T7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262</v>
      </c>
      <c r="U76" s="4" cm="1">
        <f t="array" ref="U76">IF(COUNT(F76:H76)=0,"", MAX(IF(ISNUMBER(F76:H76),F76:H76)) - MIN(IF(ISNUMBER(F76:H76),F76:H76)))</f>
        <v>7</v>
      </c>
      <c r="V76" s="4" t="str">
        <f>IF(U76="","",IF(U76&gt;25,"Outlier","Normal"))</f>
        <v>Normal</v>
      </c>
    </row>
    <row r="77" spans="1:22" x14ac:dyDescent="0.3">
      <c r="A77" s="1" t="s">
        <v>17</v>
      </c>
      <c r="B77" s="1" t="s">
        <v>21</v>
      </c>
      <c r="C77" s="1" t="s">
        <v>86</v>
      </c>
      <c r="D77" s="1" t="s">
        <v>11</v>
      </c>
      <c r="E77" s="1" t="s">
        <v>12</v>
      </c>
      <c r="F77" s="4">
        <v>90</v>
      </c>
      <c r="G77" s="4">
        <v>87</v>
      </c>
      <c r="H77" s="4">
        <v>85</v>
      </c>
      <c r="I77" s="4">
        <f>AVERAGE(Student­­Performance[[#This Row],[Math Score]],Student­­Performance[[#This Row],[Reading Score]],Student­­Performance[[#This Row],[Writing Score]])</f>
        <v>87.333333333333329</v>
      </c>
      <c r="J77" s="10" t="str">
        <f>IF(Student­­Performance[[#This Row],[Average Score]]&gt;=50,"Pass","Fail")</f>
        <v>Pass</v>
      </c>
      <c r="K7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7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7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-5</v>
      </c>
      <c r="N77" s="4">
        <f>IF(ISNUMBER(Student­­Performance[[#This Row],[Math Score]]),Student­­Performance[[#This Row],[Math Score]],0)</f>
        <v>90</v>
      </c>
      <c r="O77" s="4">
        <f>IF(ISNUMBER(Student­­Performance[[#This Row],[Reading Score]]),Student­­Performance[[#This Row],[Reading Score]],0)</f>
        <v>87</v>
      </c>
      <c r="P77" s="4">
        <f>IF(ISNUMBER(Student­­Performance[[#This Row],[Writing Score]]),Student­­Performance[[#This Row],[Writing Score]],0)</f>
        <v>85</v>
      </c>
      <c r="Q77" s="4" t="str">
        <f>IF(Student­­Performance[[#This Row],[Math Score]]&gt;=50,"Pass","Fail")</f>
        <v>Pass</v>
      </c>
      <c r="R77" s="4" t="str">
        <f>IF(Student­­Performance[[#This Row],[Reading Score]]&gt;=50,"Pass","Fail")</f>
        <v>Pass</v>
      </c>
      <c r="S77" s="4" t="str">
        <f>IF(Student­­Performance[[#This Row],[Writing Score]]&gt;=50,"Pass","Fail")</f>
        <v>Pass</v>
      </c>
      <c r="T7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262</v>
      </c>
      <c r="U77" s="4" cm="1">
        <f t="array" ref="U77">IF(COUNT(F77:H77)=0,"", MAX(IF(ISNUMBER(F77:H77),F77:H77)) - MIN(IF(ISNUMBER(F77:H77),F77:H77)))</f>
        <v>5</v>
      </c>
      <c r="V77" s="4" t="str">
        <f>IF(U77="","",IF(U77&gt;25,"Outlier","Normal"))</f>
        <v>Normal</v>
      </c>
    </row>
    <row r="78" spans="1:22" x14ac:dyDescent="0.3">
      <c r="A78" s="1" t="s">
        <v>17</v>
      </c>
      <c r="B78" s="1" t="s">
        <v>26</v>
      </c>
      <c r="C78" s="1" t="s">
        <v>86</v>
      </c>
      <c r="D78" s="1" t="s">
        <v>20</v>
      </c>
      <c r="E78" s="1" t="s">
        <v>12</v>
      </c>
      <c r="F78" s="4">
        <v>90</v>
      </c>
      <c r="G78" s="4">
        <v>90</v>
      </c>
      <c r="H78" s="4">
        <v>82</v>
      </c>
      <c r="I78" s="4">
        <f>AVERAGE(Student­­Performance[[#This Row],[Math Score]],Student­­Performance[[#This Row],[Reading Score]],Student­­Performance[[#This Row],[Writing Score]])</f>
        <v>87.333333333333329</v>
      </c>
      <c r="J78" s="10" t="str">
        <f>IF(Student­­Performance[[#This Row],[Average Score]]&gt;=50,"Pass","Fail")</f>
        <v>Pass</v>
      </c>
      <c r="K7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7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-8</v>
      </c>
      <c r="M7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78" s="4">
        <f>IF(ISNUMBER(Student­­Performance[[#This Row],[Math Score]]),Student­­Performance[[#This Row],[Math Score]],0)</f>
        <v>90</v>
      </c>
      <c r="O78" s="4">
        <f>IF(ISNUMBER(Student­­Performance[[#This Row],[Reading Score]]),Student­­Performance[[#This Row],[Reading Score]],0)</f>
        <v>90</v>
      </c>
      <c r="P78" s="4">
        <f>IF(ISNUMBER(Student­­Performance[[#This Row],[Writing Score]]),Student­­Performance[[#This Row],[Writing Score]],0)</f>
        <v>82</v>
      </c>
      <c r="Q78" s="4" t="str">
        <f>IF(Student­­Performance[[#This Row],[Math Score]]&gt;=50,"Pass","Fail")</f>
        <v>Pass</v>
      </c>
      <c r="R78" s="4" t="str">
        <f>IF(Student­­Performance[[#This Row],[Reading Score]]&gt;=50,"Pass","Fail")</f>
        <v>Pass</v>
      </c>
      <c r="S78" s="4" t="str">
        <f>IF(Student­­Performance[[#This Row],[Writing Score]]&gt;=50,"Pass","Fail")</f>
        <v>Pass</v>
      </c>
      <c r="T7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262</v>
      </c>
      <c r="U78" s="4" cm="1">
        <f t="array" ref="U78">IF(COUNT(F78:H78)=0,"", MAX(IF(ISNUMBER(F78:H78),F78:H78)) - MIN(IF(ISNUMBER(F78:H78),F78:H78)))</f>
        <v>8</v>
      </c>
      <c r="V78" s="4" t="str">
        <f>IF(U78="","",IF(U78&gt;25,"Outlier","Normal"))</f>
        <v>Normal</v>
      </c>
    </row>
    <row r="79" spans="1:22" x14ac:dyDescent="0.3">
      <c r="A79" s="1" t="s">
        <v>8</v>
      </c>
      <c r="B79" s="1" t="s">
        <v>26</v>
      </c>
      <c r="C79" s="1" t="s">
        <v>84</v>
      </c>
      <c r="D79" s="1" t="s">
        <v>11</v>
      </c>
      <c r="E79" s="1" t="s">
        <v>15</v>
      </c>
      <c r="F79" s="4">
        <v>86</v>
      </c>
      <c r="G79" s="4">
        <v>85</v>
      </c>
      <c r="H79" s="4">
        <v>91</v>
      </c>
      <c r="I79" s="4">
        <f>AVERAGE(Student­­Performance[[#This Row],[Math Score]],Student­­Performance[[#This Row],[Reading Score]],Student­­Performance[[#This Row],[Writing Score]])</f>
        <v>87.333333333333329</v>
      </c>
      <c r="J79" s="10" t="str">
        <f>IF(Student­­Performance[[#This Row],[Average Score]]&gt;=50,"Pass","Fail")</f>
        <v>Pass</v>
      </c>
      <c r="K7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7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7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79" s="4">
        <f>IF(ISNUMBER(Student­­Performance[[#This Row],[Math Score]]),Student­­Performance[[#This Row],[Math Score]],0)</f>
        <v>86</v>
      </c>
      <c r="O79" s="4">
        <f>IF(ISNUMBER(Student­­Performance[[#This Row],[Reading Score]]),Student­­Performance[[#This Row],[Reading Score]],0)</f>
        <v>85</v>
      </c>
      <c r="P79" s="4">
        <f>IF(ISNUMBER(Student­­Performance[[#This Row],[Writing Score]]),Student­­Performance[[#This Row],[Writing Score]],0)</f>
        <v>91</v>
      </c>
      <c r="Q79" s="4" t="str">
        <f>IF(Student­­Performance[[#This Row],[Math Score]]&gt;=50,"Pass","Fail")</f>
        <v>Pass</v>
      </c>
      <c r="R79" s="4" t="str">
        <f>IF(Student­­Performance[[#This Row],[Reading Score]]&gt;=50,"Pass","Fail")</f>
        <v>Pass</v>
      </c>
      <c r="S79" s="4" t="str">
        <f>IF(Student­­Performance[[#This Row],[Writing Score]]&gt;=50,"Pass","Fail")</f>
        <v>Pass</v>
      </c>
      <c r="T7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262</v>
      </c>
      <c r="U79" s="4" cm="1">
        <f t="array" ref="U79">IF(COUNT(F79:H79)=0,"", MAX(IF(ISNUMBER(F79:H79),F79:H79)) - MIN(IF(ISNUMBER(F79:H79),F79:H79)))</f>
        <v>6</v>
      </c>
      <c r="V79" s="4" t="str">
        <f>IF(U79="","",IF(U79&gt;25,"Outlier","Normal"))</f>
        <v>Normal</v>
      </c>
    </row>
    <row r="80" spans="1:22" x14ac:dyDescent="0.3">
      <c r="A80" s="1" t="s">
        <v>8</v>
      </c>
      <c r="B80" s="1" t="s">
        <v>26</v>
      </c>
      <c r="C80" s="1" t="s">
        <v>86</v>
      </c>
      <c r="D80" s="1" t="s">
        <v>11</v>
      </c>
      <c r="E80" s="1" t="s">
        <v>12</v>
      </c>
      <c r="F80" s="4">
        <v>85</v>
      </c>
      <c r="G80" s="4">
        <v>92</v>
      </c>
      <c r="H80" s="4">
        <v>85</v>
      </c>
      <c r="I80" s="4">
        <f>AVERAGE(Student­­Performance[[#This Row],[Math Score]],Student­­Performance[[#This Row],[Reading Score]],Student­­Performance[[#This Row],[Writing Score]])</f>
        <v>87.333333333333329</v>
      </c>
      <c r="J80" s="10" t="str">
        <f>IF(Student­­Performance[[#This Row],[Average Score]]&gt;=50,"Pass","Fail")</f>
        <v>Pass</v>
      </c>
      <c r="K8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8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8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80" s="4">
        <f>IF(ISNUMBER(Student­­Performance[[#This Row],[Math Score]]),Student­­Performance[[#This Row],[Math Score]],0)</f>
        <v>85</v>
      </c>
      <c r="O80" s="4">
        <f>IF(ISNUMBER(Student­­Performance[[#This Row],[Reading Score]]),Student­­Performance[[#This Row],[Reading Score]],0)</f>
        <v>92</v>
      </c>
      <c r="P80" s="4">
        <f>IF(ISNUMBER(Student­­Performance[[#This Row],[Writing Score]]),Student­­Performance[[#This Row],[Writing Score]],0)</f>
        <v>85</v>
      </c>
      <c r="Q80" s="4" t="str">
        <f>IF(Student­­Performance[[#This Row],[Math Score]]&gt;=50,"Pass","Fail")</f>
        <v>Pass</v>
      </c>
      <c r="R80" s="4" t="str">
        <f>IF(Student­­Performance[[#This Row],[Reading Score]]&gt;=50,"Pass","Fail")</f>
        <v>Pass</v>
      </c>
      <c r="S80" s="4" t="str">
        <f>IF(Student­­Performance[[#This Row],[Writing Score]]&gt;=50,"Pass","Fail")</f>
        <v>Pass</v>
      </c>
      <c r="T8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262</v>
      </c>
      <c r="U80" s="4" cm="1">
        <f t="array" ref="U80">IF(COUNT(F80:H80)=0,"", MAX(IF(ISNUMBER(F80:H80),F80:H80)) - MIN(IF(ISNUMBER(F80:H80),F80:H80)))</f>
        <v>7</v>
      </c>
      <c r="V80" s="4" t="str">
        <f>IF(U80="","",IF(U80&gt;25,"Outlier","Normal"))</f>
        <v>Normal</v>
      </c>
    </row>
    <row r="81" spans="1:22" x14ac:dyDescent="0.3">
      <c r="A81" s="1" t="s">
        <v>8</v>
      </c>
      <c r="B81" s="1" t="s">
        <v>13</v>
      </c>
      <c r="C81" s="1" t="s">
        <v>86</v>
      </c>
      <c r="D81" s="1" t="s">
        <v>11</v>
      </c>
      <c r="E81" s="1" t="s">
        <v>12</v>
      </c>
      <c r="F81" s="4">
        <v>91</v>
      </c>
      <c r="G81" s="4">
        <v>86</v>
      </c>
      <c r="H81" s="4">
        <v>84</v>
      </c>
      <c r="I81" s="4">
        <f>AVERAGE(Student­­Performance[[#This Row],[Math Score]],Student­­Performance[[#This Row],[Reading Score]],Student­­Performance[[#This Row],[Writing Score]])</f>
        <v>87</v>
      </c>
      <c r="J81" s="10" t="str">
        <f>IF(Student­­Performance[[#This Row],[Average Score]]&gt;=50,"Pass","Fail")</f>
        <v>Pass</v>
      </c>
      <c r="K8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8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8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81" s="4">
        <f>IF(ISNUMBER(Student­­Performance[[#This Row],[Math Score]]),Student­­Performance[[#This Row],[Math Score]],0)</f>
        <v>91</v>
      </c>
      <c r="O81" s="4">
        <f>IF(ISNUMBER(Student­­Performance[[#This Row],[Reading Score]]),Student­­Performance[[#This Row],[Reading Score]],0)</f>
        <v>86</v>
      </c>
      <c r="P81" s="4">
        <f>IF(ISNUMBER(Student­­Performance[[#This Row],[Writing Score]]),Student­­Performance[[#This Row],[Writing Score]],0)</f>
        <v>84</v>
      </c>
      <c r="Q81" s="4" t="str">
        <f>IF(Student­­Performance[[#This Row],[Math Score]]&gt;=50,"Pass","Fail")</f>
        <v>Pass</v>
      </c>
      <c r="R81" s="4" t="str">
        <f>IF(Student­­Performance[[#This Row],[Reading Score]]&gt;=50,"Pass","Fail")</f>
        <v>Pass</v>
      </c>
      <c r="S81" s="4" t="str">
        <f>IF(Student­­Performance[[#This Row],[Writing Score]]&gt;=50,"Pass","Fail")</f>
        <v>Pass</v>
      </c>
      <c r="T8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261</v>
      </c>
      <c r="U81" s="4" cm="1">
        <f t="array" ref="U81">IF(COUNT(F81:H81)=0,"", MAX(IF(ISNUMBER(F81:H81),F81:H81)) - MIN(IF(ISNUMBER(F81:H81),F81:H81)))</f>
        <v>7</v>
      </c>
      <c r="V81" s="4" t="str">
        <f>IF(U81="","",IF(U81&gt;25,"Outlier","Normal"))</f>
        <v>Normal</v>
      </c>
    </row>
    <row r="82" spans="1:22" x14ac:dyDescent="0.3">
      <c r="A82" s="1" t="s">
        <v>8</v>
      </c>
      <c r="B82" s="1" t="s">
        <v>26</v>
      </c>
      <c r="C82" s="1" t="s">
        <v>86</v>
      </c>
      <c r="D82" s="1" t="s">
        <v>11</v>
      </c>
      <c r="E82" s="1" t="s">
        <v>15</v>
      </c>
      <c r="F82" s="4">
        <v>79</v>
      </c>
      <c r="G82" s="4">
        <v>88</v>
      </c>
      <c r="H82" s="4">
        <v>94</v>
      </c>
      <c r="I82" s="4">
        <f>AVERAGE(Student­­Performance[[#This Row],[Math Score]],Student­­Performance[[#This Row],[Reading Score]],Student­­Performance[[#This Row],[Writing Score]])</f>
        <v>87</v>
      </c>
      <c r="J82" s="10" t="str">
        <f>IF(Student­­Performance[[#This Row],[Average Score]]&gt;=50,"Pass","Fail")</f>
        <v>Pass</v>
      </c>
      <c r="K8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8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8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15</v>
      </c>
      <c r="N82" s="4">
        <f>IF(ISNUMBER(Student­­Performance[[#This Row],[Math Score]]),Student­­Performance[[#This Row],[Math Score]],0)</f>
        <v>79</v>
      </c>
      <c r="O82" s="4">
        <f>IF(ISNUMBER(Student­­Performance[[#This Row],[Reading Score]]),Student­­Performance[[#This Row],[Reading Score]],0)</f>
        <v>88</v>
      </c>
      <c r="P82" s="4">
        <f>IF(ISNUMBER(Student­­Performance[[#This Row],[Writing Score]]),Student­­Performance[[#This Row],[Writing Score]],0)</f>
        <v>94</v>
      </c>
      <c r="Q82" s="4" t="str">
        <f>IF(Student­­Performance[[#This Row],[Math Score]]&gt;=50,"Pass","Fail")</f>
        <v>Pass</v>
      </c>
      <c r="R82" s="4" t="str">
        <f>IF(Student­­Performance[[#This Row],[Reading Score]]&gt;=50,"Pass","Fail")</f>
        <v>Pass</v>
      </c>
      <c r="S82" s="4" t="str">
        <f>IF(Student­­Performance[[#This Row],[Writing Score]]&gt;=50,"Pass","Fail")</f>
        <v>Pass</v>
      </c>
      <c r="T8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261</v>
      </c>
      <c r="U82" s="4" cm="1">
        <f t="array" ref="U82">IF(COUNT(F82:H82)=0,"", MAX(IF(ISNUMBER(F82:H82),F82:H82)) - MIN(IF(ISNUMBER(F82:H82),F82:H82)))</f>
        <v>15</v>
      </c>
      <c r="V82" s="4" t="str">
        <f>IF(U82="","",IF(U82&gt;25,"Outlier","Normal"))</f>
        <v>Normal</v>
      </c>
    </row>
    <row r="83" spans="1:22" x14ac:dyDescent="0.3">
      <c r="A83" s="1" t="s">
        <v>8</v>
      </c>
      <c r="B83" s="1" t="s">
        <v>9</v>
      </c>
      <c r="C83" s="1" t="s">
        <v>87</v>
      </c>
      <c r="D83" s="1" t="s">
        <v>11</v>
      </c>
      <c r="E83" s="1" t="s">
        <v>12</v>
      </c>
      <c r="F83" s="4">
        <v>81</v>
      </c>
      <c r="G83" s="4">
        <v>91</v>
      </c>
      <c r="H83" s="4">
        <v>89</v>
      </c>
      <c r="I83" s="4">
        <f>AVERAGE(Student­­Performance[[#This Row],[Math Score]],Student­­Performance[[#This Row],[Reading Score]],Student­­Performance[[#This Row],[Writing Score]])</f>
        <v>87</v>
      </c>
      <c r="J83" s="10" t="str">
        <f>IF(Student­­Performance[[#This Row],[Average Score]]&gt;=50,"Pass","Fail")</f>
        <v>Pass</v>
      </c>
      <c r="K8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8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8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83" s="4">
        <f>IF(ISNUMBER(Student­­Performance[[#This Row],[Math Score]]),Student­­Performance[[#This Row],[Math Score]],0)</f>
        <v>81</v>
      </c>
      <c r="O83" s="4">
        <f>IF(ISNUMBER(Student­­Performance[[#This Row],[Reading Score]]),Student­­Performance[[#This Row],[Reading Score]],0)</f>
        <v>91</v>
      </c>
      <c r="P83" s="4">
        <f>IF(ISNUMBER(Student­­Performance[[#This Row],[Writing Score]]),Student­­Performance[[#This Row],[Writing Score]],0)</f>
        <v>89</v>
      </c>
      <c r="Q83" s="4" t="str">
        <f>IF(Student­­Performance[[#This Row],[Math Score]]&gt;=50,"Pass","Fail")</f>
        <v>Pass</v>
      </c>
      <c r="R83" s="4" t="str">
        <f>IF(Student­­Performance[[#This Row],[Reading Score]]&gt;=50,"Pass","Fail")</f>
        <v>Pass</v>
      </c>
      <c r="S83" s="4" t="str">
        <f>IF(Student­­Performance[[#This Row],[Writing Score]]&gt;=50,"Pass","Fail")</f>
        <v>Pass</v>
      </c>
      <c r="T8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261</v>
      </c>
      <c r="U83" s="4" cm="1">
        <f t="array" ref="U83">IF(COUNT(F83:H83)=0,"", MAX(IF(ISNUMBER(F83:H83),F83:H83)) - MIN(IF(ISNUMBER(F83:H83),F83:H83)))</f>
        <v>10</v>
      </c>
      <c r="V83" s="4" t="str">
        <f>IF(U83="","",IF(U83&gt;25,"Outlier","Normal"))</f>
        <v>Normal</v>
      </c>
    </row>
    <row r="84" spans="1:22" x14ac:dyDescent="0.3">
      <c r="A84" s="1" t="s">
        <v>17</v>
      </c>
      <c r="B84" s="1" t="s">
        <v>26</v>
      </c>
      <c r="C84" s="1" t="s">
        <v>86</v>
      </c>
      <c r="D84" s="1" t="s">
        <v>11</v>
      </c>
      <c r="E84" s="1" t="s">
        <v>15</v>
      </c>
      <c r="F84" s="4">
        <v>94</v>
      </c>
      <c r="G84" s="4">
        <v>85</v>
      </c>
      <c r="H84" s="4">
        <v>82</v>
      </c>
      <c r="I84" s="4">
        <f>AVERAGE(Student­­Performance[[#This Row],[Math Score]],Student­­Performance[[#This Row],[Reading Score]],Student­­Performance[[#This Row],[Writing Score]])</f>
        <v>87</v>
      </c>
      <c r="J84" s="10" t="str">
        <f>IF(Student­­Performance[[#This Row],[Average Score]]&gt;=50,"Pass","Fail")</f>
        <v>Pass</v>
      </c>
      <c r="K8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-9</v>
      </c>
      <c r="L8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8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-12</v>
      </c>
      <c r="N84" s="4">
        <f>IF(ISNUMBER(Student­­Performance[[#This Row],[Math Score]]),Student­­Performance[[#This Row],[Math Score]],0)</f>
        <v>94</v>
      </c>
      <c r="O84" s="4">
        <f>IF(ISNUMBER(Student­­Performance[[#This Row],[Reading Score]]),Student­­Performance[[#This Row],[Reading Score]],0)</f>
        <v>85</v>
      </c>
      <c r="P84" s="4">
        <f>IF(ISNUMBER(Student­­Performance[[#This Row],[Writing Score]]),Student­­Performance[[#This Row],[Writing Score]],0)</f>
        <v>82</v>
      </c>
      <c r="Q84" s="4" t="str">
        <f>IF(Student­­Performance[[#This Row],[Math Score]]&gt;=50,"Pass","Fail")</f>
        <v>Pass</v>
      </c>
      <c r="R84" s="4" t="str">
        <f>IF(Student­­Performance[[#This Row],[Reading Score]]&gt;=50,"Pass","Fail")</f>
        <v>Pass</v>
      </c>
      <c r="S84" s="4" t="str">
        <f>IF(Student­­Performance[[#This Row],[Writing Score]]&gt;=50,"Pass","Fail")</f>
        <v>Pass</v>
      </c>
      <c r="T8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261</v>
      </c>
      <c r="U84" s="4" cm="1">
        <f t="array" ref="U84">IF(COUNT(F84:H84)=0,"", MAX(IF(ISNUMBER(F84:H84),F84:H84)) - MIN(IF(ISNUMBER(F84:H84),F84:H84)))</f>
        <v>12</v>
      </c>
      <c r="V84" s="4" t="str">
        <f>IF(U84="","",IF(U84&gt;25,"Outlier","Normal"))</f>
        <v>Normal</v>
      </c>
    </row>
    <row r="85" spans="1:22" x14ac:dyDescent="0.3">
      <c r="A85" s="1" t="s">
        <v>8</v>
      </c>
      <c r="B85" s="1" t="s">
        <v>21</v>
      </c>
      <c r="C85" s="1" t="s">
        <v>83</v>
      </c>
      <c r="D85" s="1" t="s">
        <v>20</v>
      </c>
      <c r="E85" s="1" t="s">
        <v>12</v>
      </c>
      <c r="F85" s="4">
        <v>78</v>
      </c>
      <c r="G85" s="4">
        <v>90</v>
      </c>
      <c r="H85" s="4">
        <v>93</v>
      </c>
      <c r="I85" s="4">
        <f>AVERAGE(Student­­Performance[[#This Row],[Math Score]],Student­­Performance[[#This Row],[Reading Score]],Student­­Performance[[#This Row],[Writing Score]])</f>
        <v>87</v>
      </c>
      <c r="J85" s="10" t="str">
        <f>IF(Student­­Performance[[#This Row],[Average Score]]&gt;=50,"Pass","Fail")</f>
        <v>Pass</v>
      </c>
      <c r="K8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8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8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15</v>
      </c>
      <c r="N85" s="4">
        <f>IF(ISNUMBER(Student­­Performance[[#This Row],[Math Score]]),Student­­Performance[[#This Row],[Math Score]],0)</f>
        <v>78</v>
      </c>
      <c r="O85" s="4">
        <f>IF(ISNUMBER(Student­­Performance[[#This Row],[Reading Score]]),Student­­Performance[[#This Row],[Reading Score]],0)</f>
        <v>90</v>
      </c>
      <c r="P85" s="4">
        <f>IF(ISNUMBER(Student­­Performance[[#This Row],[Writing Score]]),Student­­Performance[[#This Row],[Writing Score]],0)</f>
        <v>93</v>
      </c>
      <c r="Q85" s="4" t="str">
        <f>IF(Student­­Performance[[#This Row],[Math Score]]&gt;=50,"Pass","Fail")</f>
        <v>Pass</v>
      </c>
      <c r="R85" s="4" t="str">
        <f>IF(Student­­Performance[[#This Row],[Reading Score]]&gt;=50,"Pass","Fail")</f>
        <v>Pass</v>
      </c>
      <c r="S85" s="4" t="str">
        <f>IF(Student­­Performance[[#This Row],[Writing Score]]&gt;=50,"Pass","Fail")</f>
        <v>Pass</v>
      </c>
      <c r="T8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261</v>
      </c>
      <c r="U85" s="4" cm="1">
        <f t="array" ref="U85">IF(COUNT(F85:H85)=0,"", MAX(IF(ISNUMBER(F85:H85),F85:H85)) - MIN(IF(ISNUMBER(F85:H85),F85:H85)))</f>
        <v>15</v>
      </c>
      <c r="V85" s="4" t="str">
        <f>IF(U85="","",IF(U85&gt;25,"Outlier","Normal"))</f>
        <v>Normal</v>
      </c>
    </row>
    <row r="86" spans="1:22" x14ac:dyDescent="0.3">
      <c r="A86" s="1" t="s">
        <v>17</v>
      </c>
      <c r="B86" s="1" t="s">
        <v>13</v>
      </c>
      <c r="C86" s="1" t="s">
        <v>85</v>
      </c>
      <c r="D86" s="1" t="s">
        <v>11</v>
      </c>
      <c r="E86" s="1" t="s">
        <v>15</v>
      </c>
      <c r="F86" s="4">
        <v>91</v>
      </c>
      <c r="G86" s="4">
        <v>85</v>
      </c>
      <c r="H86" s="4">
        <v>85</v>
      </c>
      <c r="I86" s="4">
        <f>AVERAGE(Student­­Performance[[#This Row],[Math Score]],Student­­Performance[[#This Row],[Reading Score]],Student­­Performance[[#This Row],[Writing Score]])</f>
        <v>87</v>
      </c>
      <c r="J86" s="10" t="str">
        <f>IF(Student­­Performance[[#This Row],[Average Score]]&gt;=50,"Pass","Fail")</f>
        <v>Pass</v>
      </c>
      <c r="K8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8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8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86" s="4">
        <f>IF(ISNUMBER(Student­­Performance[[#This Row],[Math Score]]),Student­­Performance[[#This Row],[Math Score]],0)</f>
        <v>91</v>
      </c>
      <c r="O86" s="4">
        <f>IF(ISNUMBER(Student­­Performance[[#This Row],[Reading Score]]),Student­­Performance[[#This Row],[Reading Score]],0)</f>
        <v>85</v>
      </c>
      <c r="P86" s="4">
        <f>IF(ISNUMBER(Student­­Performance[[#This Row],[Writing Score]]),Student­­Performance[[#This Row],[Writing Score]],0)</f>
        <v>85</v>
      </c>
      <c r="Q86" s="4" t="str">
        <f>IF(Student­­Performance[[#This Row],[Math Score]]&gt;=50,"Pass","Fail")</f>
        <v>Pass</v>
      </c>
      <c r="R86" s="4" t="str">
        <f>IF(Student­­Performance[[#This Row],[Reading Score]]&gt;=50,"Pass","Fail")</f>
        <v>Pass</v>
      </c>
      <c r="S86" s="4" t="str">
        <f>IF(Student­­Performance[[#This Row],[Writing Score]]&gt;=50,"Pass","Fail")</f>
        <v>Pass</v>
      </c>
      <c r="T8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261</v>
      </c>
      <c r="U86" s="4" cm="1">
        <f t="array" ref="U86">IF(COUNT(F86:H86)=0,"", MAX(IF(ISNUMBER(F86:H86),F86:H86)) - MIN(IF(ISNUMBER(F86:H86),F86:H86)))</f>
        <v>6</v>
      </c>
      <c r="V86" s="4" t="str">
        <f>IF(U86="","",IF(U86&gt;25,"Outlier","Normal"))</f>
        <v>Normal</v>
      </c>
    </row>
    <row r="87" spans="1:22" x14ac:dyDescent="0.3">
      <c r="A87" s="1" t="s">
        <v>8</v>
      </c>
      <c r="B87" s="1" t="s">
        <v>13</v>
      </c>
      <c r="C87" s="1" t="s">
        <v>83</v>
      </c>
      <c r="D87" s="1" t="s">
        <v>11</v>
      </c>
      <c r="E87" s="1" t="s">
        <v>15</v>
      </c>
      <c r="F87" s="4">
        <v>79</v>
      </c>
      <c r="G87" s="4">
        <v>92</v>
      </c>
      <c r="H87" s="4">
        <v>89</v>
      </c>
      <c r="I87" s="4">
        <f>AVERAGE(Student­­Performance[[#This Row],[Math Score]],Student­­Performance[[#This Row],[Reading Score]],Student­­Performance[[#This Row],[Writing Score]])</f>
        <v>86.666666666666671</v>
      </c>
      <c r="J87" s="10" t="str">
        <f>IF(Student­­Performance[[#This Row],[Average Score]]&gt;=50,"Pass","Fail")</f>
        <v>Pass</v>
      </c>
      <c r="K8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13</v>
      </c>
      <c r="L8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8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87" s="4">
        <f>IF(ISNUMBER(Student­­Performance[[#This Row],[Math Score]]),Student­­Performance[[#This Row],[Math Score]],0)</f>
        <v>79</v>
      </c>
      <c r="O87" s="4">
        <f>IF(ISNUMBER(Student­­Performance[[#This Row],[Reading Score]]),Student­­Performance[[#This Row],[Reading Score]],0)</f>
        <v>92</v>
      </c>
      <c r="P87" s="4">
        <f>IF(ISNUMBER(Student­­Performance[[#This Row],[Writing Score]]),Student­­Performance[[#This Row],[Writing Score]],0)</f>
        <v>89</v>
      </c>
      <c r="Q87" s="4" t="str">
        <f>IF(Student­­Performance[[#This Row],[Math Score]]&gt;=50,"Pass","Fail")</f>
        <v>Pass</v>
      </c>
      <c r="R87" s="4" t="str">
        <f>IF(Student­­Performance[[#This Row],[Reading Score]]&gt;=50,"Pass","Fail")</f>
        <v>Pass</v>
      </c>
      <c r="S87" s="4" t="str">
        <f>IF(Student­­Performance[[#This Row],[Writing Score]]&gt;=50,"Pass","Fail")</f>
        <v>Pass</v>
      </c>
      <c r="T8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260</v>
      </c>
      <c r="U87" s="4" cm="1">
        <f t="array" ref="U87">IF(COUNT(F87:H87)=0,"", MAX(IF(ISNUMBER(F87:H87),F87:H87)) - MIN(IF(ISNUMBER(F87:H87),F87:H87)))</f>
        <v>13</v>
      </c>
      <c r="V87" s="4" t="str">
        <f>IF(U87="","",IF(U87&gt;25,"Outlier","Normal"))</f>
        <v>Normal</v>
      </c>
    </row>
    <row r="88" spans="1:22" x14ac:dyDescent="0.3">
      <c r="A88" s="1" t="s">
        <v>17</v>
      </c>
      <c r="B88" s="1" t="s">
        <v>21</v>
      </c>
      <c r="C88" s="1" t="s">
        <v>85</v>
      </c>
      <c r="D88" s="1" t="s">
        <v>11</v>
      </c>
      <c r="E88" s="1" t="s">
        <v>12</v>
      </c>
      <c r="F88" s="4">
        <v>95</v>
      </c>
      <c r="G88" s="4">
        <v>81</v>
      </c>
      <c r="H88" s="4">
        <v>84</v>
      </c>
      <c r="I88" s="4">
        <f>AVERAGE(Student­­Performance[[#This Row],[Math Score]],Student­­Performance[[#This Row],[Reading Score]],Student­­Performance[[#This Row],[Writing Score]])</f>
        <v>86.666666666666671</v>
      </c>
      <c r="J88" s="10" t="str">
        <f>IF(Student­­Performance[[#This Row],[Average Score]]&gt;=50,"Pass","Fail")</f>
        <v>Pass</v>
      </c>
      <c r="K8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-14</v>
      </c>
      <c r="L8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8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-11</v>
      </c>
      <c r="N88" s="4">
        <f>IF(ISNUMBER(Student­­Performance[[#This Row],[Math Score]]),Student­­Performance[[#This Row],[Math Score]],0)</f>
        <v>95</v>
      </c>
      <c r="O88" s="4">
        <f>IF(ISNUMBER(Student­­Performance[[#This Row],[Reading Score]]),Student­­Performance[[#This Row],[Reading Score]],0)</f>
        <v>81</v>
      </c>
      <c r="P88" s="4">
        <f>IF(ISNUMBER(Student­­Performance[[#This Row],[Writing Score]]),Student­­Performance[[#This Row],[Writing Score]],0)</f>
        <v>84</v>
      </c>
      <c r="Q88" s="4" t="str">
        <f>IF(Student­­Performance[[#This Row],[Math Score]]&gt;=50,"Pass","Fail")</f>
        <v>Pass</v>
      </c>
      <c r="R88" s="4" t="str">
        <f>IF(Student­­Performance[[#This Row],[Reading Score]]&gt;=50,"Pass","Fail")</f>
        <v>Pass</v>
      </c>
      <c r="S88" s="4" t="str">
        <f>IF(Student­­Performance[[#This Row],[Writing Score]]&gt;=50,"Pass","Fail")</f>
        <v>Pass</v>
      </c>
      <c r="T8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260</v>
      </c>
      <c r="U88" s="4" cm="1">
        <f t="array" ref="U88">IF(COUNT(F88:H88)=0,"", MAX(IF(ISNUMBER(F88:H88),F88:H88)) - MIN(IF(ISNUMBER(F88:H88),F88:H88)))</f>
        <v>14</v>
      </c>
      <c r="V88" s="4" t="str">
        <f>IF(U88="","",IF(U88&gt;25,"Outlier","Normal"))</f>
        <v>Normal</v>
      </c>
    </row>
    <row r="89" spans="1:22" x14ac:dyDescent="0.3">
      <c r="A89" s="1" t="s">
        <v>8</v>
      </c>
      <c r="B89" s="1" t="s">
        <v>21</v>
      </c>
      <c r="C89" s="1" t="s">
        <v>88</v>
      </c>
      <c r="D89" s="1" t="s">
        <v>11</v>
      </c>
      <c r="E89" s="1" t="s">
        <v>15</v>
      </c>
      <c r="F89" s="4">
        <v>80</v>
      </c>
      <c r="G89" s="4">
        <v>92</v>
      </c>
      <c r="H89" s="4">
        <v>88</v>
      </c>
      <c r="I89" s="4">
        <f>AVERAGE(Student­­Performance[[#This Row],[Math Score]],Student­­Performance[[#This Row],[Reading Score]],Student­­Performance[[#This Row],[Writing Score]])</f>
        <v>86.666666666666671</v>
      </c>
      <c r="J89" s="10" t="str">
        <f>IF(Student­­Performance[[#This Row],[Average Score]]&gt;=50,"Pass","Fail")</f>
        <v>Pass</v>
      </c>
      <c r="K8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8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8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89" s="4">
        <f>IF(ISNUMBER(Student­­Performance[[#This Row],[Math Score]]),Student­­Performance[[#This Row],[Math Score]],0)</f>
        <v>80</v>
      </c>
      <c r="O89" s="4">
        <f>IF(ISNUMBER(Student­­Performance[[#This Row],[Reading Score]]),Student­­Performance[[#This Row],[Reading Score]],0)</f>
        <v>92</v>
      </c>
      <c r="P89" s="4">
        <f>IF(ISNUMBER(Student­­Performance[[#This Row],[Writing Score]]),Student­­Performance[[#This Row],[Writing Score]],0)</f>
        <v>88</v>
      </c>
      <c r="Q89" s="4" t="str">
        <f>IF(Student­­Performance[[#This Row],[Math Score]]&gt;=50,"Pass","Fail")</f>
        <v>Pass</v>
      </c>
      <c r="R89" s="4" t="str">
        <f>IF(Student­­Performance[[#This Row],[Reading Score]]&gt;=50,"Pass","Fail")</f>
        <v>Pass</v>
      </c>
      <c r="S89" s="4" t="str">
        <f>IF(Student­­Performance[[#This Row],[Writing Score]]&gt;=50,"Pass","Fail")</f>
        <v>Pass</v>
      </c>
      <c r="T8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260</v>
      </c>
      <c r="U89" s="4" cm="1">
        <f t="array" ref="U89">IF(COUNT(F89:H89)=0,"", MAX(IF(ISNUMBER(F89:H89),F89:H89)) - MIN(IF(ISNUMBER(F89:H89),F89:H89)))</f>
        <v>12</v>
      </c>
      <c r="V89" s="4" t="str">
        <f>IF(U89="","",IF(U89&gt;25,"Outlier","Normal"))</f>
        <v>Normal</v>
      </c>
    </row>
    <row r="90" spans="1:22" x14ac:dyDescent="0.3">
      <c r="A90" s="1" t="s">
        <v>8</v>
      </c>
      <c r="B90" s="1" t="s">
        <v>13</v>
      </c>
      <c r="C90" s="1" t="s">
        <v>85</v>
      </c>
      <c r="D90" s="1" t="s">
        <v>11</v>
      </c>
      <c r="E90" s="1" t="s">
        <v>15</v>
      </c>
      <c r="F90" s="4">
        <v>81</v>
      </c>
      <c r="G90" s="4">
        <v>91</v>
      </c>
      <c r="H90" s="4">
        <v>87</v>
      </c>
      <c r="I90" s="4">
        <f>AVERAGE(Student­­Performance[[#This Row],[Math Score]],Student­­Performance[[#This Row],[Reading Score]],Student­­Performance[[#This Row],[Writing Score]])</f>
        <v>86.333333333333329</v>
      </c>
      <c r="J90" s="10" t="str">
        <f>IF(Student­­Performance[[#This Row],[Average Score]]&gt;=50,"Pass","Fail")</f>
        <v>Pass</v>
      </c>
      <c r="K9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9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9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90" s="4">
        <f>IF(ISNUMBER(Student­­Performance[[#This Row],[Math Score]]),Student­­Performance[[#This Row],[Math Score]],0)</f>
        <v>81</v>
      </c>
      <c r="O90" s="4">
        <f>IF(ISNUMBER(Student­­Performance[[#This Row],[Reading Score]]),Student­­Performance[[#This Row],[Reading Score]],0)</f>
        <v>91</v>
      </c>
      <c r="P90" s="4">
        <f>IF(ISNUMBER(Student­­Performance[[#This Row],[Writing Score]]),Student­­Performance[[#This Row],[Writing Score]],0)</f>
        <v>87</v>
      </c>
      <c r="Q90" s="4" t="str">
        <f>IF(Student­­Performance[[#This Row],[Math Score]]&gt;=50,"Pass","Fail")</f>
        <v>Pass</v>
      </c>
      <c r="R90" s="4" t="str">
        <f>IF(Student­­Performance[[#This Row],[Reading Score]]&gt;=50,"Pass","Fail")</f>
        <v>Pass</v>
      </c>
      <c r="S90" s="4" t="str">
        <f>IF(Student­­Performance[[#This Row],[Writing Score]]&gt;=50,"Pass","Fail")</f>
        <v>Pass</v>
      </c>
      <c r="T9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259</v>
      </c>
      <c r="U90" s="4" cm="1">
        <f t="array" ref="U90">IF(COUNT(F90:H90)=0,"", MAX(IF(ISNUMBER(F90:H90),F90:H90)) - MIN(IF(ISNUMBER(F90:H90),F90:H90)))</f>
        <v>10</v>
      </c>
      <c r="V90" s="4" t="str">
        <f>IF(U90="","",IF(U90&gt;25,"Outlier","Normal"))</f>
        <v>Normal</v>
      </c>
    </row>
    <row r="91" spans="1:22" x14ac:dyDescent="0.3">
      <c r="A91" s="1" t="s">
        <v>17</v>
      </c>
      <c r="B91" s="1" t="s">
        <v>26</v>
      </c>
      <c r="C91" s="1" t="s">
        <v>87</v>
      </c>
      <c r="D91" s="1" t="s">
        <v>11</v>
      </c>
      <c r="E91" s="1" t="s">
        <v>15</v>
      </c>
      <c r="F91" s="4">
        <v>87</v>
      </c>
      <c r="G91" s="4">
        <v>91</v>
      </c>
      <c r="H91" s="4">
        <v>81</v>
      </c>
      <c r="I91" s="4">
        <f>AVERAGE(Student­­Performance[[#This Row],[Math Score]],Student­­Performance[[#This Row],[Reading Score]],Student­­Performance[[#This Row],[Writing Score]])</f>
        <v>86.333333333333329</v>
      </c>
      <c r="J91" s="10" t="str">
        <f>IF(Student­­Performance[[#This Row],[Average Score]]&gt;=50,"Pass","Fail")</f>
        <v>Pass</v>
      </c>
      <c r="K9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9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-10</v>
      </c>
      <c r="M9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91" s="4">
        <f>IF(ISNUMBER(Student­­Performance[[#This Row],[Math Score]]),Student­­Performance[[#This Row],[Math Score]],0)</f>
        <v>87</v>
      </c>
      <c r="O91" s="4">
        <f>IF(ISNUMBER(Student­­Performance[[#This Row],[Reading Score]]),Student­­Performance[[#This Row],[Reading Score]],0)</f>
        <v>91</v>
      </c>
      <c r="P91" s="4">
        <f>IF(ISNUMBER(Student­­Performance[[#This Row],[Writing Score]]),Student­­Performance[[#This Row],[Writing Score]],0)</f>
        <v>81</v>
      </c>
      <c r="Q91" s="4" t="str">
        <f>IF(Student­­Performance[[#This Row],[Math Score]]&gt;=50,"Pass","Fail")</f>
        <v>Pass</v>
      </c>
      <c r="R91" s="4" t="str">
        <f>IF(Student­­Performance[[#This Row],[Reading Score]]&gt;=50,"Pass","Fail")</f>
        <v>Pass</v>
      </c>
      <c r="S91" s="4" t="str">
        <f>IF(Student­­Performance[[#This Row],[Writing Score]]&gt;=50,"Pass","Fail")</f>
        <v>Pass</v>
      </c>
      <c r="T9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259</v>
      </c>
      <c r="U91" s="4" cm="1">
        <f t="array" ref="U91">IF(COUNT(F91:H91)=0,"", MAX(IF(ISNUMBER(F91:H91),F91:H91)) - MIN(IF(ISNUMBER(F91:H91),F91:H91)))</f>
        <v>10</v>
      </c>
      <c r="V91" s="4" t="str">
        <f>IF(U91="","",IF(U91&gt;25,"Outlier","Normal"))</f>
        <v>Normal</v>
      </c>
    </row>
    <row r="92" spans="1:22" x14ac:dyDescent="0.3">
      <c r="A92" s="1" t="s">
        <v>8</v>
      </c>
      <c r="B92" s="1" t="s">
        <v>21</v>
      </c>
      <c r="C92" s="1" t="s">
        <v>84</v>
      </c>
      <c r="D92" s="1" t="s">
        <v>11</v>
      </c>
      <c r="E92" s="1" t="s">
        <v>12</v>
      </c>
      <c r="F92" s="4">
        <v>80</v>
      </c>
      <c r="G92" s="4">
        <v>90</v>
      </c>
      <c r="H92" s="4">
        <v>89</v>
      </c>
      <c r="I92" s="4">
        <f>AVERAGE(Student­­Performance[[#This Row],[Math Score]],Student­­Performance[[#This Row],[Reading Score]],Student­­Performance[[#This Row],[Writing Score]])</f>
        <v>86.333333333333329</v>
      </c>
      <c r="J92" s="10" t="str">
        <f>IF(Student­­Performance[[#This Row],[Average Score]]&gt;=50,"Pass","Fail")</f>
        <v>Pass</v>
      </c>
      <c r="K9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9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9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92" s="4">
        <f>IF(ISNUMBER(Student­­Performance[[#This Row],[Math Score]]),Student­­Performance[[#This Row],[Math Score]],0)</f>
        <v>80</v>
      </c>
      <c r="O92" s="4">
        <f>IF(ISNUMBER(Student­­Performance[[#This Row],[Reading Score]]),Student­­Performance[[#This Row],[Reading Score]],0)</f>
        <v>90</v>
      </c>
      <c r="P92" s="4">
        <f>IF(ISNUMBER(Student­­Performance[[#This Row],[Writing Score]]),Student­­Performance[[#This Row],[Writing Score]],0)</f>
        <v>89</v>
      </c>
      <c r="Q92" s="4" t="str">
        <f>IF(Student­­Performance[[#This Row],[Math Score]]&gt;=50,"Pass","Fail")</f>
        <v>Pass</v>
      </c>
      <c r="R92" s="4" t="str">
        <f>IF(Student­­Performance[[#This Row],[Reading Score]]&gt;=50,"Pass","Fail")</f>
        <v>Pass</v>
      </c>
      <c r="S92" s="4" t="str">
        <f>IF(Student­­Performance[[#This Row],[Writing Score]]&gt;=50,"Pass","Fail")</f>
        <v>Pass</v>
      </c>
      <c r="T9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259</v>
      </c>
      <c r="U92" s="4" cm="1">
        <f t="array" ref="U92">IF(COUNT(F92:H92)=0,"", MAX(IF(ISNUMBER(F92:H92),F92:H92)) - MIN(IF(ISNUMBER(F92:H92),F92:H92)))</f>
        <v>10</v>
      </c>
      <c r="V92" s="4" t="str">
        <f>IF(U92="","",IF(U92&gt;25,"Outlier","Normal"))</f>
        <v>Normal</v>
      </c>
    </row>
    <row r="93" spans="1:22" x14ac:dyDescent="0.3">
      <c r="A93" s="1" t="s">
        <v>17</v>
      </c>
      <c r="B93" s="1" t="s">
        <v>21</v>
      </c>
      <c r="C93" s="1" t="s">
        <v>88</v>
      </c>
      <c r="D93" s="1" t="s">
        <v>11</v>
      </c>
      <c r="E93" s="1" t="s">
        <v>15</v>
      </c>
      <c r="F93" s="4">
        <v>89</v>
      </c>
      <c r="G93" s="4">
        <v>88</v>
      </c>
      <c r="H93" s="4">
        <v>82</v>
      </c>
      <c r="I93" s="4">
        <f>AVERAGE(Student­­Performance[[#This Row],[Math Score]],Student­­Performance[[#This Row],[Reading Score]],Student­­Performance[[#This Row],[Writing Score]])</f>
        <v>86.333333333333329</v>
      </c>
      <c r="J93" s="10" t="str">
        <f>IF(Student­­Performance[[#This Row],[Average Score]]&gt;=50,"Pass","Fail")</f>
        <v>Pass</v>
      </c>
      <c r="K9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9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9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93" s="4">
        <f>IF(ISNUMBER(Student­­Performance[[#This Row],[Math Score]]),Student­­Performance[[#This Row],[Math Score]],0)</f>
        <v>89</v>
      </c>
      <c r="O93" s="4">
        <f>IF(ISNUMBER(Student­­Performance[[#This Row],[Reading Score]]),Student­­Performance[[#This Row],[Reading Score]],0)</f>
        <v>88</v>
      </c>
      <c r="P93" s="4">
        <f>IF(ISNUMBER(Student­­Performance[[#This Row],[Writing Score]]),Student­­Performance[[#This Row],[Writing Score]],0)</f>
        <v>82</v>
      </c>
      <c r="Q93" s="4" t="str">
        <f>IF(Student­­Performance[[#This Row],[Math Score]]&gt;=50,"Pass","Fail")</f>
        <v>Pass</v>
      </c>
      <c r="R93" s="4" t="str">
        <f>IF(Student­­Performance[[#This Row],[Reading Score]]&gt;=50,"Pass","Fail")</f>
        <v>Pass</v>
      </c>
      <c r="S93" s="4" t="str">
        <f>IF(Student­­Performance[[#This Row],[Writing Score]]&gt;=50,"Pass","Fail")</f>
        <v>Pass</v>
      </c>
      <c r="T9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259</v>
      </c>
      <c r="U93" s="4" cm="1">
        <f t="array" ref="U93">IF(COUNT(F93:H93)=0,"", MAX(IF(ISNUMBER(F93:H93),F93:H93)) - MIN(IF(ISNUMBER(F93:H93),F93:H93)))</f>
        <v>7</v>
      </c>
      <c r="V93" s="4" t="str">
        <f>IF(U93="","",IF(U93&gt;25,"Outlier","Normal"))</f>
        <v>Normal</v>
      </c>
    </row>
    <row r="94" spans="1:22" x14ac:dyDescent="0.3">
      <c r="A94" s="1" t="s">
        <v>17</v>
      </c>
      <c r="B94" s="1" t="s">
        <v>26</v>
      </c>
      <c r="C94" s="1" t="s">
        <v>85</v>
      </c>
      <c r="D94" s="1" t="s">
        <v>11</v>
      </c>
      <c r="E94" s="1" t="s">
        <v>12</v>
      </c>
      <c r="F94" s="4">
        <v>90</v>
      </c>
      <c r="G94" s="4">
        <v>85</v>
      </c>
      <c r="H94" s="4">
        <v>84</v>
      </c>
      <c r="I94" s="4">
        <f>AVERAGE(Student­­Performance[[#This Row],[Math Score]],Student­­Performance[[#This Row],[Reading Score]],Student­­Performance[[#This Row],[Writing Score]])</f>
        <v>86.333333333333329</v>
      </c>
      <c r="J94" s="10" t="str">
        <f>IF(Student­­Performance[[#This Row],[Average Score]]&gt;=50,"Pass","Fail")</f>
        <v>Pass</v>
      </c>
      <c r="K9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9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9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94" s="4">
        <f>IF(ISNUMBER(Student­­Performance[[#This Row],[Math Score]]),Student­­Performance[[#This Row],[Math Score]],0)</f>
        <v>90</v>
      </c>
      <c r="O94" s="4">
        <f>IF(ISNUMBER(Student­­Performance[[#This Row],[Reading Score]]),Student­­Performance[[#This Row],[Reading Score]],0)</f>
        <v>85</v>
      </c>
      <c r="P94" s="4">
        <f>IF(ISNUMBER(Student­­Performance[[#This Row],[Writing Score]]),Student­­Performance[[#This Row],[Writing Score]],0)</f>
        <v>84</v>
      </c>
      <c r="Q94" s="4" t="str">
        <f>IF(Student­­Performance[[#This Row],[Math Score]]&gt;=50,"Pass","Fail")</f>
        <v>Pass</v>
      </c>
      <c r="R94" s="4" t="str">
        <f>IF(Student­­Performance[[#This Row],[Reading Score]]&gt;=50,"Pass","Fail")</f>
        <v>Pass</v>
      </c>
      <c r="S94" s="4" t="str">
        <f>IF(Student­­Performance[[#This Row],[Writing Score]]&gt;=50,"Pass","Fail")</f>
        <v>Pass</v>
      </c>
      <c r="T9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259</v>
      </c>
      <c r="U94" s="4" cm="1">
        <f t="array" ref="U94">IF(COUNT(F94:H94)=0,"", MAX(IF(ISNUMBER(F94:H94),F94:H94)) - MIN(IF(ISNUMBER(F94:H94),F94:H94)))</f>
        <v>6</v>
      </c>
      <c r="V94" s="4" t="str">
        <f>IF(U94="","",IF(U94&gt;25,"Outlier","Normal"))</f>
        <v>Normal</v>
      </c>
    </row>
    <row r="95" spans="1:22" x14ac:dyDescent="0.3">
      <c r="A95" s="1" t="s">
        <v>8</v>
      </c>
      <c r="B95" s="1" t="s">
        <v>13</v>
      </c>
      <c r="C95" s="1" t="s">
        <v>83</v>
      </c>
      <c r="D95" s="1" t="s">
        <v>11</v>
      </c>
      <c r="E95" s="1" t="s">
        <v>12</v>
      </c>
      <c r="F95" s="4">
        <v>81</v>
      </c>
      <c r="G95" s="4">
        <v>88</v>
      </c>
      <c r="H95" s="4">
        <v>90</v>
      </c>
      <c r="I95" s="4">
        <f>AVERAGE(Student­­Performance[[#This Row],[Math Score]],Student­­Performance[[#This Row],[Reading Score]],Student­­Performance[[#This Row],[Writing Score]])</f>
        <v>86.333333333333329</v>
      </c>
      <c r="J95" s="10" t="str">
        <f>IF(Student­­Performance[[#This Row],[Average Score]]&gt;=50,"Pass","Fail")</f>
        <v>Pass</v>
      </c>
      <c r="K9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9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9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95" s="4">
        <f>IF(ISNUMBER(Student­­Performance[[#This Row],[Math Score]]),Student­­Performance[[#This Row],[Math Score]],0)</f>
        <v>81</v>
      </c>
      <c r="O95" s="4">
        <f>IF(ISNUMBER(Student­­Performance[[#This Row],[Reading Score]]),Student­­Performance[[#This Row],[Reading Score]],0)</f>
        <v>88</v>
      </c>
      <c r="P95" s="4">
        <f>IF(ISNUMBER(Student­­Performance[[#This Row],[Writing Score]]),Student­­Performance[[#This Row],[Writing Score]],0)</f>
        <v>90</v>
      </c>
      <c r="Q95" s="4" t="str">
        <f>IF(Student­­Performance[[#This Row],[Math Score]]&gt;=50,"Pass","Fail")</f>
        <v>Pass</v>
      </c>
      <c r="R95" s="4" t="str">
        <f>IF(Student­­Performance[[#This Row],[Reading Score]]&gt;=50,"Pass","Fail")</f>
        <v>Pass</v>
      </c>
      <c r="S95" s="4" t="str">
        <f>IF(Student­­Performance[[#This Row],[Writing Score]]&gt;=50,"Pass","Fail")</f>
        <v>Pass</v>
      </c>
      <c r="T9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259</v>
      </c>
      <c r="U95" s="4" cm="1">
        <f t="array" ref="U95">IF(COUNT(F95:H95)=0,"", MAX(IF(ISNUMBER(F95:H95),F95:H95)) - MIN(IF(ISNUMBER(F95:H95),F95:H95)))</f>
        <v>9</v>
      </c>
      <c r="V95" s="4" t="str">
        <f>IF(U95="","",IF(U95&gt;25,"Outlier","Normal"))</f>
        <v>Normal</v>
      </c>
    </row>
    <row r="96" spans="1:22" x14ac:dyDescent="0.3">
      <c r="A96" s="1" t="s">
        <v>8</v>
      </c>
      <c r="B96" s="1" t="s">
        <v>13</v>
      </c>
      <c r="C96" s="1" t="s">
        <v>84</v>
      </c>
      <c r="D96" s="1" t="s">
        <v>20</v>
      </c>
      <c r="E96" s="1" t="s">
        <v>12</v>
      </c>
      <c r="F96" s="4">
        <v>77</v>
      </c>
      <c r="G96" s="4">
        <v>90</v>
      </c>
      <c r="H96" s="4">
        <v>91</v>
      </c>
      <c r="I96" s="4">
        <f>AVERAGE(Student­­Performance[[#This Row],[Math Score]],Student­­Performance[[#This Row],[Reading Score]],Student­­Performance[[#This Row],[Writing Score]])</f>
        <v>86</v>
      </c>
      <c r="J96" s="10" t="str">
        <f>IF(Student­­Performance[[#This Row],[Average Score]]&gt;=50,"Pass","Fail")</f>
        <v>Pass</v>
      </c>
      <c r="K9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13</v>
      </c>
      <c r="L9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9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14</v>
      </c>
      <c r="N96" s="4">
        <f>IF(ISNUMBER(Student­­Performance[[#This Row],[Math Score]]),Student­­Performance[[#This Row],[Math Score]],0)</f>
        <v>77</v>
      </c>
      <c r="O96" s="4">
        <f>IF(ISNUMBER(Student­­Performance[[#This Row],[Reading Score]]),Student­­Performance[[#This Row],[Reading Score]],0)</f>
        <v>90</v>
      </c>
      <c r="P96" s="4">
        <f>IF(ISNUMBER(Student­­Performance[[#This Row],[Writing Score]]),Student­­Performance[[#This Row],[Writing Score]],0)</f>
        <v>91</v>
      </c>
      <c r="Q96" s="4" t="str">
        <f>IF(Student­­Performance[[#This Row],[Math Score]]&gt;=50,"Pass","Fail")</f>
        <v>Pass</v>
      </c>
      <c r="R96" s="4" t="str">
        <f>IF(Student­­Performance[[#This Row],[Reading Score]]&gt;=50,"Pass","Fail")</f>
        <v>Pass</v>
      </c>
      <c r="S96" s="4" t="str">
        <f>IF(Student­­Performance[[#This Row],[Writing Score]]&gt;=50,"Pass","Fail")</f>
        <v>Pass</v>
      </c>
      <c r="T9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258</v>
      </c>
      <c r="U96" s="4" cm="1">
        <f t="array" ref="U96">IF(COUNT(F96:H96)=0,"", MAX(IF(ISNUMBER(F96:H96),F96:H96)) - MIN(IF(ISNUMBER(F96:H96),F96:H96)))</f>
        <v>14</v>
      </c>
      <c r="V96" s="4" t="str">
        <f>IF(U96="","",IF(U96&gt;25,"Outlier","Normal"))</f>
        <v>Normal</v>
      </c>
    </row>
    <row r="97" spans="1:22" x14ac:dyDescent="0.3">
      <c r="A97" s="1" t="s">
        <v>17</v>
      </c>
      <c r="B97" s="1" t="s">
        <v>18</v>
      </c>
      <c r="C97" s="1" t="s">
        <v>83</v>
      </c>
      <c r="D97" s="1" t="s">
        <v>11</v>
      </c>
      <c r="E97" s="1" t="s">
        <v>15</v>
      </c>
      <c r="F97" s="4">
        <v>87</v>
      </c>
      <c r="G97" s="4">
        <v>84</v>
      </c>
      <c r="H97" s="4">
        <v>87</v>
      </c>
      <c r="I97" s="4">
        <f>AVERAGE(Student­­Performance[[#This Row],[Math Score]],Student­­Performance[[#This Row],[Reading Score]],Student­­Performance[[#This Row],[Writing Score]])</f>
        <v>86</v>
      </c>
      <c r="J97" s="10" t="str">
        <f>IF(Student­­Performance[[#This Row],[Average Score]]&gt;=50,"Pass","Fail")</f>
        <v>Pass</v>
      </c>
      <c r="K9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9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9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97" s="4">
        <f>IF(ISNUMBER(Student­­Performance[[#This Row],[Math Score]]),Student­­Performance[[#This Row],[Math Score]],0)</f>
        <v>87</v>
      </c>
      <c r="O97" s="4">
        <f>IF(ISNUMBER(Student­­Performance[[#This Row],[Reading Score]]),Student­­Performance[[#This Row],[Reading Score]],0)</f>
        <v>84</v>
      </c>
      <c r="P97" s="4">
        <f>IF(ISNUMBER(Student­­Performance[[#This Row],[Writing Score]]),Student­­Performance[[#This Row],[Writing Score]],0)</f>
        <v>87</v>
      </c>
      <c r="Q97" s="4" t="str">
        <f>IF(Student­­Performance[[#This Row],[Math Score]]&gt;=50,"Pass","Fail")</f>
        <v>Pass</v>
      </c>
      <c r="R97" s="4" t="str">
        <f>IF(Student­­Performance[[#This Row],[Reading Score]]&gt;=50,"Pass","Fail")</f>
        <v>Pass</v>
      </c>
      <c r="S97" s="4" t="str">
        <f>IF(Student­­Performance[[#This Row],[Writing Score]]&gt;=50,"Pass","Fail")</f>
        <v>Pass</v>
      </c>
      <c r="T9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258</v>
      </c>
      <c r="U97" s="4" cm="1">
        <f t="array" ref="U97">IF(COUNT(F97:H97)=0,"", MAX(IF(ISNUMBER(F97:H97),F97:H97)) - MIN(IF(ISNUMBER(F97:H97),F97:H97)))</f>
        <v>3</v>
      </c>
      <c r="V97" s="4" t="str">
        <f>IF(U97="","",IF(U97&gt;25,"Outlier","Normal"))</f>
        <v>Normal</v>
      </c>
    </row>
    <row r="98" spans="1:22" x14ac:dyDescent="0.3">
      <c r="A98" s="1" t="s">
        <v>17</v>
      </c>
      <c r="B98" s="1" t="s">
        <v>21</v>
      </c>
      <c r="C98" s="1" t="s">
        <v>85</v>
      </c>
      <c r="D98" s="1" t="s">
        <v>11</v>
      </c>
      <c r="E98" s="1" t="s">
        <v>12</v>
      </c>
      <c r="F98" s="4">
        <v>85</v>
      </c>
      <c r="G98" s="4">
        <v>84</v>
      </c>
      <c r="H98" s="4">
        <v>89</v>
      </c>
      <c r="I98" s="4">
        <f>AVERAGE(Student­­Performance[[#This Row],[Math Score]],Student­­Performance[[#This Row],[Reading Score]],Student­­Performance[[#This Row],[Writing Score]])</f>
        <v>86</v>
      </c>
      <c r="J98" s="10" t="str">
        <f>IF(Student­­Performance[[#This Row],[Average Score]]&gt;=50,"Pass","Fail")</f>
        <v>Pass</v>
      </c>
      <c r="K9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9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9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98" s="4">
        <f>IF(ISNUMBER(Student­­Performance[[#This Row],[Math Score]]),Student­­Performance[[#This Row],[Math Score]],0)</f>
        <v>85</v>
      </c>
      <c r="O98" s="4">
        <f>IF(ISNUMBER(Student­­Performance[[#This Row],[Reading Score]]),Student­­Performance[[#This Row],[Reading Score]],0)</f>
        <v>84</v>
      </c>
      <c r="P98" s="4">
        <f>IF(ISNUMBER(Student­­Performance[[#This Row],[Writing Score]]),Student­­Performance[[#This Row],[Writing Score]],0)</f>
        <v>89</v>
      </c>
      <c r="Q98" s="4" t="str">
        <f>IF(Student­­Performance[[#This Row],[Math Score]]&gt;=50,"Pass","Fail")</f>
        <v>Pass</v>
      </c>
      <c r="R98" s="4" t="str">
        <f>IF(Student­­Performance[[#This Row],[Reading Score]]&gt;=50,"Pass","Fail")</f>
        <v>Pass</v>
      </c>
      <c r="S98" s="4" t="str">
        <f>IF(Student­­Performance[[#This Row],[Writing Score]]&gt;=50,"Pass","Fail")</f>
        <v>Pass</v>
      </c>
      <c r="T9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258</v>
      </c>
      <c r="U98" s="4" cm="1">
        <f t="array" ref="U98">IF(COUNT(F98:H98)=0,"", MAX(IF(ISNUMBER(F98:H98),F98:H98)) - MIN(IF(ISNUMBER(F98:H98),F98:H98)))</f>
        <v>5</v>
      </c>
      <c r="V98" s="4" t="str">
        <f>IF(U98="","",IF(U98&gt;25,"Outlier","Normal"))</f>
        <v>Normal</v>
      </c>
    </row>
    <row r="99" spans="1:22" x14ac:dyDescent="0.3">
      <c r="A99" s="1" t="s">
        <v>8</v>
      </c>
      <c r="B99" s="1" t="s">
        <v>9</v>
      </c>
      <c r="C99" s="1" t="s">
        <v>84</v>
      </c>
      <c r="D99" s="1" t="s">
        <v>11</v>
      </c>
      <c r="E99" s="1" t="s">
        <v>12</v>
      </c>
      <c r="F99" s="4">
        <v>79</v>
      </c>
      <c r="G99" s="4">
        <v>86</v>
      </c>
      <c r="H99" s="4">
        <v>92</v>
      </c>
      <c r="I99" s="4">
        <f>AVERAGE(Student­­Performance[[#This Row],[Math Score]],Student­­Performance[[#This Row],[Reading Score]],Student­­Performance[[#This Row],[Writing Score]])</f>
        <v>85.666666666666671</v>
      </c>
      <c r="J99" s="10" t="str">
        <f>IF(Student­­Performance[[#This Row],[Average Score]]&gt;=50,"Pass","Fail")</f>
        <v>Pass</v>
      </c>
      <c r="K9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9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9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13</v>
      </c>
      <c r="N99" s="4">
        <f>IF(ISNUMBER(Student­­Performance[[#This Row],[Math Score]]),Student­­Performance[[#This Row],[Math Score]],0)</f>
        <v>79</v>
      </c>
      <c r="O99" s="4">
        <f>IF(ISNUMBER(Student­­Performance[[#This Row],[Reading Score]]),Student­­Performance[[#This Row],[Reading Score]],0)</f>
        <v>86</v>
      </c>
      <c r="P99" s="4">
        <f>IF(ISNUMBER(Student­­Performance[[#This Row],[Writing Score]]),Student­­Performance[[#This Row],[Writing Score]],0)</f>
        <v>92</v>
      </c>
      <c r="Q99" s="4" t="str">
        <f>IF(Student­­Performance[[#This Row],[Math Score]]&gt;=50,"Pass","Fail")</f>
        <v>Pass</v>
      </c>
      <c r="R99" s="4" t="str">
        <f>IF(Student­­Performance[[#This Row],[Reading Score]]&gt;=50,"Pass","Fail")</f>
        <v>Pass</v>
      </c>
      <c r="S99" s="4" t="str">
        <f>IF(Student­­Performance[[#This Row],[Writing Score]]&gt;=50,"Pass","Fail")</f>
        <v>Pass</v>
      </c>
      <c r="T9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257</v>
      </c>
      <c r="U99" s="4" cm="1">
        <f t="array" ref="U99">IF(COUNT(F99:H99)=0,"", MAX(IF(ISNUMBER(F99:H99),F99:H99)) - MIN(IF(ISNUMBER(F99:H99),F99:H99)))</f>
        <v>13</v>
      </c>
      <c r="V99" s="4" t="str">
        <f>IF(U99="","",IF(U99&gt;25,"Outlier","Normal"))</f>
        <v>Normal</v>
      </c>
    </row>
    <row r="100" spans="1:22" x14ac:dyDescent="0.3">
      <c r="A100" s="1" t="s">
        <v>8</v>
      </c>
      <c r="B100" s="1" t="s">
        <v>26</v>
      </c>
      <c r="C100" s="1" t="s">
        <v>86</v>
      </c>
      <c r="D100" s="1" t="s">
        <v>20</v>
      </c>
      <c r="E100" s="1" t="s">
        <v>15</v>
      </c>
      <c r="F100" s="4">
        <v>83</v>
      </c>
      <c r="G100" s="4">
        <v>86</v>
      </c>
      <c r="H100" s="4">
        <v>88</v>
      </c>
      <c r="I100" s="4">
        <f>AVERAGE(Student­­Performance[[#This Row],[Math Score]],Student­­Performance[[#This Row],[Reading Score]],Student­­Performance[[#This Row],[Writing Score]])</f>
        <v>85.666666666666671</v>
      </c>
      <c r="J100" s="10" t="str">
        <f>IF(Student­­Performance[[#This Row],[Average Score]]&gt;=50,"Pass","Fail")</f>
        <v>Pass</v>
      </c>
      <c r="K10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10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10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100" s="4">
        <f>IF(ISNUMBER(Student­­Performance[[#This Row],[Math Score]]),Student­­Performance[[#This Row],[Math Score]],0)</f>
        <v>83</v>
      </c>
      <c r="O100" s="4">
        <f>IF(ISNUMBER(Student­­Performance[[#This Row],[Reading Score]]),Student­­Performance[[#This Row],[Reading Score]],0)</f>
        <v>86</v>
      </c>
      <c r="P100" s="4">
        <f>IF(ISNUMBER(Student­­Performance[[#This Row],[Writing Score]]),Student­­Performance[[#This Row],[Writing Score]],0)</f>
        <v>88</v>
      </c>
      <c r="Q100" s="4" t="str">
        <f>IF(Student­­Performance[[#This Row],[Math Score]]&gt;=50,"Pass","Fail")</f>
        <v>Pass</v>
      </c>
      <c r="R100" s="4" t="str">
        <f>IF(Student­­Performance[[#This Row],[Reading Score]]&gt;=50,"Pass","Fail")</f>
        <v>Pass</v>
      </c>
      <c r="S100" s="4" t="str">
        <f>IF(Student­­Performance[[#This Row],[Writing Score]]&gt;=50,"Pass","Fail")</f>
        <v>Pass</v>
      </c>
      <c r="T10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257</v>
      </c>
      <c r="U100" s="4" cm="1">
        <f t="array" ref="U100">IF(COUNT(F100:H100)=0,"", MAX(IF(ISNUMBER(F100:H100),F100:H100)) - MIN(IF(ISNUMBER(F100:H100),F100:H100)))</f>
        <v>5</v>
      </c>
      <c r="V100" s="4" t="str">
        <f>IF(U100="","",IF(U100&gt;25,"Outlier","Normal"))</f>
        <v>Normal</v>
      </c>
    </row>
    <row r="101" spans="1:22" x14ac:dyDescent="0.3">
      <c r="A101" s="1" t="s">
        <v>17</v>
      </c>
      <c r="B101" s="1" t="s">
        <v>26</v>
      </c>
      <c r="C101" s="1" t="s">
        <v>88</v>
      </c>
      <c r="D101" s="1" t="s">
        <v>11</v>
      </c>
      <c r="E101" s="1" t="s">
        <v>12</v>
      </c>
      <c r="F101" s="4">
        <v>92</v>
      </c>
      <c r="G101" s="4">
        <v>87</v>
      </c>
      <c r="H101" s="4">
        <v>78</v>
      </c>
      <c r="I101" s="4">
        <f>AVERAGE(Student­­Performance[[#This Row],[Math Score]],Student­­Performance[[#This Row],[Reading Score]],Student­­Performance[[#This Row],[Writing Score]])</f>
        <v>85.666666666666671</v>
      </c>
      <c r="J101" s="10" t="str">
        <f>IF(Student­­Performance[[#This Row],[Average Score]]&gt;=50,"Pass","Fail")</f>
        <v>Pass</v>
      </c>
      <c r="K10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10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-9</v>
      </c>
      <c r="M10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-14</v>
      </c>
      <c r="N101" s="4">
        <f>IF(ISNUMBER(Student­­Performance[[#This Row],[Math Score]]),Student­­Performance[[#This Row],[Math Score]],0)</f>
        <v>92</v>
      </c>
      <c r="O101" s="4">
        <f>IF(ISNUMBER(Student­­Performance[[#This Row],[Reading Score]]),Student­­Performance[[#This Row],[Reading Score]],0)</f>
        <v>87</v>
      </c>
      <c r="P101" s="4">
        <f>IF(ISNUMBER(Student­­Performance[[#This Row],[Writing Score]]),Student­­Performance[[#This Row],[Writing Score]],0)</f>
        <v>78</v>
      </c>
      <c r="Q101" s="4" t="str">
        <f>IF(Student­­Performance[[#This Row],[Math Score]]&gt;=50,"Pass","Fail")</f>
        <v>Pass</v>
      </c>
      <c r="R101" s="4" t="str">
        <f>IF(Student­­Performance[[#This Row],[Reading Score]]&gt;=50,"Pass","Fail")</f>
        <v>Pass</v>
      </c>
      <c r="S101" s="4" t="str">
        <f>IF(Student­­Performance[[#This Row],[Writing Score]]&gt;=50,"Pass","Fail")</f>
        <v>Pass</v>
      </c>
      <c r="T10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257</v>
      </c>
      <c r="U101" s="4" cm="1">
        <f t="array" ref="U101">IF(COUNT(F101:H101)=0,"", MAX(IF(ISNUMBER(F101:H101),F101:H101)) - MIN(IF(ISNUMBER(F101:H101),F101:H101)))</f>
        <v>14</v>
      </c>
      <c r="V101" s="4" t="str">
        <f>IF(U101="","",IF(U101&gt;25,"Outlier","Normal"))</f>
        <v>Normal</v>
      </c>
    </row>
    <row r="102" spans="1:22" x14ac:dyDescent="0.3">
      <c r="A102" s="1" t="s">
        <v>8</v>
      </c>
      <c r="B102" s="1" t="s">
        <v>21</v>
      </c>
      <c r="C102" s="1" t="s">
        <v>83</v>
      </c>
      <c r="D102" s="1" t="s">
        <v>11</v>
      </c>
      <c r="E102" s="1" t="s">
        <v>12</v>
      </c>
      <c r="F102" s="4">
        <v>79</v>
      </c>
      <c r="G102" s="4">
        <v>89</v>
      </c>
      <c r="H102" s="4">
        <v>89</v>
      </c>
      <c r="I102" s="4">
        <f>AVERAGE(Student­­Performance[[#This Row],[Math Score]],Student­­Performance[[#This Row],[Reading Score]],Student­­Performance[[#This Row],[Writing Score]])</f>
        <v>85.666666666666671</v>
      </c>
      <c r="J102" s="10" t="str">
        <f>IF(Student­­Performance[[#This Row],[Average Score]]&gt;=50,"Pass","Fail")</f>
        <v>Pass</v>
      </c>
      <c r="K10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10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10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102" s="4">
        <f>IF(ISNUMBER(Student­­Performance[[#This Row],[Math Score]]),Student­­Performance[[#This Row],[Math Score]],0)</f>
        <v>79</v>
      </c>
      <c r="O102" s="4">
        <f>IF(ISNUMBER(Student­­Performance[[#This Row],[Reading Score]]),Student­­Performance[[#This Row],[Reading Score]],0)</f>
        <v>89</v>
      </c>
      <c r="P102" s="4">
        <f>IF(ISNUMBER(Student­­Performance[[#This Row],[Writing Score]]),Student­­Performance[[#This Row],[Writing Score]],0)</f>
        <v>89</v>
      </c>
      <c r="Q102" s="4" t="str">
        <f>IF(Student­­Performance[[#This Row],[Math Score]]&gt;=50,"Pass","Fail")</f>
        <v>Pass</v>
      </c>
      <c r="R102" s="4" t="str">
        <f>IF(Student­­Performance[[#This Row],[Reading Score]]&gt;=50,"Pass","Fail")</f>
        <v>Pass</v>
      </c>
      <c r="S102" s="4" t="str">
        <f>IF(Student­­Performance[[#This Row],[Writing Score]]&gt;=50,"Pass","Fail")</f>
        <v>Pass</v>
      </c>
      <c r="T10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257</v>
      </c>
      <c r="U102" s="4" cm="1">
        <f t="array" ref="U102">IF(COUNT(F102:H102)=0,"", MAX(IF(ISNUMBER(F102:H102),F102:H102)) - MIN(IF(ISNUMBER(F102:H102),F102:H102)))</f>
        <v>10</v>
      </c>
      <c r="V102" s="4" t="str">
        <f>IF(U102="","",IF(U102&gt;25,"Outlier","Normal"))</f>
        <v>Normal</v>
      </c>
    </row>
    <row r="103" spans="1:22" x14ac:dyDescent="0.3">
      <c r="A103" s="1" t="s">
        <v>8</v>
      </c>
      <c r="B103" s="1" t="s">
        <v>9</v>
      </c>
      <c r="C103" s="1" t="s">
        <v>86</v>
      </c>
      <c r="D103" s="1" t="s">
        <v>20</v>
      </c>
      <c r="E103" s="1" t="s">
        <v>15</v>
      </c>
      <c r="F103" s="4">
        <v>76</v>
      </c>
      <c r="G103" s="4">
        <v>94</v>
      </c>
      <c r="H103" s="4">
        <v>87</v>
      </c>
      <c r="I103" s="4">
        <f>AVERAGE(Student­­Performance[[#This Row],[Math Score]],Student­­Performance[[#This Row],[Reading Score]],Student­­Performance[[#This Row],[Writing Score]])</f>
        <v>85.666666666666671</v>
      </c>
      <c r="J103" s="10" t="str">
        <f>IF(Student­­Performance[[#This Row],[Average Score]]&gt;=50,"Pass","Fail")</f>
        <v>Pass</v>
      </c>
      <c r="K10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18</v>
      </c>
      <c r="L10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10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103" s="4">
        <f>IF(ISNUMBER(Student­­Performance[[#This Row],[Math Score]]),Student­­Performance[[#This Row],[Math Score]],0)</f>
        <v>76</v>
      </c>
      <c r="O103" s="4">
        <f>IF(ISNUMBER(Student­­Performance[[#This Row],[Reading Score]]),Student­­Performance[[#This Row],[Reading Score]],0)</f>
        <v>94</v>
      </c>
      <c r="P103" s="4">
        <f>IF(ISNUMBER(Student­­Performance[[#This Row],[Writing Score]]),Student­­Performance[[#This Row],[Writing Score]],0)</f>
        <v>87</v>
      </c>
      <c r="Q103" s="4" t="str">
        <f>IF(Student­­Performance[[#This Row],[Math Score]]&gt;=50,"Pass","Fail")</f>
        <v>Pass</v>
      </c>
      <c r="R103" s="4" t="str">
        <f>IF(Student­­Performance[[#This Row],[Reading Score]]&gt;=50,"Pass","Fail")</f>
        <v>Pass</v>
      </c>
      <c r="S103" s="4" t="str">
        <f>IF(Student­­Performance[[#This Row],[Writing Score]]&gt;=50,"Pass","Fail")</f>
        <v>Pass</v>
      </c>
      <c r="T10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257</v>
      </c>
      <c r="U103" s="4" cm="1">
        <f t="array" ref="U103">IF(COUNT(F103:H103)=0,"", MAX(IF(ISNUMBER(F103:H103),F103:H103)) - MIN(IF(ISNUMBER(F103:H103),F103:H103)))</f>
        <v>18</v>
      </c>
      <c r="V103" s="4" t="str">
        <f>IF(U103="","",IF(U103&gt;25,"Outlier","Normal"))</f>
        <v>Normal</v>
      </c>
    </row>
    <row r="104" spans="1:22" x14ac:dyDescent="0.3">
      <c r="A104" s="1" t="s">
        <v>17</v>
      </c>
      <c r="B104" s="1" t="s">
        <v>21</v>
      </c>
      <c r="C104" s="1" t="s">
        <v>86</v>
      </c>
      <c r="D104" s="1" t="s">
        <v>11</v>
      </c>
      <c r="E104" s="1" t="s">
        <v>15</v>
      </c>
      <c r="F104" s="4">
        <v>87</v>
      </c>
      <c r="G104" s="4">
        <v>84</v>
      </c>
      <c r="H104" s="4">
        <v>85</v>
      </c>
      <c r="I104" s="4">
        <f>AVERAGE(Student­­Performance[[#This Row],[Math Score]],Student­­Performance[[#This Row],[Reading Score]],Student­­Performance[[#This Row],[Writing Score]])</f>
        <v>85.333333333333329</v>
      </c>
      <c r="J104" s="10" t="str">
        <f>IF(Student­­Performance[[#This Row],[Average Score]]&gt;=50,"Pass","Fail")</f>
        <v>Pass</v>
      </c>
      <c r="K10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10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10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104" s="4">
        <f>IF(ISNUMBER(Student­­Performance[[#This Row],[Math Score]]),Student­­Performance[[#This Row],[Math Score]],0)</f>
        <v>87</v>
      </c>
      <c r="O104" s="4">
        <f>IF(ISNUMBER(Student­­Performance[[#This Row],[Reading Score]]),Student­­Performance[[#This Row],[Reading Score]],0)</f>
        <v>84</v>
      </c>
      <c r="P104" s="4">
        <f>IF(ISNUMBER(Student­­Performance[[#This Row],[Writing Score]]),Student­­Performance[[#This Row],[Writing Score]],0)</f>
        <v>85</v>
      </c>
      <c r="Q104" s="4" t="str">
        <f>IF(Student­­Performance[[#This Row],[Math Score]]&gt;=50,"Pass","Fail")</f>
        <v>Pass</v>
      </c>
      <c r="R104" s="4" t="str">
        <f>IF(Student­­Performance[[#This Row],[Reading Score]]&gt;=50,"Pass","Fail")</f>
        <v>Pass</v>
      </c>
      <c r="S104" s="4" t="str">
        <f>IF(Student­­Performance[[#This Row],[Writing Score]]&gt;=50,"Pass","Fail")</f>
        <v>Pass</v>
      </c>
      <c r="T10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256</v>
      </c>
      <c r="U104" s="4" cm="1">
        <f t="array" ref="U104">IF(COUNT(F104:H104)=0,"", MAX(IF(ISNUMBER(F104:H104),F104:H104)) - MIN(IF(ISNUMBER(F104:H104),F104:H104)))</f>
        <v>3</v>
      </c>
      <c r="V104" s="4" t="str">
        <f>IF(U104="","",IF(U104&gt;25,"Outlier","Normal"))</f>
        <v>Normal</v>
      </c>
    </row>
    <row r="105" spans="1:22" x14ac:dyDescent="0.3">
      <c r="A105" s="1" t="s">
        <v>8</v>
      </c>
      <c r="B105" s="1" t="s">
        <v>13</v>
      </c>
      <c r="C105" s="1" t="s">
        <v>84</v>
      </c>
      <c r="D105" s="1" t="s">
        <v>11</v>
      </c>
      <c r="E105" s="1" t="s">
        <v>12</v>
      </c>
      <c r="F105" s="4">
        <v>83</v>
      </c>
      <c r="G105" s="4">
        <v>83</v>
      </c>
      <c r="H105" s="4">
        <v>90</v>
      </c>
      <c r="I105" s="4">
        <f>AVERAGE(Student­­Performance[[#This Row],[Math Score]],Student­­Performance[[#This Row],[Reading Score]],Student­­Performance[[#This Row],[Writing Score]])</f>
        <v>85.333333333333329</v>
      </c>
      <c r="J105" s="10" t="str">
        <f>IF(Student­­Performance[[#This Row],[Average Score]]&gt;=50,"Pass","Fail")</f>
        <v>Pass</v>
      </c>
      <c r="K10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10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7</v>
      </c>
      <c r="M10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105" s="4">
        <f>IF(ISNUMBER(Student­­Performance[[#This Row],[Math Score]]),Student­­Performance[[#This Row],[Math Score]],0)</f>
        <v>83</v>
      </c>
      <c r="O105" s="4">
        <f>IF(ISNUMBER(Student­­Performance[[#This Row],[Reading Score]]),Student­­Performance[[#This Row],[Reading Score]],0)</f>
        <v>83</v>
      </c>
      <c r="P105" s="4">
        <f>IF(ISNUMBER(Student­­Performance[[#This Row],[Writing Score]]),Student­­Performance[[#This Row],[Writing Score]],0)</f>
        <v>90</v>
      </c>
      <c r="Q105" s="4" t="str">
        <f>IF(Student­­Performance[[#This Row],[Math Score]]&gt;=50,"Pass","Fail")</f>
        <v>Pass</v>
      </c>
      <c r="R105" s="4" t="str">
        <f>IF(Student­­Performance[[#This Row],[Reading Score]]&gt;=50,"Pass","Fail")</f>
        <v>Pass</v>
      </c>
      <c r="S105" s="4" t="str">
        <f>IF(Student­­Performance[[#This Row],[Writing Score]]&gt;=50,"Pass","Fail")</f>
        <v>Pass</v>
      </c>
      <c r="T10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256</v>
      </c>
      <c r="U105" s="4" cm="1">
        <f t="array" ref="U105">IF(COUNT(F105:H105)=0,"", MAX(IF(ISNUMBER(F105:H105),F105:H105)) - MIN(IF(ISNUMBER(F105:H105),F105:H105)))</f>
        <v>7</v>
      </c>
      <c r="V105" s="4" t="str">
        <f>IF(U105="","",IF(U105&gt;25,"Outlier","Normal"))</f>
        <v>Normal</v>
      </c>
    </row>
    <row r="106" spans="1:22" x14ac:dyDescent="0.3">
      <c r="A106" s="1" t="s">
        <v>8</v>
      </c>
      <c r="B106" s="1" t="s">
        <v>13</v>
      </c>
      <c r="C106" s="1" t="s">
        <v>88</v>
      </c>
      <c r="D106" s="1" t="s">
        <v>11</v>
      </c>
      <c r="E106" s="1" t="s">
        <v>12</v>
      </c>
      <c r="F106" s="4">
        <v>77</v>
      </c>
      <c r="G106" s="4">
        <v>91</v>
      </c>
      <c r="H106" s="4">
        <v>88</v>
      </c>
      <c r="I106" s="4">
        <f>AVERAGE(Student­­Performance[[#This Row],[Math Score]],Student­­Performance[[#This Row],[Reading Score]],Student­­Performance[[#This Row],[Writing Score]])</f>
        <v>85.333333333333329</v>
      </c>
      <c r="J106" s="10" t="str">
        <f>IF(Student­­Performance[[#This Row],[Average Score]]&gt;=50,"Pass","Fail")</f>
        <v>Pass</v>
      </c>
      <c r="K10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14</v>
      </c>
      <c r="L10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10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106" s="4">
        <f>IF(ISNUMBER(Student­­Performance[[#This Row],[Math Score]]),Student­­Performance[[#This Row],[Math Score]],0)</f>
        <v>77</v>
      </c>
      <c r="O106" s="4">
        <f>IF(ISNUMBER(Student­­Performance[[#This Row],[Reading Score]]),Student­­Performance[[#This Row],[Reading Score]],0)</f>
        <v>91</v>
      </c>
      <c r="P106" s="4">
        <f>IF(ISNUMBER(Student­­Performance[[#This Row],[Writing Score]]),Student­­Performance[[#This Row],[Writing Score]],0)</f>
        <v>88</v>
      </c>
      <c r="Q106" s="4" t="str">
        <f>IF(Student­­Performance[[#This Row],[Math Score]]&gt;=50,"Pass","Fail")</f>
        <v>Pass</v>
      </c>
      <c r="R106" s="4" t="str">
        <f>IF(Student­­Performance[[#This Row],[Reading Score]]&gt;=50,"Pass","Fail")</f>
        <v>Pass</v>
      </c>
      <c r="S106" s="4" t="str">
        <f>IF(Student­­Performance[[#This Row],[Writing Score]]&gt;=50,"Pass","Fail")</f>
        <v>Pass</v>
      </c>
      <c r="T10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256</v>
      </c>
      <c r="U106" s="4" cm="1">
        <f t="array" ref="U106">IF(COUNT(F106:H106)=0,"", MAX(IF(ISNUMBER(F106:H106),F106:H106)) - MIN(IF(ISNUMBER(F106:H106),F106:H106)))</f>
        <v>14</v>
      </c>
      <c r="V106" s="4" t="str">
        <f>IF(U106="","",IF(U106&gt;25,"Outlier","Normal"))</f>
        <v>Normal</v>
      </c>
    </row>
    <row r="107" spans="1:22" x14ac:dyDescent="0.3">
      <c r="A107" s="1" t="s">
        <v>8</v>
      </c>
      <c r="B107" s="1" t="s">
        <v>18</v>
      </c>
      <c r="C107" s="1" t="s">
        <v>84</v>
      </c>
      <c r="D107" s="1" t="s">
        <v>11</v>
      </c>
      <c r="E107" s="1" t="s">
        <v>15</v>
      </c>
      <c r="F107" s="4">
        <v>78</v>
      </c>
      <c r="G107" s="4">
        <v>87</v>
      </c>
      <c r="H107" s="4">
        <v>91</v>
      </c>
      <c r="I107" s="4">
        <f>AVERAGE(Student­­Performance[[#This Row],[Math Score]],Student­­Performance[[#This Row],[Reading Score]],Student­­Performance[[#This Row],[Writing Score]])</f>
        <v>85.333333333333329</v>
      </c>
      <c r="J107" s="10" t="str">
        <f>IF(Student­­Performance[[#This Row],[Average Score]]&gt;=50,"Pass","Fail")</f>
        <v>Pass</v>
      </c>
      <c r="K10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10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10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13</v>
      </c>
      <c r="N107" s="4">
        <f>IF(ISNUMBER(Student­­Performance[[#This Row],[Math Score]]),Student­­Performance[[#This Row],[Math Score]],0)</f>
        <v>78</v>
      </c>
      <c r="O107" s="4">
        <f>IF(ISNUMBER(Student­­Performance[[#This Row],[Reading Score]]),Student­­Performance[[#This Row],[Reading Score]],0)</f>
        <v>87</v>
      </c>
      <c r="P107" s="4">
        <f>IF(ISNUMBER(Student­­Performance[[#This Row],[Writing Score]]),Student­­Performance[[#This Row],[Writing Score]],0)</f>
        <v>91</v>
      </c>
      <c r="Q107" s="4" t="str">
        <f>IF(Student­­Performance[[#This Row],[Math Score]]&gt;=50,"Pass","Fail")</f>
        <v>Pass</v>
      </c>
      <c r="R107" s="4" t="str">
        <f>IF(Student­­Performance[[#This Row],[Reading Score]]&gt;=50,"Pass","Fail")</f>
        <v>Pass</v>
      </c>
      <c r="S107" s="4" t="str">
        <f>IF(Student­­Performance[[#This Row],[Writing Score]]&gt;=50,"Pass","Fail")</f>
        <v>Pass</v>
      </c>
      <c r="T10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256</v>
      </c>
      <c r="U107" s="4" cm="1">
        <f t="array" ref="U107">IF(COUNT(F107:H107)=0,"", MAX(IF(ISNUMBER(F107:H107),F107:H107)) - MIN(IF(ISNUMBER(F107:H107),F107:H107)))</f>
        <v>13</v>
      </c>
      <c r="V107" s="4" t="str">
        <f>IF(U107="","",IF(U107&gt;25,"Outlier","Normal"))</f>
        <v>Normal</v>
      </c>
    </row>
    <row r="108" spans="1:22" x14ac:dyDescent="0.3">
      <c r="A108" s="1" t="s">
        <v>17</v>
      </c>
      <c r="B108" s="1" t="s">
        <v>21</v>
      </c>
      <c r="C108" s="1" t="s">
        <v>85</v>
      </c>
      <c r="D108" s="1" t="s">
        <v>11</v>
      </c>
      <c r="E108" s="1" t="s">
        <v>12</v>
      </c>
      <c r="F108" s="4">
        <v>89</v>
      </c>
      <c r="G108" s="4">
        <v>84</v>
      </c>
      <c r="H108" s="4">
        <v>82</v>
      </c>
      <c r="I108" s="4">
        <f>AVERAGE(Student­­Performance[[#This Row],[Math Score]],Student­­Performance[[#This Row],[Reading Score]],Student­­Performance[[#This Row],[Writing Score]])</f>
        <v>85</v>
      </c>
      <c r="J108" s="10" t="str">
        <f>IF(Student­­Performance[[#This Row],[Average Score]]&gt;=50,"Pass","Fail")</f>
        <v>Pass</v>
      </c>
      <c r="K10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10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10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108" s="4">
        <f>IF(ISNUMBER(Student­­Performance[[#This Row],[Math Score]]),Student­­Performance[[#This Row],[Math Score]],0)</f>
        <v>89</v>
      </c>
      <c r="O108" s="4">
        <f>IF(ISNUMBER(Student­­Performance[[#This Row],[Reading Score]]),Student­­Performance[[#This Row],[Reading Score]],0)</f>
        <v>84</v>
      </c>
      <c r="P108" s="4">
        <f>IF(ISNUMBER(Student­­Performance[[#This Row],[Writing Score]]),Student­­Performance[[#This Row],[Writing Score]],0)</f>
        <v>82</v>
      </c>
      <c r="Q108" s="4" t="str">
        <f>IF(Student­­Performance[[#This Row],[Math Score]]&gt;=50,"Pass","Fail")</f>
        <v>Pass</v>
      </c>
      <c r="R108" s="4" t="str">
        <f>IF(Student­­Performance[[#This Row],[Reading Score]]&gt;=50,"Pass","Fail")</f>
        <v>Pass</v>
      </c>
      <c r="S108" s="4" t="str">
        <f>IF(Student­­Performance[[#This Row],[Writing Score]]&gt;=50,"Pass","Fail")</f>
        <v>Pass</v>
      </c>
      <c r="T10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255</v>
      </c>
      <c r="U108" s="4" cm="1">
        <f t="array" ref="U108">IF(COUNT(F108:H108)=0,"", MAX(IF(ISNUMBER(F108:H108),F108:H108)) - MIN(IF(ISNUMBER(F108:H108),F108:H108)))</f>
        <v>7</v>
      </c>
      <c r="V108" s="4" t="str">
        <f>IF(U108="","",IF(U108&gt;25,"Outlier","Normal"))</f>
        <v>Normal</v>
      </c>
    </row>
    <row r="109" spans="1:22" x14ac:dyDescent="0.3">
      <c r="A109" s="1" t="s">
        <v>17</v>
      </c>
      <c r="B109" s="1" t="s">
        <v>13</v>
      </c>
      <c r="C109" s="1" t="s">
        <v>83</v>
      </c>
      <c r="D109" s="1" t="s">
        <v>11</v>
      </c>
      <c r="E109" s="1" t="s">
        <v>12</v>
      </c>
      <c r="F109" s="4">
        <v>86</v>
      </c>
      <c r="G109" s="4">
        <v>83</v>
      </c>
      <c r="H109" s="4">
        <v>86</v>
      </c>
      <c r="I109" s="4">
        <f>AVERAGE(Student­­Performance[[#This Row],[Math Score]],Student­­Performance[[#This Row],[Reading Score]],Student­­Performance[[#This Row],[Writing Score]])</f>
        <v>85</v>
      </c>
      <c r="J109" s="10" t="str">
        <f>IF(Student­­Performance[[#This Row],[Average Score]]&gt;=50,"Pass","Fail")</f>
        <v>Pass</v>
      </c>
      <c r="K10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10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10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109" s="4">
        <f>IF(ISNUMBER(Student­­Performance[[#This Row],[Math Score]]),Student­­Performance[[#This Row],[Math Score]],0)</f>
        <v>86</v>
      </c>
      <c r="O109" s="4">
        <f>IF(ISNUMBER(Student­­Performance[[#This Row],[Reading Score]]),Student­­Performance[[#This Row],[Reading Score]],0)</f>
        <v>83</v>
      </c>
      <c r="P109" s="4">
        <f>IF(ISNUMBER(Student­­Performance[[#This Row],[Writing Score]]),Student­­Performance[[#This Row],[Writing Score]],0)</f>
        <v>86</v>
      </c>
      <c r="Q109" s="4" t="str">
        <f>IF(Student­­Performance[[#This Row],[Math Score]]&gt;=50,"Pass","Fail")</f>
        <v>Pass</v>
      </c>
      <c r="R109" s="4" t="str">
        <f>IF(Student­­Performance[[#This Row],[Reading Score]]&gt;=50,"Pass","Fail")</f>
        <v>Pass</v>
      </c>
      <c r="S109" s="4" t="str">
        <f>IF(Student­­Performance[[#This Row],[Writing Score]]&gt;=50,"Pass","Fail")</f>
        <v>Pass</v>
      </c>
      <c r="T10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255</v>
      </c>
      <c r="U109" s="4" cm="1">
        <f t="array" ref="U109">IF(COUNT(F109:H109)=0,"", MAX(IF(ISNUMBER(F109:H109),F109:H109)) - MIN(IF(ISNUMBER(F109:H109),F109:H109)))</f>
        <v>3</v>
      </c>
      <c r="V109" s="4" t="str">
        <f>IF(U109="","",IF(U109&gt;25,"Outlier","Normal"))</f>
        <v>Normal</v>
      </c>
    </row>
    <row r="110" spans="1:22" x14ac:dyDescent="0.3">
      <c r="A110" s="1" t="s">
        <v>17</v>
      </c>
      <c r="B110" s="1" t="s">
        <v>21</v>
      </c>
      <c r="C110" s="1" t="s">
        <v>87</v>
      </c>
      <c r="D110" s="1" t="s">
        <v>11</v>
      </c>
      <c r="E110" s="1" t="s">
        <v>12</v>
      </c>
      <c r="F110" s="4">
        <v>89</v>
      </c>
      <c r="G110" s="4">
        <v>87</v>
      </c>
      <c r="H110" s="4">
        <v>79</v>
      </c>
      <c r="I110" s="4">
        <f>AVERAGE(Student­­Performance[[#This Row],[Math Score]],Student­­Performance[[#This Row],[Reading Score]],Student­­Performance[[#This Row],[Writing Score]])</f>
        <v>85</v>
      </c>
      <c r="J110" s="10" t="str">
        <f>IF(Student­­Performance[[#This Row],[Average Score]]&gt;=50,"Pass","Fail")</f>
        <v>Pass</v>
      </c>
      <c r="K11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</v>
      </c>
      <c r="L11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-8</v>
      </c>
      <c r="M11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-10</v>
      </c>
      <c r="N110" s="4">
        <f>IF(ISNUMBER(Student­­Performance[[#This Row],[Math Score]]),Student­­Performance[[#This Row],[Math Score]],0)</f>
        <v>89</v>
      </c>
      <c r="O110" s="4">
        <f>IF(ISNUMBER(Student­­Performance[[#This Row],[Reading Score]]),Student­­Performance[[#This Row],[Reading Score]],0)</f>
        <v>87</v>
      </c>
      <c r="P110" s="4">
        <f>IF(ISNUMBER(Student­­Performance[[#This Row],[Writing Score]]),Student­­Performance[[#This Row],[Writing Score]],0)</f>
        <v>79</v>
      </c>
      <c r="Q110" s="4" t="str">
        <f>IF(Student­­Performance[[#This Row],[Math Score]]&gt;=50,"Pass","Fail")</f>
        <v>Pass</v>
      </c>
      <c r="R110" s="4" t="str">
        <f>IF(Student­­Performance[[#This Row],[Reading Score]]&gt;=50,"Pass","Fail")</f>
        <v>Pass</v>
      </c>
      <c r="S110" s="4" t="str">
        <f>IF(Student­­Performance[[#This Row],[Writing Score]]&gt;=50,"Pass","Fail")</f>
        <v>Pass</v>
      </c>
      <c r="T11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255</v>
      </c>
      <c r="U110" s="4" cm="1">
        <f t="array" ref="U110">IF(COUNT(F110:H110)=0,"", MAX(IF(ISNUMBER(F110:H110),F110:H110)) - MIN(IF(ISNUMBER(F110:H110),F110:H110)))</f>
        <v>10</v>
      </c>
      <c r="V110" s="4" t="str">
        <f>IF(U110="","",IF(U110&gt;25,"Outlier","Normal"))</f>
        <v>Normal</v>
      </c>
    </row>
    <row r="111" spans="1:22" x14ac:dyDescent="0.3">
      <c r="A111" s="1" t="s">
        <v>17</v>
      </c>
      <c r="B111" s="1" t="s">
        <v>13</v>
      </c>
      <c r="C111" s="1" t="s">
        <v>86</v>
      </c>
      <c r="D111" s="1" t="s">
        <v>11</v>
      </c>
      <c r="E111" s="1" t="s">
        <v>12</v>
      </c>
      <c r="F111" s="4">
        <v>92</v>
      </c>
      <c r="G111" s="4">
        <v>79</v>
      </c>
      <c r="H111" s="4">
        <v>84</v>
      </c>
      <c r="I111" s="4">
        <f>AVERAGE(Student­­Performance[[#This Row],[Math Score]],Student­­Performance[[#This Row],[Reading Score]],Student­­Performance[[#This Row],[Writing Score]])</f>
        <v>85</v>
      </c>
      <c r="J111" s="10" t="str">
        <f>IF(Student­­Performance[[#This Row],[Average Score]]&gt;=50,"Pass","Fail")</f>
        <v>Pass</v>
      </c>
      <c r="K11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-13</v>
      </c>
      <c r="L11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11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111" s="4">
        <f>IF(ISNUMBER(Student­­Performance[[#This Row],[Math Score]]),Student­­Performance[[#This Row],[Math Score]],0)</f>
        <v>92</v>
      </c>
      <c r="O111" s="4">
        <f>IF(ISNUMBER(Student­­Performance[[#This Row],[Reading Score]]),Student­­Performance[[#This Row],[Reading Score]],0)</f>
        <v>79</v>
      </c>
      <c r="P111" s="4">
        <f>IF(ISNUMBER(Student­­Performance[[#This Row],[Writing Score]]),Student­­Performance[[#This Row],[Writing Score]],0)</f>
        <v>84</v>
      </c>
      <c r="Q111" s="4" t="str">
        <f>IF(Student­­Performance[[#This Row],[Math Score]]&gt;=50,"Pass","Fail")</f>
        <v>Pass</v>
      </c>
      <c r="R111" s="4" t="str">
        <f>IF(Student­­Performance[[#This Row],[Reading Score]]&gt;=50,"Pass","Fail")</f>
        <v>Pass</v>
      </c>
      <c r="S111" s="4" t="str">
        <f>IF(Student­­Performance[[#This Row],[Writing Score]]&gt;=50,"Pass","Fail")</f>
        <v>Pass</v>
      </c>
      <c r="T11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255</v>
      </c>
      <c r="U111" s="4" cm="1">
        <f t="array" ref="U111">IF(COUNT(F111:H111)=0,"", MAX(IF(ISNUMBER(F111:H111),F111:H111)) - MIN(IF(ISNUMBER(F111:H111),F111:H111)))</f>
        <v>13</v>
      </c>
      <c r="V111" s="4" t="str">
        <f>IF(U111="","",IF(U111&gt;25,"Outlier","Normal"))</f>
        <v>Normal</v>
      </c>
    </row>
    <row r="112" spans="1:22" x14ac:dyDescent="0.3">
      <c r="A112" s="1" t="s">
        <v>8</v>
      </c>
      <c r="B112" s="1" t="s">
        <v>21</v>
      </c>
      <c r="C112" s="1" t="s">
        <v>84</v>
      </c>
      <c r="D112" s="1" t="s">
        <v>20</v>
      </c>
      <c r="E112" s="1" t="s">
        <v>12</v>
      </c>
      <c r="F112" s="4">
        <v>79</v>
      </c>
      <c r="G112" s="4">
        <v>89</v>
      </c>
      <c r="H112" s="4">
        <v>86</v>
      </c>
      <c r="I112" s="4">
        <f>AVERAGE(Student­­Performance[[#This Row],[Math Score]],Student­­Performance[[#This Row],[Reading Score]],Student­­Performance[[#This Row],[Writing Score]])</f>
        <v>84.666666666666671</v>
      </c>
      <c r="J112" s="10" t="str">
        <f>IF(Student­­Performance[[#This Row],[Average Score]]&gt;=50,"Pass","Fail")</f>
        <v>Pass</v>
      </c>
      <c r="K11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11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11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112" s="4">
        <f>IF(ISNUMBER(Student­­Performance[[#This Row],[Math Score]]),Student­­Performance[[#This Row],[Math Score]],0)</f>
        <v>79</v>
      </c>
      <c r="O112" s="4">
        <f>IF(ISNUMBER(Student­­Performance[[#This Row],[Reading Score]]),Student­­Performance[[#This Row],[Reading Score]],0)</f>
        <v>89</v>
      </c>
      <c r="P112" s="4">
        <f>IF(ISNUMBER(Student­­Performance[[#This Row],[Writing Score]]),Student­­Performance[[#This Row],[Writing Score]],0)</f>
        <v>86</v>
      </c>
      <c r="Q112" s="4" t="str">
        <f>IF(Student­­Performance[[#This Row],[Math Score]]&gt;=50,"Pass","Fail")</f>
        <v>Pass</v>
      </c>
      <c r="R112" s="4" t="str">
        <f>IF(Student­­Performance[[#This Row],[Reading Score]]&gt;=50,"Pass","Fail")</f>
        <v>Pass</v>
      </c>
      <c r="S112" s="4" t="str">
        <f>IF(Student­­Performance[[#This Row],[Writing Score]]&gt;=50,"Pass","Fail")</f>
        <v>Pass</v>
      </c>
      <c r="T11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254</v>
      </c>
      <c r="U112" s="4" cm="1">
        <f t="array" ref="U112">IF(COUNT(F112:H112)=0,"", MAX(IF(ISNUMBER(F112:H112),F112:H112)) - MIN(IF(ISNUMBER(F112:H112),F112:H112)))</f>
        <v>10</v>
      </c>
      <c r="V112" s="4" t="str">
        <f>IF(U112="","",IF(U112&gt;25,"Outlier","Normal"))</f>
        <v>Normal</v>
      </c>
    </row>
    <row r="113" spans="1:22" x14ac:dyDescent="0.3">
      <c r="A113" s="1" t="s">
        <v>8</v>
      </c>
      <c r="B113" s="1" t="s">
        <v>9</v>
      </c>
      <c r="C113" s="1" t="s">
        <v>84</v>
      </c>
      <c r="D113" s="1" t="s">
        <v>11</v>
      </c>
      <c r="E113" s="1" t="s">
        <v>12</v>
      </c>
      <c r="F113" s="4">
        <v>82</v>
      </c>
      <c r="G113" s="4">
        <v>85</v>
      </c>
      <c r="H113" s="4">
        <v>87</v>
      </c>
      <c r="I113" s="4">
        <f>AVERAGE(Student­­Performance[[#This Row],[Math Score]],Student­­Performance[[#This Row],[Reading Score]],Student­­Performance[[#This Row],[Writing Score]])</f>
        <v>84.666666666666671</v>
      </c>
      <c r="J113" s="10" t="str">
        <f>IF(Student­­Performance[[#This Row],[Average Score]]&gt;=50,"Pass","Fail")</f>
        <v>Pass</v>
      </c>
      <c r="K11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11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11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113" s="4">
        <f>IF(ISNUMBER(Student­­Performance[[#This Row],[Math Score]]),Student­­Performance[[#This Row],[Math Score]],0)</f>
        <v>82</v>
      </c>
      <c r="O113" s="4">
        <f>IF(ISNUMBER(Student­­Performance[[#This Row],[Reading Score]]),Student­­Performance[[#This Row],[Reading Score]],0)</f>
        <v>85</v>
      </c>
      <c r="P113" s="4">
        <f>IF(ISNUMBER(Student­­Performance[[#This Row],[Writing Score]]),Student­­Performance[[#This Row],[Writing Score]],0)</f>
        <v>87</v>
      </c>
      <c r="Q113" s="4" t="str">
        <f>IF(Student­­Performance[[#This Row],[Math Score]]&gt;=50,"Pass","Fail")</f>
        <v>Pass</v>
      </c>
      <c r="R113" s="4" t="str">
        <f>IF(Student­­Performance[[#This Row],[Reading Score]]&gt;=50,"Pass","Fail")</f>
        <v>Pass</v>
      </c>
      <c r="S113" s="4" t="str">
        <f>IF(Student­­Performance[[#This Row],[Writing Score]]&gt;=50,"Pass","Fail")</f>
        <v>Pass</v>
      </c>
      <c r="T11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254</v>
      </c>
      <c r="U113" s="4" cm="1">
        <f t="array" ref="U113">IF(COUNT(F113:H113)=0,"", MAX(IF(ISNUMBER(F113:H113),F113:H113)) - MIN(IF(ISNUMBER(F113:H113),F113:H113)))</f>
        <v>5</v>
      </c>
      <c r="V113" s="4" t="str">
        <f>IF(U113="","",IF(U113&gt;25,"Outlier","Normal"))</f>
        <v>Normal</v>
      </c>
    </row>
    <row r="114" spans="1:22" x14ac:dyDescent="0.3">
      <c r="A114" s="1" t="s">
        <v>8</v>
      </c>
      <c r="B114" s="1" t="s">
        <v>26</v>
      </c>
      <c r="C114" s="1" t="s">
        <v>85</v>
      </c>
      <c r="D114" s="1" t="s">
        <v>20</v>
      </c>
      <c r="E114" s="1" t="s">
        <v>12</v>
      </c>
      <c r="F114" s="4">
        <v>81</v>
      </c>
      <c r="G114" s="4">
        <v>86</v>
      </c>
      <c r="H114" s="4">
        <v>87</v>
      </c>
      <c r="I114" s="4">
        <f>AVERAGE(Student­­Performance[[#This Row],[Math Score]],Student­­Performance[[#This Row],[Reading Score]],Student­­Performance[[#This Row],[Writing Score]])</f>
        <v>84.666666666666671</v>
      </c>
      <c r="J114" s="10" t="str">
        <f>IF(Student­­Performance[[#This Row],[Average Score]]&gt;=50,"Pass","Fail")</f>
        <v>Pass</v>
      </c>
      <c r="K11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11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11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114" s="4">
        <f>IF(ISNUMBER(Student­­Performance[[#This Row],[Math Score]]),Student­­Performance[[#This Row],[Math Score]],0)</f>
        <v>81</v>
      </c>
      <c r="O114" s="4">
        <f>IF(ISNUMBER(Student­­Performance[[#This Row],[Reading Score]]),Student­­Performance[[#This Row],[Reading Score]],0)</f>
        <v>86</v>
      </c>
      <c r="P114" s="4">
        <f>IF(ISNUMBER(Student­­Performance[[#This Row],[Writing Score]]),Student­­Performance[[#This Row],[Writing Score]],0)</f>
        <v>87</v>
      </c>
      <c r="Q114" s="4" t="str">
        <f>IF(Student­­Performance[[#This Row],[Math Score]]&gt;=50,"Pass","Fail")</f>
        <v>Pass</v>
      </c>
      <c r="R114" s="4" t="str">
        <f>IF(Student­­Performance[[#This Row],[Reading Score]]&gt;=50,"Pass","Fail")</f>
        <v>Pass</v>
      </c>
      <c r="S114" s="4" t="str">
        <f>IF(Student­­Performance[[#This Row],[Writing Score]]&gt;=50,"Pass","Fail")</f>
        <v>Pass</v>
      </c>
      <c r="T11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254</v>
      </c>
      <c r="U114" s="4" cm="1">
        <f t="array" ref="U114">IF(COUNT(F114:H114)=0,"", MAX(IF(ISNUMBER(F114:H114),F114:H114)) - MIN(IF(ISNUMBER(F114:H114),F114:H114)))</f>
        <v>6</v>
      </c>
      <c r="V114" s="4" t="str">
        <f>IF(U114="","",IF(U114&gt;25,"Outlier","Normal"))</f>
        <v>Normal</v>
      </c>
    </row>
    <row r="115" spans="1:22" x14ac:dyDescent="0.3">
      <c r="A115" s="1" t="s">
        <v>8</v>
      </c>
      <c r="B115" s="1" t="s">
        <v>21</v>
      </c>
      <c r="C115" s="1" t="s">
        <v>84</v>
      </c>
      <c r="D115" s="1" t="s">
        <v>11</v>
      </c>
      <c r="E115" s="1" t="s">
        <v>15</v>
      </c>
      <c r="F115" s="4">
        <v>79</v>
      </c>
      <c r="G115" s="4">
        <v>84</v>
      </c>
      <c r="H115" s="4">
        <v>91</v>
      </c>
      <c r="I115" s="4">
        <f>AVERAGE(Student­­Performance[[#This Row],[Math Score]],Student­­Performance[[#This Row],[Reading Score]],Student­­Performance[[#This Row],[Writing Score]])</f>
        <v>84.666666666666671</v>
      </c>
      <c r="J115" s="10" t="str">
        <f>IF(Student­­Performance[[#This Row],[Average Score]]&gt;=50,"Pass","Fail")</f>
        <v>Pass</v>
      </c>
      <c r="K11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11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7</v>
      </c>
      <c r="M11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115" s="4">
        <f>IF(ISNUMBER(Student­­Performance[[#This Row],[Math Score]]),Student­­Performance[[#This Row],[Math Score]],0)</f>
        <v>79</v>
      </c>
      <c r="O115" s="4">
        <f>IF(ISNUMBER(Student­­Performance[[#This Row],[Reading Score]]),Student­­Performance[[#This Row],[Reading Score]],0)</f>
        <v>84</v>
      </c>
      <c r="P115" s="4">
        <f>IF(ISNUMBER(Student­­Performance[[#This Row],[Writing Score]]),Student­­Performance[[#This Row],[Writing Score]],0)</f>
        <v>91</v>
      </c>
      <c r="Q115" s="4" t="str">
        <f>IF(Student­­Performance[[#This Row],[Math Score]]&gt;=50,"Pass","Fail")</f>
        <v>Pass</v>
      </c>
      <c r="R115" s="4" t="str">
        <f>IF(Student­­Performance[[#This Row],[Reading Score]]&gt;=50,"Pass","Fail")</f>
        <v>Pass</v>
      </c>
      <c r="S115" s="4" t="str">
        <f>IF(Student­­Performance[[#This Row],[Writing Score]]&gt;=50,"Pass","Fail")</f>
        <v>Pass</v>
      </c>
      <c r="T11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254</v>
      </c>
      <c r="U115" s="4" cm="1">
        <f t="array" ref="U115">IF(COUNT(F115:H115)=0,"", MAX(IF(ISNUMBER(F115:H115),F115:H115)) - MIN(IF(ISNUMBER(F115:H115),F115:H115)))</f>
        <v>12</v>
      </c>
      <c r="V115" s="4" t="str">
        <f>IF(U115="","",IF(U115&gt;25,"Outlier","Normal"))</f>
        <v>Normal</v>
      </c>
    </row>
    <row r="116" spans="1:22" x14ac:dyDescent="0.3">
      <c r="A116" s="1" t="s">
        <v>8</v>
      </c>
      <c r="B116" s="1" t="s">
        <v>21</v>
      </c>
      <c r="C116" s="1" t="s">
        <v>86</v>
      </c>
      <c r="D116" s="1" t="s">
        <v>20</v>
      </c>
      <c r="E116" s="1" t="s">
        <v>15</v>
      </c>
      <c r="F116" s="4">
        <v>75</v>
      </c>
      <c r="G116" s="4">
        <v>90</v>
      </c>
      <c r="H116" s="4">
        <v>88</v>
      </c>
      <c r="I116" s="4">
        <f>AVERAGE(Student­­Performance[[#This Row],[Math Score]],Student­­Performance[[#This Row],[Reading Score]],Student­­Performance[[#This Row],[Writing Score]])</f>
        <v>84.333333333333329</v>
      </c>
      <c r="J116" s="10" t="str">
        <f>IF(Student­­Performance[[#This Row],[Average Score]]&gt;=50,"Pass","Fail")</f>
        <v>Pass</v>
      </c>
      <c r="K11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15</v>
      </c>
      <c r="L11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11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13</v>
      </c>
      <c r="N116" s="4">
        <f>IF(ISNUMBER(Student­­Performance[[#This Row],[Math Score]]),Student­­Performance[[#This Row],[Math Score]],0)</f>
        <v>75</v>
      </c>
      <c r="O116" s="4">
        <f>IF(ISNUMBER(Student­­Performance[[#This Row],[Reading Score]]),Student­­Performance[[#This Row],[Reading Score]],0)</f>
        <v>90</v>
      </c>
      <c r="P116" s="4">
        <f>IF(ISNUMBER(Student­­Performance[[#This Row],[Writing Score]]),Student­­Performance[[#This Row],[Writing Score]],0)</f>
        <v>88</v>
      </c>
      <c r="Q116" s="4" t="str">
        <f>IF(Student­­Performance[[#This Row],[Math Score]]&gt;=50,"Pass","Fail")</f>
        <v>Pass</v>
      </c>
      <c r="R116" s="4" t="str">
        <f>IF(Student­­Performance[[#This Row],[Reading Score]]&gt;=50,"Pass","Fail")</f>
        <v>Pass</v>
      </c>
      <c r="S116" s="4" t="str">
        <f>IF(Student­­Performance[[#This Row],[Writing Score]]&gt;=50,"Pass","Fail")</f>
        <v>Pass</v>
      </c>
      <c r="T11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253</v>
      </c>
      <c r="U116" s="4" cm="1">
        <f t="array" ref="U116">IF(COUNT(F116:H116)=0,"", MAX(IF(ISNUMBER(F116:H116),F116:H116)) - MIN(IF(ISNUMBER(F116:H116),F116:H116)))</f>
        <v>15</v>
      </c>
      <c r="V116" s="4" t="str">
        <f>IF(U116="","",IF(U116&gt;25,"Outlier","Normal"))</f>
        <v>Normal</v>
      </c>
    </row>
    <row r="117" spans="1:22" x14ac:dyDescent="0.3">
      <c r="A117" s="1" t="s">
        <v>8</v>
      </c>
      <c r="B117" s="1" t="s">
        <v>26</v>
      </c>
      <c r="C117" s="1" t="s">
        <v>86</v>
      </c>
      <c r="D117" s="1" t="s">
        <v>11</v>
      </c>
      <c r="E117" s="1" t="s">
        <v>15</v>
      </c>
      <c r="F117" s="4">
        <v>82</v>
      </c>
      <c r="G117" s="4">
        <v>85</v>
      </c>
      <c r="H117" s="4">
        <v>86</v>
      </c>
      <c r="I117" s="4">
        <f>AVERAGE(Student­­Performance[[#This Row],[Math Score]],Student­­Performance[[#This Row],[Reading Score]],Student­­Performance[[#This Row],[Writing Score]])</f>
        <v>84.333333333333329</v>
      </c>
      <c r="J117" s="10" t="str">
        <f>IF(Student­­Performance[[#This Row],[Average Score]]&gt;=50,"Pass","Fail")</f>
        <v>Pass</v>
      </c>
      <c r="K11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11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11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117" s="4">
        <f>IF(ISNUMBER(Student­­Performance[[#This Row],[Math Score]]),Student­­Performance[[#This Row],[Math Score]],0)</f>
        <v>82</v>
      </c>
      <c r="O117" s="4">
        <f>IF(ISNUMBER(Student­­Performance[[#This Row],[Reading Score]]),Student­­Performance[[#This Row],[Reading Score]],0)</f>
        <v>85</v>
      </c>
      <c r="P117" s="4">
        <f>IF(ISNUMBER(Student­­Performance[[#This Row],[Writing Score]]),Student­­Performance[[#This Row],[Writing Score]],0)</f>
        <v>86</v>
      </c>
      <c r="Q117" s="4" t="str">
        <f>IF(Student­­Performance[[#This Row],[Math Score]]&gt;=50,"Pass","Fail")</f>
        <v>Pass</v>
      </c>
      <c r="R117" s="4" t="str">
        <f>IF(Student­­Performance[[#This Row],[Reading Score]]&gt;=50,"Pass","Fail")</f>
        <v>Pass</v>
      </c>
      <c r="S117" s="4" t="str">
        <f>IF(Student­­Performance[[#This Row],[Writing Score]]&gt;=50,"Pass","Fail")</f>
        <v>Pass</v>
      </c>
      <c r="T11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253</v>
      </c>
      <c r="U117" s="4" cm="1">
        <f t="array" ref="U117">IF(COUNT(F117:H117)=0,"", MAX(IF(ISNUMBER(F117:H117),F117:H117)) - MIN(IF(ISNUMBER(F117:H117),F117:H117)))</f>
        <v>4</v>
      </c>
      <c r="V117" s="4" t="str">
        <f>IF(U117="","",IF(U117&gt;25,"Outlier","Normal"))</f>
        <v>Normal</v>
      </c>
    </row>
    <row r="118" spans="1:22" x14ac:dyDescent="0.3">
      <c r="A118" s="1" t="s">
        <v>8</v>
      </c>
      <c r="B118" s="1" t="s">
        <v>13</v>
      </c>
      <c r="C118" s="1" t="s">
        <v>83</v>
      </c>
      <c r="D118" s="1" t="s">
        <v>11</v>
      </c>
      <c r="E118" s="1" t="s">
        <v>12</v>
      </c>
      <c r="F118" s="4">
        <v>77</v>
      </c>
      <c r="G118" s="4">
        <v>88</v>
      </c>
      <c r="H118" s="4">
        <v>87</v>
      </c>
      <c r="I118" s="4">
        <f>AVERAGE(Student­­Performance[[#This Row],[Math Score]],Student­­Performance[[#This Row],[Reading Score]],Student­­Performance[[#This Row],[Writing Score]])</f>
        <v>84</v>
      </c>
      <c r="J118" s="10" t="str">
        <f>IF(Student­­Performance[[#This Row],[Average Score]]&gt;=50,"Pass","Fail")</f>
        <v>Pass</v>
      </c>
      <c r="K11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11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11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118" s="4">
        <f>IF(ISNUMBER(Student­­Performance[[#This Row],[Math Score]]),Student­­Performance[[#This Row],[Math Score]],0)</f>
        <v>77</v>
      </c>
      <c r="O118" s="4">
        <f>IF(ISNUMBER(Student­­Performance[[#This Row],[Reading Score]]),Student­­Performance[[#This Row],[Reading Score]],0)</f>
        <v>88</v>
      </c>
      <c r="P118" s="4">
        <f>IF(ISNUMBER(Student­­Performance[[#This Row],[Writing Score]]),Student­­Performance[[#This Row],[Writing Score]],0)</f>
        <v>87</v>
      </c>
      <c r="Q118" s="4" t="str">
        <f>IF(Student­­Performance[[#This Row],[Math Score]]&gt;=50,"Pass","Fail")</f>
        <v>Pass</v>
      </c>
      <c r="R118" s="4" t="str">
        <f>IF(Student­­Performance[[#This Row],[Reading Score]]&gt;=50,"Pass","Fail")</f>
        <v>Pass</v>
      </c>
      <c r="S118" s="4" t="str">
        <f>IF(Student­­Performance[[#This Row],[Writing Score]]&gt;=50,"Pass","Fail")</f>
        <v>Pass</v>
      </c>
      <c r="T11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252</v>
      </c>
      <c r="U118" s="4" cm="1">
        <f t="array" ref="U118">IF(COUNT(F118:H118)=0,"", MAX(IF(ISNUMBER(F118:H118),F118:H118)) - MIN(IF(ISNUMBER(F118:H118),F118:H118)))</f>
        <v>11</v>
      </c>
      <c r="V118" s="4" t="str">
        <f>IF(U118="","",IF(U118&gt;25,"Outlier","Normal"))</f>
        <v>Normal</v>
      </c>
    </row>
    <row r="119" spans="1:22" x14ac:dyDescent="0.3">
      <c r="A119" s="1" t="s">
        <v>17</v>
      </c>
      <c r="B119" s="1" t="s">
        <v>21</v>
      </c>
      <c r="C119" s="1" t="s">
        <v>86</v>
      </c>
      <c r="D119" s="1" t="s">
        <v>20</v>
      </c>
      <c r="E119" s="1" t="s">
        <v>12</v>
      </c>
      <c r="F119" s="4">
        <v>90</v>
      </c>
      <c r="G119" s="4">
        <v>87</v>
      </c>
      <c r="H119" s="4">
        <v>75</v>
      </c>
      <c r="I119" s="4">
        <f>AVERAGE(Student­­Performance[[#This Row],[Math Score]],Student­­Performance[[#This Row],[Reading Score]],Student­­Performance[[#This Row],[Writing Score]])</f>
        <v>84</v>
      </c>
      <c r="J119" s="10" t="str">
        <f>IF(Student­­Performance[[#This Row],[Average Score]]&gt;=50,"Pass","Fail")</f>
        <v>Pass</v>
      </c>
      <c r="K11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11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-12</v>
      </c>
      <c r="M11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-15</v>
      </c>
      <c r="N119" s="4">
        <f>IF(ISNUMBER(Student­­Performance[[#This Row],[Math Score]]),Student­­Performance[[#This Row],[Math Score]],0)</f>
        <v>90</v>
      </c>
      <c r="O119" s="4">
        <f>IF(ISNUMBER(Student­­Performance[[#This Row],[Reading Score]]),Student­­Performance[[#This Row],[Reading Score]],0)</f>
        <v>87</v>
      </c>
      <c r="P119" s="4">
        <f>IF(ISNUMBER(Student­­Performance[[#This Row],[Writing Score]]),Student­­Performance[[#This Row],[Writing Score]],0)</f>
        <v>75</v>
      </c>
      <c r="Q119" s="4" t="str">
        <f>IF(Student­­Performance[[#This Row],[Math Score]]&gt;=50,"Pass","Fail")</f>
        <v>Pass</v>
      </c>
      <c r="R119" s="4" t="str">
        <f>IF(Student­­Performance[[#This Row],[Reading Score]]&gt;=50,"Pass","Fail")</f>
        <v>Pass</v>
      </c>
      <c r="S119" s="4" t="str">
        <f>IF(Student­­Performance[[#This Row],[Writing Score]]&gt;=50,"Pass","Fail")</f>
        <v>Pass</v>
      </c>
      <c r="T11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252</v>
      </c>
      <c r="U119" s="4" cm="1">
        <f t="array" ref="U119">IF(COUNT(F119:H119)=0,"", MAX(IF(ISNUMBER(F119:H119),F119:H119)) - MIN(IF(ISNUMBER(F119:H119),F119:H119)))</f>
        <v>15</v>
      </c>
      <c r="V119" s="4" t="str">
        <f>IF(U119="","",IF(U119&gt;25,"Outlier","Normal"))</f>
        <v>Normal</v>
      </c>
    </row>
    <row r="120" spans="1:22" x14ac:dyDescent="0.3">
      <c r="A120" s="1" t="s">
        <v>8</v>
      </c>
      <c r="B120" s="1" t="s">
        <v>21</v>
      </c>
      <c r="C120" s="1" t="s">
        <v>88</v>
      </c>
      <c r="D120" s="1" t="s">
        <v>11</v>
      </c>
      <c r="E120" s="1" t="s">
        <v>12</v>
      </c>
      <c r="F120" s="4">
        <v>80</v>
      </c>
      <c r="G120" s="4">
        <v>90</v>
      </c>
      <c r="H120" s="4">
        <v>82</v>
      </c>
      <c r="I120" s="4">
        <f>AVERAGE(Student­­Performance[[#This Row],[Math Score]],Student­­Performance[[#This Row],[Reading Score]],Student­­Performance[[#This Row],[Writing Score]])</f>
        <v>84</v>
      </c>
      <c r="J120" s="10" t="str">
        <f>IF(Student­­Performance[[#This Row],[Average Score]]&gt;=50,"Pass","Fail")</f>
        <v>Pass</v>
      </c>
      <c r="K12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12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-8</v>
      </c>
      <c r="M12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120" s="4">
        <f>IF(ISNUMBER(Student­­Performance[[#This Row],[Math Score]]),Student­­Performance[[#This Row],[Math Score]],0)</f>
        <v>80</v>
      </c>
      <c r="O120" s="4">
        <f>IF(ISNUMBER(Student­­Performance[[#This Row],[Reading Score]]),Student­­Performance[[#This Row],[Reading Score]],0)</f>
        <v>90</v>
      </c>
      <c r="P120" s="4">
        <f>IF(ISNUMBER(Student­­Performance[[#This Row],[Writing Score]]),Student­­Performance[[#This Row],[Writing Score]],0)</f>
        <v>82</v>
      </c>
      <c r="Q120" s="4" t="str">
        <f>IF(Student­­Performance[[#This Row],[Math Score]]&gt;=50,"Pass","Fail")</f>
        <v>Pass</v>
      </c>
      <c r="R120" s="4" t="str">
        <f>IF(Student­­Performance[[#This Row],[Reading Score]]&gt;=50,"Pass","Fail")</f>
        <v>Pass</v>
      </c>
      <c r="S120" s="4" t="str">
        <f>IF(Student­­Performance[[#This Row],[Writing Score]]&gt;=50,"Pass","Fail")</f>
        <v>Pass</v>
      </c>
      <c r="T12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252</v>
      </c>
      <c r="U120" s="4" cm="1">
        <f t="array" ref="U120">IF(COUNT(F120:H120)=0,"", MAX(IF(ISNUMBER(F120:H120),F120:H120)) - MIN(IF(ISNUMBER(F120:H120),F120:H120)))</f>
        <v>10</v>
      </c>
      <c r="V120" s="4" t="str">
        <f>IF(U120="","",IF(U120&gt;25,"Outlier","Normal"))</f>
        <v>Normal</v>
      </c>
    </row>
    <row r="121" spans="1:22" x14ac:dyDescent="0.3">
      <c r="A121" s="1" t="s">
        <v>8</v>
      </c>
      <c r="B121" s="1" t="s">
        <v>21</v>
      </c>
      <c r="C121" s="1" t="s">
        <v>86</v>
      </c>
      <c r="D121" s="1" t="s">
        <v>20</v>
      </c>
      <c r="E121" s="1" t="s">
        <v>15</v>
      </c>
      <c r="F121" s="4">
        <v>74</v>
      </c>
      <c r="G121" s="4">
        <v>88</v>
      </c>
      <c r="H121" s="4">
        <v>90</v>
      </c>
      <c r="I121" s="4">
        <f>AVERAGE(Student­­Performance[[#This Row],[Math Score]],Student­­Performance[[#This Row],[Reading Score]],Student­­Performance[[#This Row],[Writing Score]])</f>
        <v>84</v>
      </c>
      <c r="J121" s="10" t="str">
        <f>IF(Student­­Performance[[#This Row],[Average Score]]&gt;=50,"Pass","Fail")</f>
        <v>Pass</v>
      </c>
      <c r="K12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14</v>
      </c>
      <c r="L12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12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16</v>
      </c>
      <c r="N121" s="4">
        <f>IF(ISNUMBER(Student­­Performance[[#This Row],[Math Score]]),Student­­Performance[[#This Row],[Math Score]],0)</f>
        <v>74</v>
      </c>
      <c r="O121" s="4">
        <f>IF(ISNUMBER(Student­­Performance[[#This Row],[Reading Score]]),Student­­Performance[[#This Row],[Reading Score]],0)</f>
        <v>88</v>
      </c>
      <c r="P121" s="4">
        <f>IF(ISNUMBER(Student­­Performance[[#This Row],[Writing Score]]),Student­­Performance[[#This Row],[Writing Score]],0)</f>
        <v>90</v>
      </c>
      <c r="Q121" s="4" t="str">
        <f>IF(Student­­Performance[[#This Row],[Math Score]]&gt;=50,"Pass","Fail")</f>
        <v>Pass</v>
      </c>
      <c r="R121" s="4" t="str">
        <f>IF(Student­­Performance[[#This Row],[Reading Score]]&gt;=50,"Pass","Fail")</f>
        <v>Pass</v>
      </c>
      <c r="S121" s="4" t="str">
        <f>IF(Student­­Performance[[#This Row],[Writing Score]]&gt;=50,"Pass","Fail")</f>
        <v>Pass</v>
      </c>
      <c r="T12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252</v>
      </c>
      <c r="U121" s="4" cm="1">
        <f t="array" ref="U121">IF(COUNT(F121:H121)=0,"", MAX(IF(ISNUMBER(F121:H121),F121:H121)) - MIN(IF(ISNUMBER(F121:H121),F121:H121)))</f>
        <v>16</v>
      </c>
      <c r="V121" s="4" t="str">
        <f>IF(U121="","",IF(U121&gt;25,"Outlier","Normal"))</f>
        <v>Normal</v>
      </c>
    </row>
    <row r="122" spans="1:22" x14ac:dyDescent="0.3">
      <c r="A122" s="1" t="s">
        <v>8</v>
      </c>
      <c r="B122" s="1" t="s">
        <v>9</v>
      </c>
      <c r="C122" s="1" t="s">
        <v>88</v>
      </c>
      <c r="D122" s="1" t="s">
        <v>20</v>
      </c>
      <c r="E122" s="1" t="s">
        <v>15</v>
      </c>
      <c r="F122" s="4">
        <v>74</v>
      </c>
      <c r="G122" s="4">
        <v>90</v>
      </c>
      <c r="H122" s="4">
        <v>88</v>
      </c>
      <c r="I122" s="4">
        <f>AVERAGE(Student­­Performance[[#This Row],[Math Score]],Student­­Performance[[#This Row],[Reading Score]],Student­­Performance[[#This Row],[Writing Score]])</f>
        <v>84</v>
      </c>
      <c r="J122" s="10" t="str">
        <f>IF(Student­­Performance[[#This Row],[Average Score]]&gt;=50,"Pass","Fail")</f>
        <v>Pass</v>
      </c>
      <c r="K12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16</v>
      </c>
      <c r="L12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12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14</v>
      </c>
      <c r="N122" s="4">
        <f>IF(ISNUMBER(Student­­Performance[[#This Row],[Math Score]]),Student­­Performance[[#This Row],[Math Score]],0)</f>
        <v>74</v>
      </c>
      <c r="O122" s="4">
        <f>IF(ISNUMBER(Student­­Performance[[#This Row],[Reading Score]]),Student­­Performance[[#This Row],[Reading Score]],0)</f>
        <v>90</v>
      </c>
      <c r="P122" s="4">
        <f>IF(ISNUMBER(Student­­Performance[[#This Row],[Writing Score]]),Student­­Performance[[#This Row],[Writing Score]],0)</f>
        <v>88</v>
      </c>
      <c r="Q122" s="4" t="str">
        <f>IF(Student­­Performance[[#This Row],[Math Score]]&gt;=50,"Pass","Fail")</f>
        <v>Pass</v>
      </c>
      <c r="R122" s="4" t="str">
        <f>IF(Student­­Performance[[#This Row],[Reading Score]]&gt;=50,"Pass","Fail")</f>
        <v>Pass</v>
      </c>
      <c r="S122" s="4" t="str">
        <f>IF(Student­­Performance[[#This Row],[Writing Score]]&gt;=50,"Pass","Fail")</f>
        <v>Pass</v>
      </c>
      <c r="T12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252</v>
      </c>
      <c r="U122" s="4" cm="1">
        <f t="array" ref="U122">IF(COUNT(F122:H122)=0,"", MAX(IF(ISNUMBER(F122:H122),F122:H122)) - MIN(IF(ISNUMBER(F122:H122),F122:H122)))</f>
        <v>16</v>
      </c>
      <c r="V122" s="4" t="str">
        <f>IF(U122="","",IF(U122&gt;25,"Outlier","Normal"))</f>
        <v>Normal</v>
      </c>
    </row>
    <row r="123" spans="1:22" x14ac:dyDescent="0.3">
      <c r="A123" s="1" t="s">
        <v>8</v>
      </c>
      <c r="B123" s="1" t="s">
        <v>13</v>
      </c>
      <c r="C123" s="1" t="s">
        <v>88</v>
      </c>
      <c r="D123" s="1" t="s">
        <v>11</v>
      </c>
      <c r="E123" s="1" t="s">
        <v>15</v>
      </c>
      <c r="F123" s="4">
        <v>77</v>
      </c>
      <c r="G123" s="4">
        <v>90</v>
      </c>
      <c r="H123" s="4">
        <v>85</v>
      </c>
      <c r="I123" s="4">
        <f>AVERAGE(Student­­Performance[[#This Row],[Math Score]],Student­­Performance[[#This Row],[Reading Score]],Student­­Performance[[#This Row],[Writing Score]])</f>
        <v>84</v>
      </c>
      <c r="J123" s="10" t="str">
        <f>IF(Student­­Performance[[#This Row],[Average Score]]&gt;=50,"Pass","Fail")</f>
        <v>Pass</v>
      </c>
      <c r="K12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13</v>
      </c>
      <c r="L12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12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123" s="4">
        <f>IF(ISNUMBER(Student­­Performance[[#This Row],[Math Score]]),Student­­Performance[[#This Row],[Math Score]],0)</f>
        <v>77</v>
      </c>
      <c r="O123" s="4">
        <f>IF(ISNUMBER(Student­­Performance[[#This Row],[Reading Score]]),Student­­Performance[[#This Row],[Reading Score]],0)</f>
        <v>90</v>
      </c>
      <c r="P123" s="4">
        <f>IF(ISNUMBER(Student­­Performance[[#This Row],[Writing Score]]),Student­­Performance[[#This Row],[Writing Score]],0)</f>
        <v>85</v>
      </c>
      <c r="Q123" s="4" t="str">
        <f>IF(Student­­Performance[[#This Row],[Math Score]]&gt;=50,"Pass","Fail")</f>
        <v>Pass</v>
      </c>
      <c r="R123" s="4" t="str">
        <f>IF(Student­­Performance[[#This Row],[Reading Score]]&gt;=50,"Pass","Fail")</f>
        <v>Pass</v>
      </c>
      <c r="S123" s="4" t="str">
        <f>IF(Student­­Performance[[#This Row],[Writing Score]]&gt;=50,"Pass","Fail")</f>
        <v>Pass</v>
      </c>
      <c r="T12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252</v>
      </c>
      <c r="U123" s="4" cm="1">
        <f t="array" ref="U123">IF(COUNT(F123:H123)=0,"", MAX(IF(ISNUMBER(F123:H123),F123:H123)) - MIN(IF(ISNUMBER(F123:H123),F123:H123)))</f>
        <v>13</v>
      </c>
      <c r="V123" s="4" t="str">
        <f>IF(U123="","",IF(U123&gt;25,"Outlier","Normal"))</f>
        <v>Normal</v>
      </c>
    </row>
    <row r="124" spans="1:22" x14ac:dyDescent="0.3">
      <c r="A124" s="1" t="s">
        <v>17</v>
      </c>
      <c r="B124" s="1" t="s">
        <v>21</v>
      </c>
      <c r="C124" s="1" t="s">
        <v>84</v>
      </c>
      <c r="D124" s="1" t="s">
        <v>11</v>
      </c>
      <c r="E124" s="1" t="s">
        <v>15</v>
      </c>
      <c r="F124" s="4">
        <v>82</v>
      </c>
      <c r="G124" s="4">
        <v>82</v>
      </c>
      <c r="H124" s="4">
        <v>88</v>
      </c>
      <c r="I124" s="4">
        <f>AVERAGE(Student­­Performance[[#This Row],[Math Score]],Student­­Performance[[#This Row],[Reading Score]],Student­­Performance[[#This Row],[Writing Score]])</f>
        <v>84</v>
      </c>
      <c r="J124" s="10" t="str">
        <f>IF(Student­­Performance[[#This Row],[Average Score]]&gt;=50,"Pass","Fail")</f>
        <v>Pass</v>
      </c>
      <c r="K12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12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12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124" s="4">
        <f>IF(ISNUMBER(Student­­Performance[[#This Row],[Math Score]]),Student­­Performance[[#This Row],[Math Score]],0)</f>
        <v>82</v>
      </c>
      <c r="O124" s="4">
        <f>IF(ISNUMBER(Student­­Performance[[#This Row],[Reading Score]]),Student­­Performance[[#This Row],[Reading Score]],0)</f>
        <v>82</v>
      </c>
      <c r="P124" s="4">
        <f>IF(ISNUMBER(Student­­Performance[[#This Row],[Writing Score]]),Student­­Performance[[#This Row],[Writing Score]],0)</f>
        <v>88</v>
      </c>
      <c r="Q124" s="4" t="str">
        <f>IF(Student­­Performance[[#This Row],[Math Score]]&gt;=50,"Pass","Fail")</f>
        <v>Pass</v>
      </c>
      <c r="R124" s="4" t="str">
        <f>IF(Student­­Performance[[#This Row],[Reading Score]]&gt;=50,"Pass","Fail")</f>
        <v>Pass</v>
      </c>
      <c r="S124" s="4" t="str">
        <f>IF(Student­­Performance[[#This Row],[Writing Score]]&gt;=50,"Pass","Fail")</f>
        <v>Pass</v>
      </c>
      <c r="T12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252</v>
      </c>
      <c r="U124" s="4" cm="1">
        <f t="array" ref="U124">IF(COUNT(F124:H124)=0,"", MAX(IF(ISNUMBER(F124:H124),F124:H124)) - MIN(IF(ISNUMBER(F124:H124),F124:H124)))</f>
        <v>6</v>
      </c>
      <c r="V124" s="4" t="str">
        <f>IF(U124="","",IF(U124&gt;25,"Outlier","Normal"))</f>
        <v>Normal</v>
      </c>
    </row>
    <row r="125" spans="1:22" x14ac:dyDescent="0.3">
      <c r="A125" s="1" t="s">
        <v>17</v>
      </c>
      <c r="B125" s="1" t="s">
        <v>13</v>
      </c>
      <c r="C125" s="1" t="s">
        <v>84</v>
      </c>
      <c r="D125" s="1" t="s">
        <v>11</v>
      </c>
      <c r="E125" s="1" t="s">
        <v>12</v>
      </c>
      <c r="F125" s="4">
        <v>84</v>
      </c>
      <c r="G125" s="4">
        <v>87</v>
      </c>
      <c r="H125" s="4">
        <v>81</v>
      </c>
      <c r="I125" s="4">
        <f>AVERAGE(Student­­Performance[[#This Row],[Math Score]],Student­­Performance[[#This Row],[Reading Score]],Student­­Performance[[#This Row],[Writing Score]])</f>
        <v>84</v>
      </c>
      <c r="J125" s="10" t="str">
        <f>IF(Student­­Performance[[#This Row],[Average Score]]&gt;=50,"Pass","Fail")</f>
        <v>Pass</v>
      </c>
      <c r="K12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12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12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125" s="4">
        <f>IF(ISNUMBER(Student­­Performance[[#This Row],[Math Score]]),Student­­Performance[[#This Row],[Math Score]],0)</f>
        <v>84</v>
      </c>
      <c r="O125" s="4">
        <f>IF(ISNUMBER(Student­­Performance[[#This Row],[Reading Score]]),Student­­Performance[[#This Row],[Reading Score]],0)</f>
        <v>87</v>
      </c>
      <c r="P125" s="4">
        <f>IF(ISNUMBER(Student­­Performance[[#This Row],[Writing Score]]),Student­­Performance[[#This Row],[Writing Score]],0)</f>
        <v>81</v>
      </c>
      <c r="Q125" s="4" t="str">
        <f>IF(Student­­Performance[[#This Row],[Math Score]]&gt;=50,"Pass","Fail")</f>
        <v>Pass</v>
      </c>
      <c r="R125" s="4" t="str">
        <f>IF(Student­­Performance[[#This Row],[Reading Score]]&gt;=50,"Pass","Fail")</f>
        <v>Pass</v>
      </c>
      <c r="S125" s="4" t="str">
        <f>IF(Student­­Performance[[#This Row],[Writing Score]]&gt;=50,"Pass","Fail")</f>
        <v>Pass</v>
      </c>
      <c r="T12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252</v>
      </c>
      <c r="U125" s="4" cm="1">
        <f t="array" ref="U125">IF(COUNT(F125:H125)=0,"", MAX(IF(ISNUMBER(F125:H125),F125:H125)) - MIN(IF(ISNUMBER(F125:H125),F125:H125)))</f>
        <v>6</v>
      </c>
      <c r="V125" s="4" t="str">
        <f>IF(U125="","",IF(U125&gt;25,"Outlier","Normal"))</f>
        <v>Normal</v>
      </c>
    </row>
    <row r="126" spans="1:22" x14ac:dyDescent="0.3">
      <c r="A126" s="1" t="s">
        <v>8</v>
      </c>
      <c r="B126" s="1" t="s">
        <v>13</v>
      </c>
      <c r="C126" s="1" t="s">
        <v>86</v>
      </c>
      <c r="D126" s="1" t="s">
        <v>11</v>
      </c>
      <c r="E126" s="1" t="s">
        <v>12</v>
      </c>
      <c r="F126" s="4">
        <v>85</v>
      </c>
      <c r="G126" s="4">
        <v>84</v>
      </c>
      <c r="H126" s="4">
        <v>82</v>
      </c>
      <c r="I126" s="4">
        <f>AVERAGE(Student­­Performance[[#This Row],[Math Score]],Student­­Performance[[#This Row],[Reading Score]],Student­­Performance[[#This Row],[Writing Score]])</f>
        <v>83.666666666666671</v>
      </c>
      <c r="J126" s="10" t="str">
        <f>IF(Student­­Performance[[#This Row],[Average Score]]&gt;=50,"Pass","Fail")</f>
        <v>Pass</v>
      </c>
      <c r="K12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12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12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126" s="4">
        <f>IF(ISNUMBER(Student­­Performance[[#This Row],[Math Score]]),Student­­Performance[[#This Row],[Math Score]],0)</f>
        <v>85</v>
      </c>
      <c r="O126" s="4">
        <f>IF(ISNUMBER(Student­­Performance[[#This Row],[Reading Score]]),Student­­Performance[[#This Row],[Reading Score]],0)</f>
        <v>84</v>
      </c>
      <c r="P126" s="4">
        <f>IF(ISNUMBER(Student­­Performance[[#This Row],[Writing Score]]),Student­­Performance[[#This Row],[Writing Score]],0)</f>
        <v>82</v>
      </c>
      <c r="Q126" s="4" t="str">
        <f>IF(Student­­Performance[[#This Row],[Math Score]]&gt;=50,"Pass","Fail")</f>
        <v>Pass</v>
      </c>
      <c r="R126" s="4" t="str">
        <f>IF(Student­­Performance[[#This Row],[Reading Score]]&gt;=50,"Pass","Fail")</f>
        <v>Pass</v>
      </c>
      <c r="S126" s="4" t="str">
        <f>IF(Student­­Performance[[#This Row],[Writing Score]]&gt;=50,"Pass","Fail")</f>
        <v>Pass</v>
      </c>
      <c r="T12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251</v>
      </c>
      <c r="U126" s="4" cm="1">
        <f t="array" ref="U126">IF(COUNT(F126:H126)=0,"", MAX(IF(ISNUMBER(F126:H126),F126:H126)) - MIN(IF(ISNUMBER(F126:H126),F126:H126)))</f>
        <v>3</v>
      </c>
      <c r="V126" s="4" t="str">
        <f>IF(U126="","",IF(U126&gt;25,"Outlier","Normal"))</f>
        <v>Normal</v>
      </c>
    </row>
    <row r="127" spans="1:22" x14ac:dyDescent="0.3">
      <c r="A127" s="1" t="s">
        <v>8</v>
      </c>
      <c r="B127" s="1" t="s">
        <v>9</v>
      </c>
      <c r="C127" s="1" t="s">
        <v>85</v>
      </c>
      <c r="D127" s="1" t="s">
        <v>11</v>
      </c>
      <c r="E127" s="1" t="s">
        <v>12</v>
      </c>
      <c r="F127" s="4">
        <v>77</v>
      </c>
      <c r="G127" s="4">
        <v>90</v>
      </c>
      <c r="H127" s="4">
        <v>84</v>
      </c>
      <c r="I127" s="4">
        <f>AVERAGE(Student­­Performance[[#This Row],[Math Score]],Student­­Performance[[#This Row],[Reading Score]],Student­­Performance[[#This Row],[Writing Score]])</f>
        <v>83.666666666666671</v>
      </c>
      <c r="J127" s="10" t="str">
        <f>IF(Student­­Performance[[#This Row],[Average Score]]&gt;=50,"Pass","Fail")</f>
        <v>Pass</v>
      </c>
      <c r="K12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13</v>
      </c>
      <c r="L12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12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127" s="4">
        <f>IF(ISNUMBER(Student­­Performance[[#This Row],[Math Score]]),Student­­Performance[[#This Row],[Math Score]],0)</f>
        <v>77</v>
      </c>
      <c r="O127" s="4">
        <f>IF(ISNUMBER(Student­­Performance[[#This Row],[Reading Score]]),Student­­Performance[[#This Row],[Reading Score]],0)</f>
        <v>90</v>
      </c>
      <c r="P127" s="4">
        <f>IF(ISNUMBER(Student­­Performance[[#This Row],[Writing Score]]),Student­­Performance[[#This Row],[Writing Score]],0)</f>
        <v>84</v>
      </c>
      <c r="Q127" s="4" t="str">
        <f>IF(Student­­Performance[[#This Row],[Math Score]]&gt;=50,"Pass","Fail")</f>
        <v>Pass</v>
      </c>
      <c r="R127" s="4" t="str">
        <f>IF(Student­­Performance[[#This Row],[Reading Score]]&gt;=50,"Pass","Fail")</f>
        <v>Pass</v>
      </c>
      <c r="S127" s="4" t="str">
        <f>IF(Student­­Performance[[#This Row],[Writing Score]]&gt;=50,"Pass","Fail")</f>
        <v>Pass</v>
      </c>
      <c r="T12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251</v>
      </c>
      <c r="U127" s="4" cm="1">
        <f t="array" ref="U127">IF(COUNT(F127:H127)=0,"", MAX(IF(ISNUMBER(F127:H127),F127:H127)) - MIN(IF(ISNUMBER(F127:H127),F127:H127)))</f>
        <v>13</v>
      </c>
      <c r="V127" s="4" t="str">
        <f>IF(U127="","",IF(U127&gt;25,"Outlier","Normal"))</f>
        <v>Normal</v>
      </c>
    </row>
    <row r="128" spans="1:22" x14ac:dyDescent="0.3">
      <c r="A128" s="1" t="s">
        <v>17</v>
      </c>
      <c r="B128" s="1" t="s">
        <v>13</v>
      </c>
      <c r="C128" s="1" t="s">
        <v>83</v>
      </c>
      <c r="D128" s="1" t="s">
        <v>11</v>
      </c>
      <c r="E128" s="1" t="s">
        <v>15</v>
      </c>
      <c r="F128" s="4">
        <v>91</v>
      </c>
      <c r="G128" s="4">
        <v>81</v>
      </c>
      <c r="H128" s="4">
        <v>79</v>
      </c>
      <c r="I128" s="4">
        <f>AVERAGE(Student­­Performance[[#This Row],[Math Score]],Student­­Performance[[#This Row],[Reading Score]],Student­­Performance[[#This Row],[Writing Score]])</f>
        <v>83.666666666666671</v>
      </c>
      <c r="J128" s="10" t="str">
        <f>IF(Student­­Performance[[#This Row],[Average Score]]&gt;=50,"Pass","Fail")</f>
        <v>Pass</v>
      </c>
      <c r="K12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-10</v>
      </c>
      <c r="L12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12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-12</v>
      </c>
      <c r="N128" s="4">
        <f>IF(ISNUMBER(Student­­Performance[[#This Row],[Math Score]]),Student­­Performance[[#This Row],[Math Score]],0)</f>
        <v>91</v>
      </c>
      <c r="O128" s="4">
        <f>IF(ISNUMBER(Student­­Performance[[#This Row],[Reading Score]]),Student­­Performance[[#This Row],[Reading Score]],0)</f>
        <v>81</v>
      </c>
      <c r="P128" s="4">
        <f>IF(ISNUMBER(Student­­Performance[[#This Row],[Writing Score]]),Student­­Performance[[#This Row],[Writing Score]],0)</f>
        <v>79</v>
      </c>
      <c r="Q128" s="4" t="str">
        <f>IF(Student­­Performance[[#This Row],[Math Score]]&gt;=50,"Pass","Fail")</f>
        <v>Pass</v>
      </c>
      <c r="R128" s="4" t="str">
        <f>IF(Student­­Performance[[#This Row],[Reading Score]]&gt;=50,"Pass","Fail")</f>
        <v>Pass</v>
      </c>
      <c r="S128" s="4" t="str">
        <f>IF(Student­­Performance[[#This Row],[Writing Score]]&gt;=50,"Pass","Fail")</f>
        <v>Pass</v>
      </c>
      <c r="T12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251</v>
      </c>
      <c r="U128" s="4" cm="1">
        <f t="array" ref="U128">IF(COUNT(F128:H128)=0,"", MAX(IF(ISNUMBER(F128:H128),F128:H128)) - MIN(IF(ISNUMBER(F128:H128),F128:H128)))</f>
        <v>12</v>
      </c>
      <c r="V128" s="4" t="str">
        <f>IF(U128="","",IF(U128&gt;25,"Outlier","Normal"))</f>
        <v>Normal</v>
      </c>
    </row>
    <row r="129" spans="1:22" x14ac:dyDescent="0.3">
      <c r="A129" s="1" t="s">
        <v>17</v>
      </c>
      <c r="B129" s="1" t="s">
        <v>21</v>
      </c>
      <c r="C129" s="1" t="s">
        <v>84</v>
      </c>
      <c r="D129" s="1" t="s">
        <v>11</v>
      </c>
      <c r="E129" s="1" t="s">
        <v>15</v>
      </c>
      <c r="F129" s="4">
        <v>85</v>
      </c>
      <c r="G129" s="4">
        <v>81</v>
      </c>
      <c r="H129" s="4">
        <v>85</v>
      </c>
      <c r="I129" s="4">
        <f>AVERAGE(Student­­Performance[[#This Row],[Math Score]],Student­­Performance[[#This Row],[Reading Score]],Student­­Performance[[#This Row],[Writing Score]])</f>
        <v>83.666666666666671</v>
      </c>
      <c r="J129" s="10" t="str">
        <f>IF(Student­­Performance[[#This Row],[Average Score]]&gt;=50,"Pass","Fail")</f>
        <v>Pass</v>
      </c>
      <c r="K12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12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12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129" s="4">
        <f>IF(ISNUMBER(Student­­Performance[[#This Row],[Math Score]]),Student­­Performance[[#This Row],[Math Score]],0)</f>
        <v>85</v>
      </c>
      <c r="O129" s="4">
        <f>IF(ISNUMBER(Student­­Performance[[#This Row],[Reading Score]]),Student­­Performance[[#This Row],[Reading Score]],0)</f>
        <v>81</v>
      </c>
      <c r="P129" s="4">
        <f>IF(ISNUMBER(Student­­Performance[[#This Row],[Writing Score]]),Student­­Performance[[#This Row],[Writing Score]],0)</f>
        <v>85</v>
      </c>
      <c r="Q129" s="4" t="str">
        <f>IF(Student­­Performance[[#This Row],[Math Score]]&gt;=50,"Pass","Fail")</f>
        <v>Pass</v>
      </c>
      <c r="R129" s="4" t="str">
        <f>IF(Student­­Performance[[#This Row],[Reading Score]]&gt;=50,"Pass","Fail")</f>
        <v>Pass</v>
      </c>
      <c r="S129" s="4" t="str">
        <f>IF(Student­­Performance[[#This Row],[Writing Score]]&gt;=50,"Pass","Fail")</f>
        <v>Pass</v>
      </c>
      <c r="T12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251</v>
      </c>
      <c r="U129" s="4" cm="1">
        <f t="array" ref="U129">IF(COUNT(F129:H129)=0,"", MAX(IF(ISNUMBER(F129:H129),F129:H129)) - MIN(IF(ISNUMBER(F129:H129),F129:H129)))</f>
        <v>4</v>
      </c>
      <c r="V129" s="4" t="str">
        <f>IF(U129="","",IF(U129&gt;25,"Outlier","Normal"))</f>
        <v>Normal</v>
      </c>
    </row>
    <row r="130" spans="1:22" x14ac:dyDescent="0.3">
      <c r="A130" s="1" t="s">
        <v>8</v>
      </c>
      <c r="B130" s="1" t="s">
        <v>21</v>
      </c>
      <c r="C130" s="1" t="s">
        <v>85</v>
      </c>
      <c r="D130" s="1" t="s">
        <v>11</v>
      </c>
      <c r="E130" s="1" t="s">
        <v>15</v>
      </c>
      <c r="F130" s="4">
        <v>77</v>
      </c>
      <c r="G130" s="4">
        <v>82</v>
      </c>
      <c r="H130" s="4">
        <v>91</v>
      </c>
      <c r="I130" s="4">
        <f>AVERAGE(Student­­Performance[[#This Row],[Math Score]],Student­­Performance[[#This Row],[Reading Score]],Student­­Performance[[#This Row],[Writing Score]])</f>
        <v>83.333333333333329</v>
      </c>
      <c r="J130" s="10" t="str">
        <f>IF(Student­­Performance[[#This Row],[Average Score]]&gt;=50,"Pass","Fail")</f>
        <v>Pass</v>
      </c>
      <c r="K13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13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9</v>
      </c>
      <c r="M13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14</v>
      </c>
      <c r="N130" s="4">
        <f>IF(ISNUMBER(Student­­Performance[[#This Row],[Math Score]]),Student­­Performance[[#This Row],[Math Score]],0)</f>
        <v>77</v>
      </c>
      <c r="O130" s="4">
        <f>IF(ISNUMBER(Student­­Performance[[#This Row],[Reading Score]]),Student­­Performance[[#This Row],[Reading Score]],0)</f>
        <v>82</v>
      </c>
      <c r="P130" s="4">
        <f>IF(ISNUMBER(Student­­Performance[[#This Row],[Writing Score]]),Student­­Performance[[#This Row],[Writing Score]],0)</f>
        <v>91</v>
      </c>
      <c r="Q130" s="4" t="str">
        <f>IF(Student­­Performance[[#This Row],[Math Score]]&gt;=50,"Pass","Fail")</f>
        <v>Pass</v>
      </c>
      <c r="R130" s="4" t="str">
        <f>IF(Student­­Performance[[#This Row],[Reading Score]]&gt;=50,"Pass","Fail")</f>
        <v>Pass</v>
      </c>
      <c r="S130" s="4" t="str">
        <f>IF(Student­­Performance[[#This Row],[Writing Score]]&gt;=50,"Pass","Fail")</f>
        <v>Pass</v>
      </c>
      <c r="T13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250</v>
      </c>
      <c r="U130" s="4" cm="1">
        <f t="array" ref="U130">IF(COUNT(F130:H130)=0,"", MAX(IF(ISNUMBER(F130:H130),F130:H130)) - MIN(IF(ISNUMBER(F130:H130),F130:H130)))</f>
        <v>14</v>
      </c>
      <c r="V130" s="4" t="str">
        <f>IF(U130="","",IF(U130&gt;25,"Outlier","Normal"))</f>
        <v>Normal</v>
      </c>
    </row>
    <row r="131" spans="1:22" x14ac:dyDescent="0.3">
      <c r="A131" s="1" t="s">
        <v>8</v>
      </c>
      <c r="B131" s="1" t="s">
        <v>18</v>
      </c>
      <c r="C131" s="1" t="s">
        <v>87</v>
      </c>
      <c r="D131" s="1" t="s">
        <v>20</v>
      </c>
      <c r="E131" s="1" t="s">
        <v>15</v>
      </c>
      <c r="F131" s="4">
        <v>77</v>
      </c>
      <c r="G131" s="4">
        <v>88</v>
      </c>
      <c r="H131" s="4">
        <v>85</v>
      </c>
      <c r="I131" s="4">
        <f>AVERAGE(Student­­Performance[[#This Row],[Math Score]],Student­­Performance[[#This Row],[Reading Score]],Student­­Performance[[#This Row],[Writing Score]])</f>
        <v>83.333333333333329</v>
      </c>
      <c r="J131" s="10" t="str">
        <f>IF(Student­­Performance[[#This Row],[Average Score]]&gt;=50,"Pass","Fail")</f>
        <v>Pass</v>
      </c>
      <c r="K13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13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13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131" s="4">
        <f>IF(ISNUMBER(Student­­Performance[[#This Row],[Math Score]]),Student­­Performance[[#This Row],[Math Score]],0)</f>
        <v>77</v>
      </c>
      <c r="O131" s="4">
        <f>IF(ISNUMBER(Student­­Performance[[#This Row],[Reading Score]]),Student­­Performance[[#This Row],[Reading Score]],0)</f>
        <v>88</v>
      </c>
      <c r="P131" s="4">
        <f>IF(ISNUMBER(Student­­Performance[[#This Row],[Writing Score]]),Student­­Performance[[#This Row],[Writing Score]],0)</f>
        <v>85</v>
      </c>
      <c r="Q131" s="4" t="str">
        <f>IF(Student­­Performance[[#This Row],[Math Score]]&gt;=50,"Pass","Fail")</f>
        <v>Pass</v>
      </c>
      <c r="R131" s="4" t="str">
        <f>IF(Student­­Performance[[#This Row],[Reading Score]]&gt;=50,"Pass","Fail")</f>
        <v>Pass</v>
      </c>
      <c r="S131" s="4" t="str">
        <f>IF(Student­­Performance[[#This Row],[Writing Score]]&gt;=50,"Pass","Fail")</f>
        <v>Pass</v>
      </c>
      <c r="T13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250</v>
      </c>
      <c r="U131" s="4" cm="1">
        <f t="array" ref="U131">IF(COUNT(F131:H131)=0,"", MAX(IF(ISNUMBER(F131:H131),F131:H131)) - MIN(IF(ISNUMBER(F131:H131),F131:H131)))</f>
        <v>11</v>
      </c>
      <c r="V131" s="4" t="str">
        <f>IF(U131="","",IF(U131&gt;25,"Outlier","Normal"))</f>
        <v>Normal</v>
      </c>
    </row>
    <row r="132" spans="1:22" x14ac:dyDescent="0.3">
      <c r="A132" s="1" t="s">
        <v>17</v>
      </c>
      <c r="B132" s="1" t="s">
        <v>26</v>
      </c>
      <c r="C132" s="1" t="s">
        <v>88</v>
      </c>
      <c r="D132" s="1" t="s">
        <v>11</v>
      </c>
      <c r="E132" s="1" t="s">
        <v>15</v>
      </c>
      <c r="F132" s="4">
        <v>89</v>
      </c>
      <c r="G132" s="4">
        <v>84</v>
      </c>
      <c r="H132" s="4">
        <v>77</v>
      </c>
      <c r="I132" s="4">
        <f>AVERAGE(Student­­Performance[[#This Row],[Math Score]],Student­­Performance[[#This Row],[Reading Score]],Student­­Performance[[#This Row],[Writing Score]])</f>
        <v>83.333333333333329</v>
      </c>
      <c r="J132" s="10" t="str">
        <f>IF(Student­­Performance[[#This Row],[Average Score]]&gt;=50,"Pass","Fail")</f>
        <v>Pass</v>
      </c>
      <c r="K13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13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13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-12</v>
      </c>
      <c r="N132" s="4">
        <f>IF(ISNUMBER(Student­­Performance[[#This Row],[Math Score]]),Student­­Performance[[#This Row],[Math Score]],0)</f>
        <v>89</v>
      </c>
      <c r="O132" s="4">
        <f>IF(ISNUMBER(Student­­Performance[[#This Row],[Reading Score]]),Student­­Performance[[#This Row],[Reading Score]],0)</f>
        <v>84</v>
      </c>
      <c r="P132" s="4">
        <f>IF(ISNUMBER(Student­­Performance[[#This Row],[Writing Score]]),Student­­Performance[[#This Row],[Writing Score]],0)</f>
        <v>77</v>
      </c>
      <c r="Q132" s="4" t="str">
        <f>IF(Student­­Performance[[#This Row],[Math Score]]&gt;=50,"Pass","Fail")</f>
        <v>Pass</v>
      </c>
      <c r="R132" s="4" t="str">
        <f>IF(Student­­Performance[[#This Row],[Reading Score]]&gt;=50,"Pass","Fail")</f>
        <v>Pass</v>
      </c>
      <c r="S132" s="4" t="str">
        <f>IF(Student­­Performance[[#This Row],[Writing Score]]&gt;=50,"Pass","Fail")</f>
        <v>Pass</v>
      </c>
      <c r="T13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250</v>
      </c>
      <c r="U132" s="4" cm="1">
        <f t="array" ref="U132">IF(COUNT(F132:H132)=0,"", MAX(IF(ISNUMBER(F132:H132),F132:H132)) - MIN(IF(ISNUMBER(F132:H132),F132:H132)))</f>
        <v>12</v>
      </c>
      <c r="V132" s="4" t="str">
        <f>IF(U132="","",IF(U132&gt;25,"Outlier","Normal"))</f>
        <v>Normal</v>
      </c>
    </row>
    <row r="133" spans="1:22" x14ac:dyDescent="0.3">
      <c r="A133" s="1" t="s">
        <v>17</v>
      </c>
      <c r="B133" s="1" t="s">
        <v>9</v>
      </c>
      <c r="C133" s="1" t="s">
        <v>88</v>
      </c>
      <c r="D133" s="1" t="s">
        <v>11</v>
      </c>
      <c r="E133" s="1" t="s">
        <v>15</v>
      </c>
      <c r="F133" s="4">
        <v>79</v>
      </c>
      <c r="G133" s="4">
        <v>85</v>
      </c>
      <c r="H133" s="4">
        <v>86</v>
      </c>
      <c r="I133" s="4">
        <f>AVERAGE(Student­­Performance[[#This Row],[Math Score]],Student­­Performance[[#This Row],[Reading Score]],Student­­Performance[[#This Row],[Writing Score]])</f>
        <v>83.333333333333329</v>
      </c>
      <c r="J133" s="10" t="str">
        <f>IF(Student­­Performance[[#This Row],[Average Score]]&gt;=50,"Pass","Fail")</f>
        <v>Pass</v>
      </c>
      <c r="K13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13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13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133" s="4">
        <f>IF(ISNUMBER(Student­­Performance[[#This Row],[Math Score]]),Student­­Performance[[#This Row],[Math Score]],0)</f>
        <v>79</v>
      </c>
      <c r="O133" s="4">
        <f>IF(ISNUMBER(Student­­Performance[[#This Row],[Reading Score]]),Student­­Performance[[#This Row],[Reading Score]],0)</f>
        <v>85</v>
      </c>
      <c r="P133" s="4">
        <f>IF(ISNUMBER(Student­­Performance[[#This Row],[Writing Score]]),Student­­Performance[[#This Row],[Writing Score]],0)</f>
        <v>86</v>
      </c>
      <c r="Q133" s="4" t="str">
        <f>IF(Student­­Performance[[#This Row],[Math Score]]&gt;=50,"Pass","Fail")</f>
        <v>Pass</v>
      </c>
      <c r="R133" s="4" t="str">
        <f>IF(Student­­Performance[[#This Row],[Reading Score]]&gt;=50,"Pass","Fail")</f>
        <v>Pass</v>
      </c>
      <c r="S133" s="4" t="str">
        <f>IF(Student­­Performance[[#This Row],[Writing Score]]&gt;=50,"Pass","Fail")</f>
        <v>Pass</v>
      </c>
      <c r="T13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250</v>
      </c>
      <c r="U133" s="4" cm="1">
        <f t="array" ref="U133">IF(COUNT(F133:H133)=0,"", MAX(IF(ISNUMBER(F133:H133),F133:H133)) - MIN(IF(ISNUMBER(F133:H133),F133:H133)))</f>
        <v>7</v>
      </c>
      <c r="V133" s="4" t="str">
        <f>IF(U133="","",IF(U133&gt;25,"Outlier","Normal"))</f>
        <v>Normal</v>
      </c>
    </row>
    <row r="134" spans="1:22" x14ac:dyDescent="0.3">
      <c r="A134" s="1" t="s">
        <v>17</v>
      </c>
      <c r="B134" s="1" t="s">
        <v>13</v>
      </c>
      <c r="C134" s="1" t="s">
        <v>83</v>
      </c>
      <c r="D134" s="1" t="s">
        <v>11</v>
      </c>
      <c r="E134" s="1" t="s">
        <v>15</v>
      </c>
      <c r="F134" s="4">
        <v>83</v>
      </c>
      <c r="G134" s="4">
        <v>82</v>
      </c>
      <c r="H134" s="4">
        <v>84</v>
      </c>
      <c r="I134" s="4">
        <f>AVERAGE(Student­­Performance[[#This Row],[Math Score]],Student­­Performance[[#This Row],[Reading Score]],Student­­Performance[[#This Row],[Writing Score]])</f>
        <v>83</v>
      </c>
      <c r="J134" s="10" t="str">
        <f>IF(Student­­Performance[[#This Row],[Average Score]]&gt;=50,"Pass","Fail")</f>
        <v>Pass</v>
      </c>
      <c r="K13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13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13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134" s="4">
        <f>IF(ISNUMBER(Student­­Performance[[#This Row],[Math Score]]),Student­­Performance[[#This Row],[Math Score]],0)</f>
        <v>83</v>
      </c>
      <c r="O134" s="4">
        <f>IF(ISNUMBER(Student­­Performance[[#This Row],[Reading Score]]),Student­­Performance[[#This Row],[Reading Score]],0)</f>
        <v>82</v>
      </c>
      <c r="P134" s="4">
        <f>IF(ISNUMBER(Student­­Performance[[#This Row],[Writing Score]]),Student­­Performance[[#This Row],[Writing Score]],0)</f>
        <v>84</v>
      </c>
      <c r="Q134" s="4" t="str">
        <f>IF(Student­­Performance[[#This Row],[Math Score]]&gt;=50,"Pass","Fail")</f>
        <v>Pass</v>
      </c>
      <c r="R134" s="4" t="str">
        <f>IF(Student­­Performance[[#This Row],[Reading Score]]&gt;=50,"Pass","Fail")</f>
        <v>Pass</v>
      </c>
      <c r="S134" s="4" t="str">
        <f>IF(Student­­Performance[[#This Row],[Writing Score]]&gt;=50,"Pass","Fail")</f>
        <v>Pass</v>
      </c>
      <c r="T13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249</v>
      </c>
      <c r="U134" s="4" cm="1">
        <f t="array" ref="U134">IF(COUNT(F134:H134)=0,"", MAX(IF(ISNUMBER(F134:H134),F134:H134)) - MIN(IF(ISNUMBER(F134:H134),F134:H134)))</f>
        <v>2</v>
      </c>
      <c r="V134" s="4" t="str">
        <f>IF(U134="","",IF(U134&gt;25,"Outlier","Normal"))</f>
        <v>Normal</v>
      </c>
    </row>
    <row r="135" spans="1:22" x14ac:dyDescent="0.3">
      <c r="A135" s="1" t="s">
        <v>17</v>
      </c>
      <c r="B135" s="1" t="s">
        <v>9</v>
      </c>
      <c r="C135" s="1" t="s">
        <v>86</v>
      </c>
      <c r="D135" s="1" t="s">
        <v>11</v>
      </c>
      <c r="E135" s="1" t="s">
        <v>12</v>
      </c>
      <c r="F135" s="4">
        <v>90</v>
      </c>
      <c r="G135" s="4">
        <v>78</v>
      </c>
      <c r="H135" s="4">
        <v>81</v>
      </c>
      <c r="I135" s="4">
        <f>AVERAGE(Student­­Performance[[#This Row],[Math Score]],Student­­Performance[[#This Row],[Reading Score]],Student­­Performance[[#This Row],[Writing Score]])</f>
        <v>83</v>
      </c>
      <c r="J135" s="10" t="str">
        <f>IF(Student­­Performance[[#This Row],[Average Score]]&gt;=50,"Pass","Fail")</f>
        <v>Pass</v>
      </c>
      <c r="K13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-12</v>
      </c>
      <c r="L13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13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-9</v>
      </c>
      <c r="N135" s="4">
        <f>IF(ISNUMBER(Student­­Performance[[#This Row],[Math Score]]),Student­­Performance[[#This Row],[Math Score]],0)</f>
        <v>90</v>
      </c>
      <c r="O135" s="4">
        <f>IF(ISNUMBER(Student­­Performance[[#This Row],[Reading Score]]),Student­­Performance[[#This Row],[Reading Score]],0)</f>
        <v>78</v>
      </c>
      <c r="P135" s="4">
        <f>IF(ISNUMBER(Student­­Performance[[#This Row],[Writing Score]]),Student­­Performance[[#This Row],[Writing Score]],0)</f>
        <v>81</v>
      </c>
      <c r="Q135" s="4" t="str">
        <f>IF(Student­­Performance[[#This Row],[Math Score]]&gt;=50,"Pass","Fail")</f>
        <v>Pass</v>
      </c>
      <c r="R135" s="4" t="str">
        <f>IF(Student­­Performance[[#This Row],[Reading Score]]&gt;=50,"Pass","Fail")</f>
        <v>Pass</v>
      </c>
      <c r="S135" s="4" t="str">
        <f>IF(Student­­Performance[[#This Row],[Writing Score]]&gt;=50,"Pass","Fail")</f>
        <v>Pass</v>
      </c>
      <c r="T13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249</v>
      </c>
      <c r="U135" s="4" cm="1">
        <f t="array" ref="U135">IF(COUNT(F135:H135)=0,"", MAX(IF(ISNUMBER(F135:H135),F135:H135)) - MIN(IF(ISNUMBER(F135:H135),F135:H135)))</f>
        <v>12</v>
      </c>
      <c r="V135" s="4" t="str">
        <f>IF(U135="","",IF(U135&gt;25,"Outlier","Normal"))</f>
        <v>Normal</v>
      </c>
    </row>
    <row r="136" spans="1:22" x14ac:dyDescent="0.3">
      <c r="A136" s="1" t="s">
        <v>8</v>
      </c>
      <c r="B136" s="1" t="s">
        <v>9</v>
      </c>
      <c r="C136" s="1" t="s">
        <v>86</v>
      </c>
      <c r="D136" s="1" t="s">
        <v>11</v>
      </c>
      <c r="E136" s="1" t="s">
        <v>12</v>
      </c>
      <c r="F136" s="4">
        <v>80</v>
      </c>
      <c r="G136" s="4">
        <v>86</v>
      </c>
      <c r="H136" s="4">
        <v>83</v>
      </c>
      <c r="I136" s="4">
        <f>AVERAGE(Student­­Performance[[#This Row],[Math Score]],Student­­Performance[[#This Row],[Reading Score]],Student­­Performance[[#This Row],[Writing Score]])</f>
        <v>83</v>
      </c>
      <c r="J136" s="10" t="str">
        <f>IF(Student­­Performance[[#This Row],[Average Score]]&gt;=50,"Pass","Fail")</f>
        <v>Pass</v>
      </c>
      <c r="K13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13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13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136" s="4">
        <f>IF(ISNUMBER(Student­­Performance[[#This Row],[Math Score]]),Student­­Performance[[#This Row],[Math Score]],0)</f>
        <v>80</v>
      </c>
      <c r="O136" s="4">
        <f>IF(ISNUMBER(Student­­Performance[[#This Row],[Reading Score]]),Student­­Performance[[#This Row],[Reading Score]],0)</f>
        <v>86</v>
      </c>
      <c r="P136" s="4">
        <f>IF(ISNUMBER(Student­­Performance[[#This Row],[Writing Score]]),Student­­Performance[[#This Row],[Writing Score]],0)</f>
        <v>83</v>
      </c>
      <c r="Q136" s="4" t="str">
        <f>IF(Student­­Performance[[#This Row],[Math Score]]&gt;=50,"Pass","Fail")</f>
        <v>Pass</v>
      </c>
      <c r="R136" s="4" t="str">
        <f>IF(Student­­Performance[[#This Row],[Reading Score]]&gt;=50,"Pass","Fail")</f>
        <v>Pass</v>
      </c>
      <c r="S136" s="4" t="str">
        <f>IF(Student­­Performance[[#This Row],[Writing Score]]&gt;=50,"Pass","Fail")</f>
        <v>Pass</v>
      </c>
      <c r="T13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249</v>
      </c>
      <c r="U136" s="4" cm="1">
        <f t="array" ref="U136">IF(COUNT(F136:H136)=0,"", MAX(IF(ISNUMBER(F136:H136),F136:H136)) - MIN(IF(ISNUMBER(F136:H136),F136:H136)))</f>
        <v>6</v>
      </c>
      <c r="V136" s="4" t="str">
        <f>IF(U136="","",IF(U136&gt;25,"Outlier","Normal"))</f>
        <v>Normal</v>
      </c>
    </row>
    <row r="137" spans="1:22" x14ac:dyDescent="0.3">
      <c r="A137" s="1" t="s">
        <v>17</v>
      </c>
      <c r="B137" s="1" t="s">
        <v>21</v>
      </c>
      <c r="C137" s="1" t="s">
        <v>83</v>
      </c>
      <c r="D137" s="1" t="s">
        <v>11</v>
      </c>
      <c r="E137" s="1" t="s">
        <v>12</v>
      </c>
      <c r="F137" s="4">
        <v>88</v>
      </c>
      <c r="G137" s="4">
        <v>78</v>
      </c>
      <c r="H137" s="4">
        <v>83</v>
      </c>
      <c r="I137" s="4">
        <f>AVERAGE(Student­­Performance[[#This Row],[Math Score]],Student­­Performance[[#This Row],[Reading Score]],Student­­Performance[[#This Row],[Writing Score]])</f>
        <v>83</v>
      </c>
      <c r="J137" s="10" t="str">
        <f>IF(Student­­Performance[[#This Row],[Average Score]]&gt;=50,"Pass","Fail")</f>
        <v>Pass</v>
      </c>
      <c r="K13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-10</v>
      </c>
      <c r="L13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13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-5</v>
      </c>
      <c r="N137" s="4">
        <f>IF(ISNUMBER(Student­­Performance[[#This Row],[Math Score]]),Student­­Performance[[#This Row],[Math Score]],0)</f>
        <v>88</v>
      </c>
      <c r="O137" s="4">
        <f>IF(ISNUMBER(Student­­Performance[[#This Row],[Reading Score]]),Student­­Performance[[#This Row],[Reading Score]],0)</f>
        <v>78</v>
      </c>
      <c r="P137" s="4">
        <f>IF(ISNUMBER(Student­­Performance[[#This Row],[Writing Score]]),Student­­Performance[[#This Row],[Writing Score]],0)</f>
        <v>83</v>
      </c>
      <c r="Q137" s="4" t="str">
        <f>IF(Student­­Performance[[#This Row],[Math Score]]&gt;=50,"Pass","Fail")</f>
        <v>Pass</v>
      </c>
      <c r="R137" s="4" t="str">
        <f>IF(Student­­Performance[[#This Row],[Reading Score]]&gt;=50,"Pass","Fail")</f>
        <v>Pass</v>
      </c>
      <c r="S137" s="4" t="str">
        <f>IF(Student­­Performance[[#This Row],[Writing Score]]&gt;=50,"Pass","Fail")</f>
        <v>Pass</v>
      </c>
      <c r="T13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249</v>
      </c>
      <c r="U137" s="4" cm="1">
        <f t="array" ref="U137">IF(COUNT(F137:H137)=0,"", MAX(IF(ISNUMBER(F137:H137),F137:H137)) - MIN(IF(ISNUMBER(F137:H137),F137:H137)))</f>
        <v>10</v>
      </c>
      <c r="V137" s="4" t="str">
        <f>IF(U137="","",IF(U137&gt;25,"Outlier","Normal"))</f>
        <v>Normal</v>
      </c>
    </row>
    <row r="138" spans="1:22" x14ac:dyDescent="0.3">
      <c r="A138" s="1" t="s">
        <v>8</v>
      </c>
      <c r="B138" s="1" t="s">
        <v>9</v>
      </c>
      <c r="C138" s="1" t="s">
        <v>83</v>
      </c>
      <c r="D138" s="1" t="s">
        <v>20</v>
      </c>
      <c r="E138" s="1" t="s">
        <v>12</v>
      </c>
      <c r="F138" s="4">
        <v>77</v>
      </c>
      <c r="G138" s="4">
        <v>85</v>
      </c>
      <c r="H138" s="4">
        <v>87</v>
      </c>
      <c r="I138" s="4">
        <f>AVERAGE(Student­­Performance[[#This Row],[Math Score]],Student­­Performance[[#This Row],[Reading Score]],Student­­Performance[[#This Row],[Writing Score]])</f>
        <v>83</v>
      </c>
      <c r="J138" s="10" t="str">
        <f>IF(Student­­Performance[[#This Row],[Average Score]]&gt;=50,"Pass","Fail")</f>
        <v>Pass</v>
      </c>
      <c r="K13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13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13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138" s="4">
        <f>IF(ISNUMBER(Student­­Performance[[#This Row],[Math Score]]),Student­­Performance[[#This Row],[Math Score]],0)</f>
        <v>77</v>
      </c>
      <c r="O138" s="4">
        <f>IF(ISNUMBER(Student­­Performance[[#This Row],[Reading Score]]),Student­­Performance[[#This Row],[Reading Score]],0)</f>
        <v>85</v>
      </c>
      <c r="P138" s="4">
        <f>IF(ISNUMBER(Student­­Performance[[#This Row],[Writing Score]]),Student­­Performance[[#This Row],[Writing Score]],0)</f>
        <v>87</v>
      </c>
      <c r="Q138" s="4" t="str">
        <f>IF(Student­­Performance[[#This Row],[Math Score]]&gt;=50,"Pass","Fail")</f>
        <v>Pass</v>
      </c>
      <c r="R138" s="4" t="str">
        <f>IF(Student­­Performance[[#This Row],[Reading Score]]&gt;=50,"Pass","Fail")</f>
        <v>Pass</v>
      </c>
      <c r="S138" s="4" t="str">
        <f>IF(Student­­Performance[[#This Row],[Writing Score]]&gt;=50,"Pass","Fail")</f>
        <v>Pass</v>
      </c>
      <c r="T13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249</v>
      </c>
      <c r="U138" s="4" cm="1">
        <f t="array" ref="U138">IF(COUNT(F138:H138)=0,"", MAX(IF(ISNUMBER(F138:H138),F138:H138)) - MIN(IF(ISNUMBER(F138:H138),F138:H138)))</f>
        <v>10</v>
      </c>
      <c r="V138" s="4" t="str">
        <f>IF(U138="","",IF(U138&gt;25,"Outlier","Normal"))</f>
        <v>Normal</v>
      </c>
    </row>
    <row r="139" spans="1:22" x14ac:dyDescent="0.3">
      <c r="A139" s="1" t="s">
        <v>8</v>
      </c>
      <c r="B139" s="1" t="s">
        <v>21</v>
      </c>
      <c r="C139" s="1" t="s">
        <v>87</v>
      </c>
      <c r="D139" s="1" t="s">
        <v>20</v>
      </c>
      <c r="E139" s="1" t="s">
        <v>12</v>
      </c>
      <c r="F139" s="4">
        <v>73</v>
      </c>
      <c r="G139" s="4">
        <v>92</v>
      </c>
      <c r="H139" s="4">
        <v>84</v>
      </c>
      <c r="I139" s="4">
        <f>AVERAGE(Student­­Performance[[#This Row],[Math Score]],Student­­Performance[[#This Row],[Reading Score]],Student­­Performance[[#This Row],[Writing Score]])</f>
        <v>83</v>
      </c>
      <c r="J139" s="10" t="str">
        <f>IF(Student­­Performance[[#This Row],[Average Score]]&gt;=50,"Pass","Fail")</f>
        <v>Pass</v>
      </c>
      <c r="K13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19</v>
      </c>
      <c r="L13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-8</v>
      </c>
      <c r="M13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139" s="4">
        <f>IF(ISNUMBER(Student­­Performance[[#This Row],[Math Score]]),Student­­Performance[[#This Row],[Math Score]],0)</f>
        <v>73</v>
      </c>
      <c r="O139" s="4">
        <f>IF(ISNUMBER(Student­­Performance[[#This Row],[Reading Score]]),Student­­Performance[[#This Row],[Reading Score]],0)</f>
        <v>92</v>
      </c>
      <c r="P139" s="4">
        <f>IF(ISNUMBER(Student­­Performance[[#This Row],[Writing Score]]),Student­­Performance[[#This Row],[Writing Score]],0)</f>
        <v>84</v>
      </c>
      <c r="Q139" s="4" t="str">
        <f>IF(Student­­Performance[[#This Row],[Math Score]]&gt;=50,"Pass","Fail")</f>
        <v>Pass</v>
      </c>
      <c r="R139" s="4" t="str">
        <f>IF(Student­­Performance[[#This Row],[Reading Score]]&gt;=50,"Pass","Fail")</f>
        <v>Pass</v>
      </c>
      <c r="S139" s="4" t="str">
        <f>IF(Student­­Performance[[#This Row],[Writing Score]]&gt;=50,"Pass","Fail")</f>
        <v>Pass</v>
      </c>
      <c r="T13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249</v>
      </c>
      <c r="U139" s="4" cm="1">
        <f t="array" ref="U139">IF(COUNT(F139:H139)=0,"", MAX(IF(ISNUMBER(F139:H139),F139:H139)) - MIN(IF(ISNUMBER(F139:H139),F139:H139)))</f>
        <v>19</v>
      </c>
      <c r="V139" s="4" t="str">
        <f>IF(U139="","",IF(U139&gt;25,"Outlier","Normal"))</f>
        <v>Normal</v>
      </c>
    </row>
    <row r="140" spans="1:22" x14ac:dyDescent="0.3">
      <c r="A140" s="1" t="s">
        <v>8</v>
      </c>
      <c r="B140" s="1" t="s">
        <v>13</v>
      </c>
      <c r="C140" s="1" t="s">
        <v>83</v>
      </c>
      <c r="D140" s="1" t="s">
        <v>20</v>
      </c>
      <c r="E140" s="1" t="s">
        <v>15</v>
      </c>
      <c r="F140" s="4">
        <v>74</v>
      </c>
      <c r="G140" s="4">
        <v>86</v>
      </c>
      <c r="H140" s="4">
        <v>89</v>
      </c>
      <c r="I140" s="4">
        <f>AVERAGE(Student­­Performance[[#This Row],[Math Score]],Student­­Performance[[#This Row],[Reading Score]],Student­­Performance[[#This Row],[Writing Score]])</f>
        <v>83</v>
      </c>
      <c r="J140" s="10" t="str">
        <f>IF(Student­­Performance[[#This Row],[Average Score]]&gt;=50,"Pass","Fail")</f>
        <v>Pass</v>
      </c>
      <c r="K14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14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14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15</v>
      </c>
      <c r="N140" s="4">
        <f>IF(ISNUMBER(Student­­Performance[[#This Row],[Math Score]]),Student­­Performance[[#This Row],[Math Score]],0)</f>
        <v>74</v>
      </c>
      <c r="O140" s="4">
        <f>IF(ISNUMBER(Student­­Performance[[#This Row],[Reading Score]]),Student­­Performance[[#This Row],[Reading Score]],0)</f>
        <v>86</v>
      </c>
      <c r="P140" s="4">
        <f>IF(ISNUMBER(Student­­Performance[[#This Row],[Writing Score]]),Student­­Performance[[#This Row],[Writing Score]],0)</f>
        <v>89</v>
      </c>
      <c r="Q140" s="4" t="str">
        <f>IF(Student­­Performance[[#This Row],[Math Score]]&gt;=50,"Pass","Fail")</f>
        <v>Pass</v>
      </c>
      <c r="R140" s="4" t="str">
        <f>IF(Student­­Performance[[#This Row],[Reading Score]]&gt;=50,"Pass","Fail")</f>
        <v>Pass</v>
      </c>
      <c r="S140" s="4" t="str">
        <f>IF(Student­­Performance[[#This Row],[Writing Score]]&gt;=50,"Pass","Fail")</f>
        <v>Pass</v>
      </c>
      <c r="T14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249</v>
      </c>
      <c r="U140" s="4" cm="1">
        <f t="array" ref="U140">IF(COUNT(F140:H140)=0,"", MAX(IF(ISNUMBER(F140:H140),F140:H140)) - MIN(IF(ISNUMBER(F140:H140),F140:H140)))</f>
        <v>15</v>
      </c>
      <c r="V140" s="4" t="str">
        <f>IF(U140="","",IF(U140&gt;25,"Outlier","Normal"))</f>
        <v>Normal</v>
      </c>
    </row>
    <row r="141" spans="1:22" x14ac:dyDescent="0.3">
      <c r="A141" s="1" t="s">
        <v>8</v>
      </c>
      <c r="B141" s="1" t="s">
        <v>21</v>
      </c>
      <c r="C141" s="1" t="s">
        <v>84</v>
      </c>
      <c r="D141" s="1" t="s">
        <v>20</v>
      </c>
      <c r="E141" s="1" t="s">
        <v>12</v>
      </c>
      <c r="F141" s="4">
        <v>77</v>
      </c>
      <c r="G141" s="4">
        <v>86</v>
      </c>
      <c r="H141" s="4">
        <v>86</v>
      </c>
      <c r="I141" s="4">
        <f>AVERAGE(Student­­Performance[[#This Row],[Math Score]],Student­­Performance[[#This Row],[Reading Score]],Student­­Performance[[#This Row],[Writing Score]])</f>
        <v>83</v>
      </c>
      <c r="J141" s="10" t="str">
        <f>IF(Student­­Performance[[#This Row],[Average Score]]&gt;=50,"Pass","Fail")</f>
        <v>Pass</v>
      </c>
      <c r="K14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14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14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141" s="4">
        <f>IF(ISNUMBER(Student­­Performance[[#This Row],[Math Score]]),Student­­Performance[[#This Row],[Math Score]],0)</f>
        <v>77</v>
      </c>
      <c r="O141" s="4">
        <f>IF(ISNUMBER(Student­­Performance[[#This Row],[Reading Score]]),Student­­Performance[[#This Row],[Reading Score]],0)</f>
        <v>86</v>
      </c>
      <c r="P141" s="4">
        <f>IF(ISNUMBER(Student­­Performance[[#This Row],[Writing Score]]),Student­­Performance[[#This Row],[Writing Score]],0)</f>
        <v>86</v>
      </c>
      <c r="Q141" s="4" t="str">
        <f>IF(Student­­Performance[[#This Row],[Math Score]]&gt;=50,"Pass","Fail")</f>
        <v>Pass</v>
      </c>
      <c r="R141" s="4" t="str">
        <f>IF(Student­­Performance[[#This Row],[Reading Score]]&gt;=50,"Pass","Fail")</f>
        <v>Pass</v>
      </c>
      <c r="S141" s="4" t="str">
        <f>IF(Student­­Performance[[#This Row],[Writing Score]]&gt;=50,"Pass","Fail")</f>
        <v>Pass</v>
      </c>
      <c r="T14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249</v>
      </c>
      <c r="U141" s="4" cm="1">
        <f t="array" ref="U141">IF(COUNT(F141:H141)=0,"", MAX(IF(ISNUMBER(F141:H141),F141:H141)) - MIN(IF(ISNUMBER(F141:H141),F141:H141)))</f>
        <v>9</v>
      </c>
      <c r="V141" s="4" t="str">
        <f>IF(U141="","",IF(U141&gt;25,"Outlier","Normal"))</f>
        <v>Normal</v>
      </c>
    </row>
    <row r="142" spans="1:22" x14ac:dyDescent="0.3">
      <c r="A142" s="1" t="s">
        <v>17</v>
      </c>
      <c r="B142" s="1" t="s">
        <v>13</v>
      </c>
      <c r="C142" s="1" t="s">
        <v>87</v>
      </c>
      <c r="D142" s="1" t="s">
        <v>11</v>
      </c>
      <c r="E142" s="1" t="s">
        <v>15</v>
      </c>
      <c r="F142" s="4">
        <v>82</v>
      </c>
      <c r="G142" s="4">
        <v>84</v>
      </c>
      <c r="H142" s="4">
        <v>82</v>
      </c>
      <c r="I142" s="4">
        <f>AVERAGE(Student­­Performance[[#This Row],[Math Score]],Student­­Performance[[#This Row],[Reading Score]],Student­­Performance[[#This Row],[Writing Score]])</f>
        <v>82.666666666666671</v>
      </c>
      <c r="J142" s="10" t="str">
        <f>IF(Student­­Performance[[#This Row],[Average Score]]&gt;=50,"Pass","Fail")</f>
        <v>Pass</v>
      </c>
      <c r="K14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14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14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142" s="4">
        <f>IF(ISNUMBER(Student­­Performance[[#This Row],[Math Score]]),Student­­Performance[[#This Row],[Math Score]],0)</f>
        <v>82</v>
      </c>
      <c r="O142" s="4">
        <f>IF(ISNUMBER(Student­­Performance[[#This Row],[Reading Score]]),Student­­Performance[[#This Row],[Reading Score]],0)</f>
        <v>84</v>
      </c>
      <c r="P142" s="4">
        <f>IF(ISNUMBER(Student­­Performance[[#This Row],[Writing Score]]),Student­­Performance[[#This Row],[Writing Score]],0)</f>
        <v>82</v>
      </c>
      <c r="Q142" s="4" t="str">
        <f>IF(Student­­Performance[[#This Row],[Math Score]]&gt;=50,"Pass","Fail")</f>
        <v>Pass</v>
      </c>
      <c r="R142" s="4" t="str">
        <f>IF(Student­­Performance[[#This Row],[Reading Score]]&gt;=50,"Pass","Fail")</f>
        <v>Pass</v>
      </c>
      <c r="S142" s="4" t="str">
        <f>IF(Student­­Performance[[#This Row],[Writing Score]]&gt;=50,"Pass","Fail")</f>
        <v>Pass</v>
      </c>
      <c r="T14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248</v>
      </c>
      <c r="U142" s="4" cm="1">
        <f t="array" ref="U142">IF(COUNT(F142:H142)=0,"", MAX(IF(ISNUMBER(F142:H142),F142:H142)) - MIN(IF(ISNUMBER(F142:H142),F142:H142)))</f>
        <v>2</v>
      </c>
      <c r="V142" s="4" t="str">
        <f>IF(U142="","",IF(U142&gt;25,"Outlier","Normal"))</f>
        <v>Normal</v>
      </c>
    </row>
    <row r="143" spans="1:22" x14ac:dyDescent="0.3">
      <c r="A143" s="1" t="s">
        <v>8</v>
      </c>
      <c r="B143" s="1" t="s">
        <v>26</v>
      </c>
      <c r="C143" s="1" t="s">
        <v>84</v>
      </c>
      <c r="D143" s="1" t="s">
        <v>20</v>
      </c>
      <c r="E143" s="1" t="s">
        <v>15</v>
      </c>
      <c r="F143" s="4">
        <v>75</v>
      </c>
      <c r="G143" s="4">
        <v>88</v>
      </c>
      <c r="H143" s="4">
        <v>85</v>
      </c>
      <c r="I143" s="4">
        <f>AVERAGE(Student­­Performance[[#This Row],[Math Score]],Student­­Performance[[#This Row],[Reading Score]],Student­­Performance[[#This Row],[Writing Score]])</f>
        <v>82.666666666666671</v>
      </c>
      <c r="J143" s="10" t="str">
        <f>IF(Student­­Performance[[#This Row],[Average Score]]&gt;=50,"Pass","Fail")</f>
        <v>Pass</v>
      </c>
      <c r="K14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13</v>
      </c>
      <c r="L14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14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143" s="4">
        <f>IF(ISNUMBER(Student­­Performance[[#This Row],[Math Score]]),Student­­Performance[[#This Row],[Math Score]],0)</f>
        <v>75</v>
      </c>
      <c r="O143" s="4">
        <f>IF(ISNUMBER(Student­­Performance[[#This Row],[Reading Score]]),Student­­Performance[[#This Row],[Reading Score]],0)</f>
        <v>88</v>
      </c>
      <c r="P143" s="4">
        <f>IF(ISNUMBER(Student­­Performance[[#This Row],[Writing Score]]),Student­­Performance[[#This Row],[Writing Score]],0)</f>
        <v>85</v>
      </c>
      <c r="Q143" s="4" t="str">
        <f>IF(Student­­Performance[[#This Row],[Math Score]]&gt;=50,"Pass","Fail")</f>
        <v>Pass</v>
      </c>
      <c r="R143" s="4" t="str">
        <f>IF(Student­­Performance[[#This Row],[Reading Score]]&gt;=50,"Pass","Fail")</f>
        <v>Pass</v>
      </c>
      <c r="S143" s="4" t="str">
        <f>IF(Student­­Performance[[#This Row],[Writing Score]]&gt;=50,"Pass","Fail")</f>
        <v>Pass</v>
      </c>
      <c r="T14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248</v>
      </c>
      <c r="U143" s="4" cm="1">
        <f t="array" ref="U143">IF(COUNT(F143:H143)=0,"", MAX(IF(ISNUMBER(F143:H143),F143:H143)) - MIN(IF(ISNUMBER(F143:H143),F143:H143)))</f>
        <v>13</v>
      </c>
      <c r="V143" s="4" t="str">
        <f>IF(U143="","",IF(U143&gt;25,"Outlier","Normal"))</f>
        <v>Normal</v>
      </c>
    </row>
    <row r="144" spans="1:22" x14ac:dyDescent="0.3">
      <c r="A144" s="1" t="s">
        <v>8</v>
      </c>
      <c r="B144" s="1" t="s">
        <v>13</v>
      </c>
      <c r="C144" s="1" t="s">
        <v>88</v>
      </c>
      <c r="D144" s="1" t="s">
        <v>11</v>
      </c>
      <c r="E144" s="1" t="s">
        <v>15</v>
      </c>
      <c r="F144" s="4">
        <v>76</v>
      </c>
      <c r="G144" s="4">
        <v>87</v>
      </c>
      <c r="H144" s="4">
        <v>85</v>
      </c>
      <c r="I144" s="4">
        <f>AVERAGE(Student­­Performance[[#This Row],[Math Score]],Student­­Performance[[#This Row],[Reading Score]],Student­­Performance[[#This Row],[Writing Score]])</f>
        <v>82.666666666666671</v>
      </c>
      <c r="J144" s="10" t="str">
        <f>IF(Student­­Performance[[#This Row],[Average Score]]&gt;=50,"Pass","Fail")</f>
        <v>Pass</v>
      </c>
      <c r="K14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14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14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144" s="4">
        <f>IF(ISNUMBER(Student­­Performance[[#This Row],[Math Score]]),Student­­Performance[[#This Row],[Math Score]],0)</f>
        <v>76</v>
      </c>
      <c r="O144" s="4">
        <f>IF(ISNUMBER(Student­­Performance[[#This Row],[Reading Score]]),Student­­Performance[[#This Row],[Reading Score]],0)</f>
        <v>87</v>
      </c>
      <c r="P144" s="4">
        <f>IF(ISNUMBER(Student­­Performance[[#This Row],[Writing Score]]),Student­­Performance[[#This Row],[Writing Score]],0)</f>
        <v>85</v>
      </c>
      <c r="Q144" s="4" t="str">
        <f>IF(Student­­Performance[[#This Row],[Math Score]]&gt;=50,"Pass","Fail")</f>
        <v>Pass</v>
      </c>
      <c r="R144" s="4" t="str">
        <f>IF(Student­­Performance[[#This Row],[Reading Score]]&gt;=50,"Pass","Fail")</f>
        <v>Pass</v>
      </c>
      <c r="S144" s="4" t="str">
        <f>IF(Student­­Performance[[#This Row],[Writing Score]]&gt;=50,"Pass","Fail")</f>
        <v>Pass</v>
      </c>
      <c r="T14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248</v>
      </c>
      <c r="U144" s="4" cm="1">
        <f t="array" ref="U144">IF(COUNT(F144:H144)=0,"", MAX(IF(ISNUMBER(F144:H144),F144:H144)) - MIN(IF(ISNUMBER(F144:H144),F144:H144)))</f>
        <v>11</v>
      </c>
      <c r="V144" s="4" t="str">
        <f>IF(U144="","",IF(U144&gt;25,"Outlier","Normal"))</f>
        <v>Normal</v>
      </c>
    </row>
    <row r="145" spans="1:22" x14ac:dyDescent="0.3">
      <c r="A145" s="1" t="s">
        <v>8</v>
      </c>
      <c r="B145" s="1" t="s">
        <v>13</v>
      </c>
      <c r="C145" s="1" t="s">
        <v>87</v>
      </c>
      <c r="D145" s="1" t="s">
        <v>11</v>
      </c>
      <c r="E145" s="1" t="s">
        <v>12</v>
      </c>
      <c r="F145" s="4">
        <v>75</v>
      </c>
      <c r="G145" s="4">
        <v>88</v>
      </c>
      <c r="H145" s="4">
        <v>85</v>
      </c>
      <c r="I145" s="4">
        <f>AVERAGE(Student­­Performance[[#This Row],[Math Score]],Student­­Performance[[#This Row],[Reading Score]],Student­­Performance[[#This Row],[Writing Score]])</f>
        <v>82.666666666666671</v>
      </c>
      <c r="J145" s="10" t="str">
        <f>IF(Student­­Performance[[#This Row],[Average Score]]&gt;=50,"Pass","Fail")</f>
        <v>Pass</v>
      </c>
      <c r="K14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13</v>
      </c>
      <c r="L14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14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145" s="4">
        <f>IF(ISNUMBER(Student­­Performance[[#This Row],[Math Score]]),Student­­Performance[[#This Row],[Math Score]],0)</f>
        <v>75</v>
      </c>
      <c r="O145" s="4">
        <f>IF(ISNUMBER(Student­­Performance[[#This Row],[Reading Score]]),Student­­Performance[[#This Row],[Reading Score]],0)</f>
        <v>88</v>
      </c>
      <c r="P145" s="4">
        <f>IF(ISNUMBER(Student­­Performance[[#This Row],[Writing Score]]),Student­­Performance[[#This Row],[Writing Score]],0)</f>
        <v>85</v>
      </c>
      <c r="Q145" s="4" t="str">
        <f>IF(Student­­Performance[[#This Row],[Math Score]]&gt;=50,"Pass","Fail")</f>
        <v>Pass</v>
      </c>
      <c r="R145" s="4" t="str">
        <f>IF(Student­­Performance[[#This Row],[Reading Score]]&gt;=50,"Pass","Fail")</f>
        <v>Pass</v>
      </c>
      <c r="S145" s="4" t="str">
        <f>IF(Student­­Performance[[#This Row],[Writing Score]]&gt;=50,"Pass","Fail")</f>
        <v>Pass</v>
      </c>
      <c r="T14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248</v>
      </c>
      <c r="U145" s="4" cm="1">
        <f t="array" ref="U145">IF(COUNT(F145:H145)=0,"", MAX(IF(ISNUMBER(F145:H145),F145:H145)) - MIN(IF(ISNUMBER(F145:H145),F145:H145)))</f>
        <v>13</v>
      </c>
      <c r="V145" s="4" t="str">
        <f>IF(U145="","",IF(U145&gt;25,"Outlier","Normal"))</f>
        <v>Normal</v>
      </c>
    </row>
    <row r="146" spans="1:22" x14ac:dyDescent="0.3">
      <c r="A146" s="1" t="s">
        <v>17</v>
      </c>
      <c r="B146" s="1" t="s">
        <v>21</v>
      </c>
      <c r="C146" s="1" t="s">
        <v>88</v>
      </c>
      <c r="D146" s="1" t="s">
        <v>11</v>
      </c>
      <c r="E146" s="1" t="s">
        <v>12</v>
      </c>
      <c r="F146" s="4">
        <v>84</v>
      </c>
      <c r="G146" s="4">
        <v>84</v>
      </c>
      <c r="H146" s="4">
        <v>80</v>
      </c>
      <c r="I146" s="4">
        <f>AVERAGE(Student­­Performance[[#This Row],[Math Score]],Student­­Performance[[#This Row],[Reading Score]],Student­­Performance[[#This Row],[Writing Score]])</f>
        <v>82.666666666666671</v>
      </c>
      <c r="J146" s="10" t="str">
        <f>IF(Student­­Performance[[#This Row],[Average Score]]&gt;=50,"Pass","Fail")</f>
        <v>Pass</v>
      </c>
      <c r="K14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14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14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146" s="4">
        <f>IF(ISNUMBER(Student­­Performance[[#This Row],[Math Score]]),Student­­Performance[[#This Row],[Math Score]],0)</f>
        <v>84</v>
      </c>
      <c r="O146" s="4">
        <f>IF(ISNUMBER(Student­­Performance[[#This Row],[Reading Score]]),Student­­Performance[[#This Row],[Reading Score]],0)</f>
        <v>84</v>
      </c>
      <c r="P146" s="4">
        <f>IF(ISNUMBER(Student­­Performance[[#This Row],[Writing Score]]),Student­­Performance[[#This Row],[Writing Score]],0)</f>
        <v>80</v>
      </c>
      <c r="Q146" s="4" t="str">
        <f>IF(Student­­Performance[[#This Row],[Math Score]]&gt;=50,"Pass","Fail")</f>
        <v>Pass</v>
      </c>
      <c r="R146" s="4" t="str">
        <f>IF(Student­­Performance[[#This Row],[Reading Score]]&gt;=50,"Pass","Fail")</f>
        <v>Pass</v>
      </c>
      <c r="S146" s="4" t="str">
        <f>IF(Student­­Performance[[#This Row],[Writing Score]]&gt;=50,"Pass","Fail")</f>
        <v>Pass</v>
      </c>
      <c r="T14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248</v>
      </c>
      <c r="U146" s="4" cm="1">
        <f t="array" ref="U146">IF(COUNT(F146:H146)=0,"", MAX(IF(ISNUMBER(F146:H146),F146:H146)) - MIN(IF(ISNUMBER(F146:H146),F146:H146)))</f>
        <v>4</v>
      </c>
      <c r="V146" s="4" t="str">
        <f>IF(U146="","",IF(U146&gt;25,"Outlier","Normal"))</f>
        <v>Normal</v>
      </c>
    </row>
    <row r="147" spans="1:22" x14ac:dyDescent="0.3">
      <c r="A147" s="1" t="s">
        <v>8</v>
      </c>
      <c r="B147" s="1" t="s">
        <v>9</v>
      </c>
      <c r="C147" s="1" t="s">
        <v>87</v>
      </c>
      <c r="D147" s="1" t="s">
        <v>11</v>
      </c>
      <c r="E147" s="1" t="s">
        <v>15</v>
      </c>
      <c r="F147" s="4">
        <v>77</v>
      </c>
      <c r="G147" s="4">
        <v>82</v>
      </c>
      <c r="H147" s="4">
        <v>89</v>
      </c>
      <c r="I147" s="4">
        <f>AVERAGE(Student­­Performance[[#This Row],[Math Score]],Student­­Performance[[#This Row],[Reading Score]],Student­­Performance[[#This Row],[Writing Score]])</f>
        <v>82.666666666666671</v>
      </c>
      <c r="J147" s="10" t="str">
        <f>IF(Student­­Performance[[#This Row],[Average Score]]&gt;=50,"Pass","Fail")</f>
        <v>Pass</v>
      </c>
      <c r="K14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14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7</v>
      </c>
      <c r="M14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147" s="4">
        <f>IF(ISNUMBER(Student­­Performance[[#This Row],[Math Score]]),Student­­Performance[[#This Row],[Math Score]],0)</f>
        <v>77</v>
      </c>
      <c r="O147" s="4">
        <f>IF(ISNUMBER(Student­­Performance[[#This Row],[Reading Score]]),Student­­Performance[[#This Row],[Reading Score]],0)</f>
        <v>82</v>
      </c>
      <c r="P147" s="4">
        <f>IF(ISNUMBER(Student­­Performance[[#This Row],[Writing Score]]),Student­­Performance[[#This Row],[Writing Score]],0)</f>
        <v>89</v>
      </c>
      <c r="Q147" s="4" t="str">
        <f>IF(Student­­Performance[[#This Row],[Math Score]]&gt;=50,"Pass","Fail")</f>
        <v>Pass</v>
      </c>
      <c r="R147" s="4" t="str">
        <f>IF(Student­­Performance[[#This Row],[Reading Score]]&gt;=50,"Pass","Fail")</f>
        <v>Pass</v>
      </c>
      <c r="S147" s="4" t="str">
        <f>IF(Student­­Performance[[#This Row],[Writing Score]]&gt;=50,"Pass","Fail")</f>
        <v>Pass</v>
      </c>
      <c r="T14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248</v>
      </c>
      <c r="U147" s="4" cm="1">
        <f t="array" ref="U147">IF(COUNT(F147:H147)=0,"", MAX(IF(ISNUMBER(F147:H147),F147:H147)) - MIN(IF(ISNUMBER(F147:H147),F147:H147)))</f>
        <v>12</v>
      </c>
      <c r="V147" s="4" t="str">
        <f>IF(U147="","",IF(U147&gt;25,"Outlier","Normal"))</f>
        <v>Normal</v>
      </c>
    </row>
    <row r="148" spans="1:22" x14ac:dyDescent="0.3">
      <c r="A148" s="1" t="s">
        <v>8</v>
      </c>
      <c r="B148" s="1" t="s">
        <v>13</v>
      </c>
      <c r="C148" s="1" t="s">
        <v>84</v>
      </c>
      <c r="D148" s="1" t="s">
        <v>20</v>
      </c>
      <c r="E148" s="1" t="s">
        <v>12</v>
      </c>
      <c r="F148" s="4">
        <v>76</v>
      </c>
      <c r="G148" s="4">
        <v>83</v>
      </c>
      <c r="H148" s="4">
        <v>88</v>
      </c>
      <c r="I148" s="4">
        <f>AVERAGE(Student­­Performance[[#This Row],[Math Score]],Student­­Performance[[#This Row],[Reading Score]],Student­­Performance[[#This Row],[Writing Score]])</f>
        <v>82.333333333333329</v>
      </c>
      <c r="J148" s="10" t="str">
        <f>IF(Student­­Performance[[#This Row],[Average Score]]&gt;=50,"Pass","Fail")</f>
        <v>Pass</v>
      </c>
      <c r="K14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14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14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148" s="4">
        <f>IF(ISNUMBER(Student­­Performance[[#This Row],[Math Score]]),Student­­Performance[[#This Row],[Math Score]],0)</f>
        <v>76</v>
      </c>
      <c r="O148" s="4">
        <f>IF(ISNUMBER(Student­­Performance[[#This Row],[Reading Score]]),Student­­Performance[[#This Row],[Reading Score]],0)</f>
        <v>83</v>
      </c>
      <c r="P148" s="4">
        <f>IF(ISNUMBER(Student­­Performance[[#This Row],[Writing Score]]),Student­­Performance[[#This Row],[Writing Score]],0)</f>
        <v>88</v>
      </c>
      <c r="Q148" s="4" t="str">
        <f>IF(Student­­Performance[[#This Row],[Math Score]]&gt;=50,"Pass","Fail")</f>
        <v>Pass</v>
      </c>
      <c r="R148" s="4" t="str">
        <f>IF(Student­­Performance[[#This Row],[Reading Score]]&gt;=50,"Pass","Fail")</f>
        <v>Pass</v>
      </c>
      <c r="S148" s="4" t="str">
        <f>IF(Student­­Performance[[#This Row],[Writing Score]]&gt;=50,"Pass","Fail")</f>
        <v>Pass</v>
      </c>
      <c r="T14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247</v>
      </c>
      <c r="U148" s="4" cm="1">
        <f t="array" ref="U148">IF(COUNT(F148:H148)=0,"", MAX(IF(ISNUMBER(F148:H148),F148:H148)) - MIN(IF(ISNUMBER(F148:H148),F148:H148)))</f>
        <v>12</v>
      </c>
      <c r="V148" s="4" t="str">
        <f>IF(U148="","",IF(U148&gt;25,"Outlier","Normal"))</f>
        <v>Normal</v>
      </c>
    </row>
    <row r="149" spans="1:22" x14ac:dyDescent="0.3">
      <c r="A149" s="1" t="s">
        <v>17</v>
      </c>
      <c r="B149" s="1" t="s">
        <v>9</v>
      </c>
      <c r="C149" s="1" t="s">
        <v>88</v>
      </c>
      <c r="D149" s="1" t="s">
        <v>11</v>
      </c>
      <c r="E149" s="1" t="s">
        <v>12</v>
      </c>
      <c r="F149" s="4">
        <v>88</v>
      </c>
      <c r="G149" s="4">
        <v>84</v>
      </c>
      <c r="H149" s="4">
        <v>75</v>
      </c>
      <c r="I149" s="4">
        <f>AVERAGE(Student­­Performance[[#This Row],[Math Score]],Student­­Performance[[#This Row],[Reading Score]],Student­­Performance[[#This Row],[Writing Score]])</f>
        <v>82.333333333333329</v>
      </c>
      <c r="J149" s="10" t="str">
        <f>IF(Student­­Performance[[#This Row],[Average Score]]&gt;=50,"Pass","Fail")</f>
        <v>Pass</v>
      </c>
      <c r="K14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14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-9</v>
      </c>
      <c r="M14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-13</v>
      </c>
      <c r="N149" s="4">
        <f>IF(ISNUMBER(Student­­Performance[[#This Row],[Math Score]]),Student­­Performance[[#This Row],[Math Score]],0)</f>
        <v>88</v>
      </c>
      <c r="O149" s="4">
        <f>IF(ISNUMBER(Student­­Performance[[#This Row],[Reading Score]]),Student­­Performance[[#This Row],[Reading Score]],0)</f>
        <v>84</v>
      </c>
      <c r="P149" s="4">
        <f>IF(ISNUMBER(Student­­Performance[[#This Row],[Writing Score]]),Student­­Performance[[#This Row],[Writing Score]],0)</f>
        <v>75</v>
      </c>
      <c r="Q149" s="4" t="str">
        <f>IF(Student­­Performance[[#This Row],[Math Score]]&gt;=50,"Pass","Fail")</f>
        <v>Pass</v>
      </c>
      <c r="R149" s="4" t="str">
        <f>IF(Student­­Performance[[#This Row],[Reading Score]]&gt;=50,"Pass","Fail")</f>
        <v>Pass</v>
      </c>
      <c r="S149" s="4" t="str">
        <f>IF(Student­­Performance[[#This Row],[Writing Score]]&gt;=50,"Pass","Fail")</f>
        <v>Pass</v>
      </c>
      <c r="T14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247</v>
      </c>
      <c r="U149" s="4" cm="1">
        <f t="array" ref="U149">IF(COUNT(F149:H149)=0,"", MAX(IF(ISNUMBER(F149:H149),F149:H149)) - MIN(IF(ISNUMBER(F149:H149),F149:H149)))</f>
        <v>13</v>
      </c>
      <c r="V149" s="4" t="str">
        <f>IF(U149="","",IF(U149&gt;25,"Outlier","Normal"))</f>
        <v>Normal</v>
      </c>
    </row>
    <row r="150" spans="1:22" x14ac:dyDescent="0.3">
      <c r="A150" s="1" t="s">
        <v>8</v>
      </c>
      <c r="B150" s="1" t="s">
        <v>13</v>
      </c>
      <c r="C150" s="1" t="s">
        <v>84</v>
      </c>
      <c r="D150" s="1" t="s">
        <v>11</v>
      </c>
      <c r="E150" s="1" t="s">
        <v>15</v>
      </c>
      <c r="F150" s="4">
        <v>70</v>
      </c>
      <c r="G150" s="4">
        <v>89</v>
      </c>
      <c r="H150" s="4">
        <v>88</v>
      </c>
      <c r="I150" s="4">
        <f>AVERAGE(Student­­Performance[[#This Row],[Math Score]],Student­­Performance[[#This Row],[Reading Score]],Student­­Performance[[#This Row],[Writing Score]])</f>
        <v>82.333333333333329</v>
      </c>
      <c r="J150" s="10" t="str">
        <f>IF(Student­­Performance[[#This Row],[Average Score]]&gt;=50,"Pass","Fail")</f>
        <v>Pass</v>
      </c>
      <c r="K15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19</v>
      </c>
      <c r="L15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15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18</v>
      </c>
      <c r="N150" s="4">
        <f>IF(ISNUMBER(Student­­Performance[[#This Row],[Math Score]]),Student­­Performance[[#This Row],[Math Score]],0)</f>
        <v>70</v>
      </c>
      <c r="O150" s="4">
        <f>IF(ISNUMBER(Student­­Performance[[#This Row],[Reading Score]]),Student­­Performance[[#This Row],[Reading Score]],0)</f>
        <v>89</v>
      </c>
      <c r="P150" s="4">
        <f>IF(ISNUMBER(Student­­Performance[[#This Row],[Writing Score]]),Student­­Performance[[#This Row],[Writing Score]],0)</f>
        <v>88</v>
      </c>
      <c r="Q150" s="4" t="str">
        <f>IF(Student­­Performance[[#This Row],[Math Score]]&gt;=50,"Pass","Fail")</f>
        <v>Pass</v>
      </c>
      <c r="R150" s="4" t="str">
        <f>IF(Student­­Performance[[#This Row],[Reading Score]]&gt;=50,"Pass","Fail")</f>
        <v>Pass</v>
      </c>
      <c r="S150" s="4" t="str">
        <f>IF(Student­­Performance[[#This Row],[Writing Score]]&gt;=50,"Pass","Fail")</f>
        <v>Pass</v>
      </c>
      <c r="T15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247</v>
      </c>
      <c r="U150" s="4" cm="1">
        <f t="array" ref="U150">IF(COUNT(F150:H150)=0,"", MAX(IF(ISNUMBER(F150:H150),F150:H150)) - MIN(IF(ISNUMBER(F150:H150),F150:H150)))</f>
        <v>19</v>
      </c>
      <c r="V150" s="4" t="str">
        <f>IF(U150="","",IF(U150&gt;25,"Outlier","Normal"))</f>
        <v>Normal</v>
      </c>
    </row>
    <row r="151" spans="1:22" x14ac:dyDescent="0.3">
      <c r="A151" s="1" t="s">
        <v>17</v>
      </c>
      <c r="B151" s="1" t="s">
        <v>9</v>
      </c>
      <c r="C151" s="1" t="s">
        <v>88</v>
      </c>
      <c r="D151" s="1" t="s">
        <v>11</v>
      </c>
      <c r="E151" s="1" t="s">
        <v>15</v>
      </c>
      <c r="F151" s="4">
        <v>85</v>
      </c>
      <c r="G151" s="4">
        <v>84</v>
      </c>
      <c r="H151" s="4">
        <v>78</v>
      </c>
      <c r="I151" s="4">
        <f>AVERAGE(Student­­Performance[[#This Row],[Math Score]],Student­­Performance[[#This Row],[Reading Score]],Student­­Performance[[#This Row],[Writing Score]])</f>
        <v>82.333333333333329</v>
      </c>
      <c r="J151" s="10" t="str">
        <f>IF(Student­­Performance[[#This Row],[Average Score]]&gt;=50,"Pass","Fail")</f>
        <v>Pass</v>
      </c>
      <c r="K15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15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15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151" s="4">
        <f>IF(ISNUMBER(Student­­Performance[[#This Row],[Math Score]]),Student­­Performance[[#This Row],[Math Score]],0)</f>
        <v>85</v>
      </c>
      <c r="O151" s="4">
        <f>IF(ISNUMBER(Student­­Performance[[#This Row],[Reading Score]]),Student­­Performance[[#This Row],[Reading Score]],0)</f>
        <v>84</v>
      </c>
      <c r="P151" s="4">
        <f>IF(ISNUMBER(Student­­Performance[[#This Row],[Writing Score]]),Student­­Performance[[#This Row],[Writing Score]],0)</f>
        <v>78</v>
      </c>
      <c r="Q151" s="4" t="str">
        <f>IF(Student­­Performance[[#This Row],[Math Score]]&gt;=50,"Pass","Fail")</f>
        <v>Pass</v>
      </c>
      <c r="R151" s="4" t="str">
        <f>IF(Student­­Performance[[#This Row],[Reading Score]]&gt;=50,"Pass","Fail")</f>
        <v>Pass</v>
      </c>
      <c r="S151" s="4" t="str">
        <f>IF(Student­­Performance[[#This Row],[Writing Score]]&gt;=50,"Pass","Fail")</f>
        <v>Pass</v>
      </c>
      <c r="T15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247</v>
      </c>
      <c r="U151" s="4" cm="1">
        <f t="array" ref="U151">IF(COUNT(F151:H151)=0,"", MAX(IF(ISNUMBER(F151:H151),F151:H151)) - MIN(IF(ISNUMBER(F151:H151),F151:H151)))</f>
        <v>7</v>
      </c>
      <c r="V151" s="4" t="str">
        <f>IF(U151="","",IF(U151&gt;25,"Outlier","Normal"))</f>
        <v>Normal</v>
      </c>
    </row>
    <row r="152" spans="1:22" x14ac:dyDescent="0.3">
      <c r="A152" s="1" t="s">
        <v>17</v>
      </c>
      <c r="B152" s="1" t="s">
        <v>13</v>
      </c>
      <c r="C152" s="1" t="s">
        <v>87</v>
      </c>
      <c r="D152" s="1" t="s">
        <v>11</v>
      </c>
      <c r="E152" s="1" t="s">
        <v>15</v>
      </c>
      <c r="F152" s="4">
        <v>86</v>
      </c>
      <c r="G152" s="4">
        <v>81</v>
      </c>
      <c r="H152" s="4">
        <v>80</v>
      </c>
      <c r="I152" s="4">
        <f>AVERAGE(Student­­Performance[[#This Row],[Math Score]],Student­­Performance[[#This Row],[Reading Score]],Student­­Performance[[#This Row],[Writing Score]])</f>
        <v>82.333333333333329</v>
      </c>
      <c r="J152" s="10" t="str">
        <f>IF(Student­­Performance[[#This Row],[Average Score]]&gt;=50,"Pass","Fail")</f>
        <v>Pass</v>
      </c>
      <c r="K15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15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15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152" s="4">
        <f>IF(ISNUMBER(Student­­Performance[[#This Row],[Math Score]]),Student­­Performance[[#This Row],[Math Score]],0)</f>
        <v>86</v>
      </c>
      <c r="O152" s="4">
        <f>IF(ISNUMBER(Student­­Performance[[#This Row],[Reading Score]]),Student­­Performance[[#This Row],[Reading Score]],0)</f>
        <v>81</v>
      </c>
      <c r="P152" s="4">
        <f>IF(ISNUMBER(Student­­Performance[[#This Row],[Writing Score]]),Student­­Performance[[#This Row],[Writing Score]],0)</f>
        <v>80</v>
      </c>
      <c r="Q152" s="4" t="str">
        <f>IF(Student­­Performance[[#This Row],[Math Score]]&gt;=50,"Pass","Fail")</f>
        <v>Pass</v>
      </c>
      <c r="R152" s="4" t="str">
        <f>IF(Student­­Performance[[#This Row],[Reading Score]]&gt;=50,"Pass","Fail")</f>
        <v>Pass</v>
      </c>
      <c r="S152" s="4" t="str">
        <f>IF(Student­­Performance[[#This Row],[Writing Score]]&gt;=50,"Pass","Fail")</f>
        <v>Pass</v>
      </c>
      <c r="T15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247</v>
      </c>
      <c r="U152" s="4" cm="1">
        <f t="array" ref="U152">IF(COUNT(F152:H152)=0,"", MAX(IF(ISNUMBER(F152:H152),F152:H152)) - MIN(IF(ISNUMBER(F152:H152),F152:H152)))</f>
        <v>6</v>
      </c>
      <c r="V152" s="4" t="str">
        <f>IF(U152="","",IF(U152&gt;25,"Outlier","Normal"))</f>
        <v>Normal</v>
      </c>
    </row>
    <row r="153" spans="1:22" x14ac:dyDescent="0.3">
      <c r="A153" s="1" t="s">
        <v>8</v>
      </c>
      <c r="B153" s="1" t="s">
        <v>21</v>
      </c>
      <c r="C153" s="1" t="s">
        <v>84</v>
      </c>
      <c r="D153" s="1" t="s">
        <v>11</v>
      </c>
      <c r="E153" s="1" t="s">
        <v>12</v>
      </c>
      <c r="F153" s="4">
        <v>74</v>
      </c>
      <c r="G153" s="4">
        <v>89</v>
      </c>
      <c r="H153" s="4">
        <v>84</v>
      </c>
      <c r="I153" s="4">
        <f>AVERAGE(Student­­Performance[[#This Row],[Math Score]],Student­­Performance[[#This Row],[Reading Score]],Student­­Performance[[#This Row],[Writing Score]])</f>
        <v>82.333333333333329</v>
      </c>
      <c r="J153" s="10" t="str">
        <f>IF(Student­­Performance[[#This Row],[Average Score]]&gt;=50,"Pass","Fail")</f>
        <v>Pass</v>
      </c>
      <c r="K15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15</v>
      </c>
      <c r="L15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15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153" s="4">
        <f>IF(ISNUMBER(Student­­Performance[[#This Row],[Math Score]]),Student­­Performance[[#This Row],[Math Score]],0)</f>
        <v>74</v>
      </c>
      <c r="O153" s="4">
        <f>IF(ISNUMBER(Student­­Performance[[#This Row],[Reading Score]]),Student­­Performance[[#This Row],[Reading Score]],0)</f>
        <v>89</v>
      </c>
      <c r="P153" s="4">
        <f>IF(ISNUMBER(Student­­Performance[[#This Row],[Writing Score]]),Student­­Performance[[#This Row],[Writing Score]],0)</f>
        <v>84</v>
      </c>
      <c r="Q153" s="4" t="str">
        <f>IF(Student­­Performance[[#This Row],[Math Score]]&gt;=50,"Pass","Fail")</f>
        <v>Pass</v>
      </c>
      <c r="R153" s="4" t="str">
        <f>IF(Student­­Performance[[#This Row],[Reading Score]]&gt;=50,"Pass","Fail")</f>
        <v>Pass</v>
      </c>
      <c r="S153" s="4" t="str">
        <f>IF(Student­­Performance[[#This Row],[Writing Score]]&gt;=50,"Pass","Fail")</f>
        <v>Pass</v>
      </c>
      <c r="T15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247</v>
      </c>
      <c r="U153" s="4" cm="1">
        <f t="array" ref="U153">IF(COUNT(F153:H153)=0,"", MAX(IF(ISNUMBER(F153:H153),F153:H153)) - MIN(IF(ISNUMBER(F153:H153),F153:H153)))</f>
        <v>15</v>
      </c>
      <c r="V153" s="4" t="str">
        <f>IF(U153="","",IF(U153&gt;25,"Outlier","Normal"))</f>
        <v>Normal</v>
      </c>
    </row>
    <row r="154" spans="1:22" x14ac:dyDescent="0.3">
      <c r="A154" s="1" t="s">
        <v>8</v>
      </c>
      <c r="B154" s="1" t="s">
        <v>13</v>
      </c>
      <c r="C154" s="1" t="s">
        <v>86</v>
      </c>
      <c r="D154" s="1" t="s">
        <v>11</v>
      </c>
      <c r="E154" s="1" t="s">
        <v>15</v>
      </c>
      <c r="F154" s="4">
        <v>75</v>
      </c>
      <c r="G154" s="4">
        <v>82</v>
      </c>
      <c r="H154" s="4">
        <v>90</v>
      </c>
      <c r="I154" s="4">
        <f>AVERAGE(Student­­Performance[[#This Row],[Math Score]],Student­­Performance[[#This Row],[Reading Score]],Student­­Performance[[#This Row],[Writing Score]])</f>
        <v>82.333333333333329</v>
      </c>
      <c r="J154" s="10" t="str">
        <f>IF(Student­­Performance[[#This Row],[Average Score]]&gt;=50,"Pass","Fail")</f>
        <v>Pass</v>
      </c>
      <c r="K15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15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8</v>
      </c>
      <c r="M15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15</v>
      </c>
      <c r="N154" s="4">
        <f>IF(ISNUMBER(Student­­Performance[[#This Row],[Math Score]]),Student­­Performance[[#This Row],[Math Score]],0)</f>
        <v>75</v>
      </c>
      <c r="O154" s="4">
        <f>IF(ISNUMBER(Student­­Performance[[#This Row],[Reading Score]]),Student­­Performance[[#This Row],[Reading Score]],0)</f>
        <v>82</v>
      </c>
      <c r="P154" s="4">
        <f>IF(ISNUMBER(Student­­Performance[[#This Row],[Writing Score]]),Student­­Performance[[#This Row],[Writing Score]],0)</f>
        <v>90</v>
      </c>
      <c r="Q154" s="4" t="str">
        <f>IF(Student­­Performance[[#This Row],[Math Score]]&gt;=50,"Pass","Fail")</f>
        <v>Pass</v>
      </c>
      <c r="R154" s="4" t="str">
        <f>IF(Student­­Performance[[#This Row],[Reading Score]]&gt;=50,"Pass","Fail")</f>
        <v>Pass</v>
      </c>
      <c r="S154" s="4" t="str">
        <f>IF(Student­­Performance[[#This Row],[Writing Score]]&gt;=50,"Pass","Fail")</f>
        <v>Pass</v>
      </c>
      <c r="T15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247</v>
      </c>
      <c r="U154" s="4" cm="1">
        <f t="array" ref="U154">IF(COUNT(F154:H154)=0,"", MAX(IF(ISNUMBER(F154:H154),F154:H154)) - MIN(IF(ISNUMBER(F154:H154),F154:H154)))</f>
        <v>15</v>
      </c>
      <c r="V154" s="4" t="str">
        <f>IF(U154="","",IF(U154&gt;25,"Outlier","Normal"))</f>
        <v>Normal</v>
      </c>
    </row>
    <row r="155" spans="1:22" x14ac:dyDescent="0.3">
      <c r="A155" s="1" t="s">
        <v>8</v>
      </c>
      <c r="B155" s="1" t="s">
        <v>13</v>
      </c>
      <c r="C155" s="1" t="s">
        <v>87</v>
      </c>
      <c r="D155" s="1" t="s">
        <v>11</v>
      </c>
      <c r="E155" s="1" t="s">
        <v>12</v>
      </c>
      <c r="F155" s="4">
        <v>81</v>
      </c>
      <c r="G155" s="4">
        <v>84</v>
      </c>
      <c r="H155" s="4">
        <v>82</v>
      </c>
      <c r="I155" s="4">
        <f>AVERAGE(Student­­Performance[[#This Row],[Math Score]],Student­­Performance[[#This Row],[Reading Score]],Student­­Performance[[#This Row],[Writing Score]])</f>
        <v>82.333333333333329</v>
      </c>
      <c r="J155" s="10" t="str">
        <f>IF(Student­­Performance[[#This Row],[Average Score]]&gt;=50,"Pass","Fail")</f>
        <v>Pass</v>
      </c>
      <c r="K15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15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15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155" s="4">
        <f>IF(ISNUMBER(Student­­Performance[[#This Row],[Math Score]]),Student­­Performance[[#This Row],[Math Score]],0)</f>
        <v>81</v>
      </c>
      <c r="O155" s="4">
        <f>IF(ISNUMBER(Student­­Performance[[#This Row],[Reading Score]]),Student­­Performance[[#This Row],[Reading Score]],0)</f>
        <v>84</v>
      </c>
      <c r="P155" s="4">
        <f>IF(ISNUMBER(Student­­Performance[[#This Row],[Writing Score]]),Student­­Performance[[#This Row],[Writing Score]],0)</f>
        <v>82</v>
      </c>
      <c r="Q155" s="4" t="str">
        <f>IF(Student­­Performance[[#This Row],[Math Score]]&gt;=50,"Pass","Fail")</f>
        <v>Pass</v>
      </c>
      <c r="R155" s="4" t="str">
        <f>IF(Student­­Performance[[#This Row],[Reading Score]]&gt;=50,"Pass","Fail")</f>
        <v>Pass</v>
      </c>
      <c r="S155" s="4" t="str">
        <f>IF(Student­­Performance[[#This Row],[Writing Score]]&gt;=50,"Pass","Fail")</f>
        <v>Pass</v>
      </c>
      <c r="T15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247</v>
      </c>
      <c r="U155" s="4" cm="1">
        <f t="array" ref="U155">IF(COUNT(F155:H155)=0,"", MAX(IF(ISNUMBER(F155:H155),F155:H155)) - MIN(IF(ISNUMBER(F155:H155),F155:H155)))</f>
        <v>3</v>
      </c>
      <c r="V155" s="4" t="str">
        <f>IF(U155="","",IF(U155&gt;25,"Outlier","Normal"))</f>
        <v>Normal</v>
      </c>
    </row>
    <row r="156" spans="1:22" x14ac:dyDescent="0.3">
      <c r="A156" s="1" t="s">
        <v>17</v>
      </c>
      <c r="B156" s="1" t="s">
        <v>26</v>
      </c>
      <c r="C156" s="1" t="s">
        <v>88</v>
      </c>
      <c r="D156" s="1" t="s">
        <v>11</v>
      </c>
      <c r="E156" s="1" t="s">
        <v>15</v>
      </c>
      <c r="F156" s="4">
        <v>87</v>
      </c>
      <c r="G156" s="4">
        <v>84</v>
      </c>
      <c r="H156" s="4">
        <v>76</v>
      </c>
      <c r="I156" s="4">
        <f>AVERAGE(Student­­Performance[[#This Row],[Math Score]],Student­­Performance[[#This Row],[Reading Score]],Student­­Performance[[#This Row],[Writing Score]])</f>
        <v>82.333333333333329</v>
      </c>
      <c r="J156" s="10" t="str">
        <f>IF(Student­­Performance[[#This Row],[Average Score]]&gt;=50,"Pass","Fail")</f>
        <v>Pass</v>
      </c>
      <c r="K15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15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-8</v>
      </c>
      <c r="M15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-11</v>
      </c>
      <c r="N156" s="4">
        <f>IF(ISNUMBER(Student­­Performance[[#This Row],[Math Score]]),Student­­Performance[[#This Row],[Math Score]],0)</f>
        <v>87</v>
      </c>
      <c r="O156" s="4">
        <f>IF(ISNUMBER(Student­­Performance[[#This Row],[Reading Score]]),Student­­Performance[[#This Row],[Reading Score]],0)</f>
        <v>84</v>
      </c>
      <c r="P156" s="4">
        <f>IF(ISNUMBER(Student­­Performance[[#This Row],[Writing Score]]),Student­­Performance[[#This Row],[Writing Score]],0)</f>
        <v>76</v>
      </c>
      <c r="Q156" s="4" t="str">
        <f>IF(Student­­Performance[[#This Row],[Math Score]]&gt;=50,"Pass","Fail")</f>
        <v>Pass</v>
      </c>
      <c r="R156" s="4" t="str">
        <f>IF(Student­­Performance[[#This Row],[Reading Score]]&gt;=50,"Pass","Fail")</f>
        <v>Pass</v>
      </c>
      <c r="S156" s="4" t="str">
        <f>IF(Student­­Performance[[#This Row],[Writing Score]]&gt;=50,"Pass","Fail")</f>
        <v>Pass</v>
      </c>
      <c r="T15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247</v>
      </c>
      <c r="U156" s="4" cm="1">
        <f t="array" ref="U156">IF(COUNT(F156:H156)=0,"", MAX(IF(ISNUMBER(F156:H156),F156:H156)) - MIN(IF(ISNUMBER(F156:H156),F156:H156)))</f>
        <v>11</v>
      </c>
      <c r="V156" s="4" t="str">
        <f>IF(U156="","",IF(U156&gt;25,"Outlier","Normal"))</f>
        <v>Normal</v>
      </c>
    </row>
    <row r="157" spans="1:22" x14ac:dyDescent="0.3">
      <c r="A157" s="1" t="s">
        <v>17</v>
      </c>
      <c r="B157" s="1" t="s">
        <v>21</v>
      </c>
      <c r="C157" s="1" t="s">
        <v>84</v>
      </c>
      <c r="D157" s="1" t="s">
        <v>11</v>
      </c>
      <c r="E157" s="1" t="s">
        <v>12</v>
      </c>
      <c r="F157" s="4">
        <v>81</v>
      </c>
      <c r="G157" s="4">
        <v>82</v>
      </c>
      <c r="H157" s="4">
        <v>84</v>
      </c>
      <c r="I157" s="4">
        <f>AVERAGE(Student­­Performance[[#This Row],[Math Score]],Student­­Performance[[#This Row],[Reading Score]],Student­­Performance[[#This Row],[Writing Score]])</f>
        <v>82.333333333333329</v>
      </c>
      <c r="J157" s="10" t="str">
        <f>IF(Student­­Performance[[#This Row],[Average Score]]&gt;=50,"Pass","Fail")</f>
        <v>Pass</v>
      </c>
      <c r="K15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15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15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157" s="4">
        <f>IF(ISNUMBER(Student­­Performance[[#This Row],[Math Score]]),Student­­Performance[[#This Row],[Math Score]],0)</f>
        <v>81</v>
      </c>
      <c r="O157" s="4">
        <f>IF(ISNUMBER(Student­­Performance[[#This Row],[Reading Score]]),Student­­Performance[[#This Row],[Reading Score]],0)</f>
        <v>82</v>
      </c>
      <c r="P157" s="4">
        <f>IF(ISNUMBER(Student­­Performance[[#This Row],[Writing Score]]),Student­­Performance[[#This Row],[Writing Score]],0)</f>
        <v>84</v>
      </c>
      <c r="Q157" s="4" t="str">
        <f>IF(Student­­Performance[[#This Row],[Math Score]]&gt;=50,"Pass","Fail")</f>
        <v>Pass</v>
      </c>
      <c r="R157" s="4" t="str">
        <f>IF(Student­­Performance[[#This Row],[Reading Score]]&gt;=50,"Pass","Fail")</f>
        <v>Pass</v>
      </c>
      <c r="S157" s="4" t="str">
        <f>IF(Student­­Performance[[#This Row],[Writing Score]]&gt;=50,"Pass","Fail")</f>
        <v>Pass</v>
      </c>
      <c r="T15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247</v>
      </c>
      <c r="U157" s="4" cm="1">
        <f t="array" ref="U157">IF(COUNT(F157:H157)=0,"", MAX(IF(ISNUMBER(F157:H157),F157:H157)) - MIN(IF(ISNUMBER(F157:H157),F157:H157)))</f>
        <v>3</v>
      </c>
      <c r="V157" s="4" t="str">
        <f>IF(U157="","",IF(U157&gt;25,"Outlier","Normal"))</f>
        <v>Normal</v>
      </c>
    </row>
    <row r="158" spans="1:22" x14ac:dyDescent="0.3">
      <c r="A158" s="1" t="s">
        <v>8</v>
      </c>
      <c r="B158" s="1" t="s">
        <v>21</v>
      </c>
      <c r="C158" s="1" t="s">
        <v>84</v>
      </c>
      <c r="D158" s="1" t="s">
        <v>11</v>
      </c>
      <c r="E158" s="1" t="s">
        <v>12</v>
      </c>
      <c r="F158" s="4">
        <v>79</v>
      </c>
      <c r="G158" s="4">
        <v>86</v>
      </c>
      <c r="H158" s="4">
        <v>81</v>
      </c>
      <c r="I158" s="4">
        <f>AVERAGE(Student­­Performance[[#This Row],[Math Score]],Student­­Performance[[#This Row],[Reading Score]],Student­­Performance[[#This Row],[Writing Score]])</f>
        <v>82</v>
      </c>
      <c r="J158" s="10" t="str">
        <f>IF(Student­­Performance[[#This Row],[Average Score]]&gt;=50,"Pass","Fail")</f>
        <v>Pass</v>
      </c>
      <c r="K15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15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15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158" s="4">
        <f>IF(ISNUMBER(Student­­Performance[[#This Row],[Math Score]]),Student­­Performance[[#This Row],[Math Score]],0)</f>
        <v>79</v>
      </c>
      <c r="O158" s="4">
        <f>IF(ISNUMBER(Student­­Performance[[#This Row],[Reading Score]]),Student­­Performance[[#This Row],[Reading Score]],0)</f>
        <v>86</v>
      </c>
      <c r="P158" s="4">
        <f>IF(ISNUMBER(Student­­Performance[[#This Row],[Writing Score]]),Student­­Performance[[#This Row],[Writing Score]],0)</f>
        <v>81</v>
      </c>
      <c r="Q158" s="4" t="str">
        <f>IF(Student­­Performance[[#This Row],[Math Score]]&gt;=50,"Pass","Fail")</f>
        <v>Pass</v>
      </c>
      <c r="R158" s="4" t="str">
        <f>IF(Student­­Performance[[#This Row],[Reading Score]]&gt;=50,"Pass","Fail")</f>
        <v>Pass</v>
      </c>
      <c r="S158" s="4" t="str">
        <f>IF(Student­­Performance[[#This Row],[Writing Score]]&gt;=50,"Pass","Fail")</f>
        <v>Pass</v>
      </c>
      <c r="T15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246</v>
      </c>
      <c r="U158" s="4" cm="1">
        <f t="array" ref="U158">IF(COUNT(F158:H158)=0,"", MAX(IF(ISNUMBER(F158:H158),F158:H158)) - MIN(IF(ISNUMBER(F158:H158),F158:H158)))</f>
        <v>7</v>
      </c>
      <c r="V158" s="4" t="str">
        <f>IF(U158="","",IF(U158&gt;25,"Outlier","Normal"))</f>
        <v>Normal</v>
      </c>
    </row>
    <row r="159" spans="1:22" x14ac:dyDescent="0.3">
      <c r="A159" s="1" t="s">
        <v>8</v>
      </c>
      <c r="B159" s="1" t="s">
        <v>26</v>
      </c>
      <c r="C159" s="1" t="s">
        <v>83</v>
      </c>
      <c r="D159" s="1" t="s">
        <v>11</v>
      </c>
      <c r="E159" s="1" t="s">
        <v>12</v>
      </c>
      <c r="F159" s="4">
        <v>80</v>
      </c>
      <c r="G159" s="4">
        <v>83</v>
      </c>
      <c r="H159" s="4">
        <v>83</v>
      </c>
      <c r="I159" s="4">
        <f>AVERAGE(Student­­Performance[[#This Row],[Math Score]],Student­­Performance[[#This Row],[Reading Score]],Student­­Performance[[#This Row],[Writing Score]])</f>
        <v>82</v>
      </c>
      <c r="J159" s="10" t="str">
        <f>IF(Student­­Performance[[#This Row],[Average Score]]&gt;=50,"Pass","Fail")</f>
        <v>Pass</v>
      </c>
      <c r="K15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15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15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159" s="4">
        <f>IF(ISNUMBER(Student­­Performance[[#This Row],[Math Score]]),Student­­Performance[[#This Row],[Math Score]],0)</f>
        <v>80</v>
      </c>
      <c r="O159" s="4">
        <f>IF(ISNUMBER(Student­­Performance[[#This Row],[Reading Score]]),Student­­Performance[[#This Row],[Reading Score]],0)</f>
        <v>83</v>
      </c>
      <c r="P159" s="4">
        <f>IF(ISNUMBER(Student­­Performance[[#This Row],[Writing Score]]),Student­­Performance[[#This Row],[Writing Score]],0)</f>
        <v>83</v>
      </c>
      <c r="Q159" s="4" t="str">
        <f>IF(Student­­Performance[[#This Row],[Math Score]]&gt;=50,"Pass","Fail")</f>
        <v>Pass</v>
      </c>
      <c r="R159" s="4" t="str">
        <f>IF(Student­­Performance[[#This Row],[Reading Score]]&gt;=50,"Pass","Fail")</f>
        <v>Pass</v>
      </c>
      <c r="S159" s="4" t="str">
        <f>IF(Student­­Performance[[#This Row],[Writing Score]]&gt;=50,"Pass","Fail")</f>
        <v>Pass</v>
      </c>
      <c r="T15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246</v>
      </c>
      <c r="U159" s="4" cm="1">
        <f t="array" ref="U159">IF(COUNT(F159:H159)=0,"", MAX(IF(ISNUMBER(F159:H159),F159:H159)) - MIN(IF(ISNUMBER(F159:H159),F159:H159)))</f>
        <v>3</v>
      </c>
      <c r="V159" s="4" t="str">
        <f>IF(U159="","",IF(U159&gt;25,"Outlier","Normal"))</f>
        <v>Normal</v>
      </c>
    </row>
    <row r="160" spans="1:22" x14ac:dyDescent="0.3">
      <c r="A160" s="1" t="s">
        <v>17</v>
      </c>
      <c r="B160" s="1" t="s">
        <v>21</v>
      </c>
      <c r="C160" s="1" t="s">
        <v>85</v>
      </c>
      <c r="D160" s="1" t="s">
        <v>11</v>
      </c>
      <c r="E160" s="1" t="s">
        <v>12</v>
      </c>
      <c r="F160" s="4">
        <v>81</v>
      </c>
      <c r="G160" s="4">
        <v>81</v>
      </c>
      <c r="H160" s="4">
        <v>84</v>
      </c>
      <c r="I160" s="4">
        <f>AVERAGE(Student­­Performance[[#This Row],[Math Score]],Student­­Performance[[#This Row],[Reading Score]],Student­­Performance[[#This Row],[Writing Score]])</f>
        <v>82</v>
      </c>
      <c r="J160" s="10" t="str">
        <f>IF(Student­­Performance[[#This Row],[Average Score]]&gt;=50,"Pass","Fail")</f>
        <v>Pass</v>
      </c>
      <c r="K16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16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16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160" s="4">
        <f>IF(ISNUMBER(Student­­Performance[[#This Row],[Math Score]]),Student­­Performance[[#This Row],[Math Score]],0)</f>
        <v>81</v>
      </c>
      <c r="O160" s="4">
        <f>IF(ISNUMBER(Student­­Performance[[#This Row],[Reading Score]]),Student­­Performance[[#This Row],[Reading Score]],0)</f>
        <v>81</v>
      </c>
      <c r="P160" s="4">
        <f>IF(ISNUMBER(Student­­Performance[[#This Row],[Writing Score]]),Student­­Performance[[#This Row],[Writing Score]],0)</f>
        <v>84</v>
      </c>
      <c r="Q160" s="4" t="str">
        <f>IF(Student­­Performance[[#This Row],[Math Score]]&gt;=50,"Pass","Fail")</f>
        <v>Pass</v>
      </c>
      <c r="R160" s="4" t="str">
        <f>IF(Student­­Performance[[#This Row],[Reading Score]]&gt;=50,"Pass","Fail")</f>
        <v>Pass</v>
      </c>
      <c r="S160" s="4" t="str">
        <f>IF(Student­­Performance[[#This Row],[Writing Score]]&gt;=50,"Pass","Fail")</f>
        <v>Pass</v>
      </c>
      <c r="T16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246</v>
      </c>
      <c r="U160" s="4" cm="1">
        <f t="array" ref="U160">IF(COUNT(F160:H160)=0,"", MAX(IF(ISNUMBER(F160:H160),F160:H160)) - MIN(IF(ISNUMBER(F160:H160),F160:H160)))</f>
        <v>3</v>
      </c>
      <c r="V160" s="4" t="str">
        <f>IF(U160="","",IF(U160&gt;25,"Outlier","Normal"))</f>
        <v>Normal</v>
      </c>
    </row>
    <row r="161" spans="1:22" x14ac:dyDescent="0.3">
      <c r="A161" s="1" t="s">
        <v>17</v>
      </c>
      <c r="B161" s="1" t="s">
        <v>9</v>
      </c>
      <c r="C161" s="1" t="s">
        <v>86</v>
      </c>
      <c r="D161" s="1" t="s">
        <v>11</v>
      </c>
      <c r="E161" s="1" t="s">
        <v>12</v>
      </c>
      <c r="F161" s="4">
        <v>87</v>
      </c>
      <c r="G161" s="4">
        <v>85</v>
      </c>
      <c r="H161" s="4">
        <v>73</v>
      </c>
      <c r="I161" s="4">
        <f>AVERAGE(Student­­Performance[[#This Row],[Math Score]],Student­­Performance[[#This Row],[Reading Score]],Student­­Performance[[#This Row],[Writing Score]])</f>
        <v>81.666666666666671</v>
      </c>
      <c r="J161" s="10" t="str">
        <f>IF(Student­­Performance[[#This Row],[Average Score]]&gt;=50,"Pass","Fail")</f>
        <v>Pass</v>
      </c>
      <c r="K16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</v>
      </c>
      <c r="L16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-12</v>
      </c>
      <c r="M16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-14</v>
      </c>
      <c r="N161" s="4">
        <f>IF(ISNUMBER(Student­­Performance[[#This Row],[Math Score]]),Student­­Performance[[#This Row],[Math Score]],0)</f>
        <v>87</v>
      </c>
      <c r="O161" s="4">
        <f>IF(ISNUMBER(Student­­Performance[[#This Row],[Reading Score]]),Student­­Performance[[#This Row],[Reading Score]],0)</f>
        <v>85</v>
      </c>
      <c r="P161" s="4">
        <f>IF(ISNUMBER(Student­­Performance[[#This Row],[Writing Score]]),Student­­Performance[[#This Row],[Writing Score]],0)</f>
        <v>73</v>
      </c>
      <c r="Q161" s="4" t="str">
        <f>IF(Student­­Performance[[#This Row],[Math Score]]&gt;=50,"Pass","Fail")</f>
        <v>Pass</v>
      </c>
      <c r="R161" s="4" t="str">
        <f>IF(Student­­Performance[[#This Row],[Reading Score]]&gt;=50,"Pass","Fail")</f>
        <v>Pass</v>
      </c>
      <c r="S161" s="4" t="str">
        <f>IF(Student­­Performance[[#This Row],[Writing Score]]&gt;=50,"Pass","Fail")</f>
        <v>Pass</v>
      </c>
      <c r="T16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245</v>
      </c>
      <c r="U161" s="4" cm="1">
        <f t="array" ref="U161">IF(COUNT(F161:H161)=0,"", MAX(IF(ISNUMBER(F161:H161),F161:H161)) - MIN(IF(ISNUMBER(F161:H161),F161:H161)))</f>
        <v>14</v>
      </c>
      <c r="V161" s="4" t="str">
        <f>IF(U161="","",IF(U161&gt;25,"Outlier","Normal"))</f>
        <v>Normal</v>
      </c>
    </row>
    <row r="162" spans="1:22" x14ac:dyDescent="0.3">
      <c r="A162" s="1" t="s">
        <v>17</v>
      </c>
      <c r="B162" s="1" t="s">
        <v>9</v>
      </c>
      <c r="C162" s="1" t="s">
        <v>86</v>
      </c>
      <c r="D162" s="1" t="s">
        <v>11</v>
      </c>
      <c r="E162" s="1" t="s">
        <v>15</v>
      </c>
      <c r="F162" s="4">
        <v>81</v>
      </c>
      <c r="G162" s="4">
        <v>82</v>
      </c>
      <c r="H162" s="4">
        <v>82</v>
      </c>
      <c r="I162" s="4">
        <f>AVERAGE(Student­­Performance[[#This Row],[Math Score]],Student­­Performance[[#This Row],[Reading Score]],Student­­Performance[[#This Row],[Writing Score]])</f>
        <v>81.666666666666671</v>
      </c>
      <c r="J162" s="10" t="str">
        <f>IF(Student­­Performance[[#This Row],[Average Score]]&gt;=50,"Pass","Fail")</f>
        <v>Pass</v>
      </c>
      <c r="K16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16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16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162" s="4">
        <f>IF(ISNUMBER(Student­­Performance[[#This Row],[Math Score]]),Student­­Performance[[#This Row],[Math Score]],0)</f>
        <v>81</v>
      </c>
      <c r="O162" s="4">
        <f>IF(ISNUMBER(Student­­Performance[[#This Row],[Reading Score]]),Student­­Performance[[#This Row],[Reading Score]],0)</f>
        <v>82</v>
      </c>
      <c r="P162" s="4">
        <f>IF(ISNUMBER(Student­­Performance[[#This Row],[Writing Score]]),Student­­Performance[[#This Row],[Writing Score]],0)</f>
        <v>82</v>
      </c>
      <c r="Q162" s="4" t="str">
        <f>IF(Student­­Performance[[#This Row],[Math Score]]&gt;=50,"Pass","Fail")</f>
        <v>Pass</v>
      </c>
      <c r="R162" s="4" t="str">
        <f>IF(Student­­Performance[[#This Row],[Reading Score]]&gt;=50,"Pass","Fail")</f>
        <v>Pass</v>
      </c>
      <c r="S162" s="4" t="str">
        <f>IF(Student­­Performance[[#This Row],[Writing Score]]&gt;=50,"Pass","Fail")</f>
        <v>Pass</v>
      </c>
      <c r="T16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245</v>
      </c>
      <c r="U162" s="4" cm="1">
        <f t="array" ref="U162">IF(COUNT(F162:H162)=0,"", MAX(IF(ISNUMBER(F162:H162),F162:H162)) - MIN(IF(ISNUMBER(F162:H162),F162:H162)))</f>
        <v>1</v>
      </c>
      <c r="V162" s="4" t="str">
        <f>IF(U162="","",IF(U162&gt;25,"Outlier","Normal"))</f>
        <v>Normal</v>
      </c>
    </row>
    <row r="163" spans="1:22" x14ac:dyDescent="0.3">
      <c r="A163" s="1" t="s">
        <v>17</v>
      </c>
      <c r="B163" s="1" t="s">
        <v>26</v>
      </c>
      <c r="C163" s="1" t="s">
        <v>84</v>
      </c>
      <c r="D163" s="1" t="s">
        <v>11</v>
      </c>
      <c r="E163" s="1" t="s">
        <v>15</v>
      </c>
      <c r="F163" s="4">
        <v>84</v>
      </c>
      <c r="G163" s="4">
        <v>83</v>
      </c>
      <c r="H163" s="4">
        <v>78</v>
      </c>
      <c r="I163" s="4">
        <f>AVERAGE(Student­­Performance[[#This Row],[Math Score]],Student­­Performance[[#This Row],[Reading Score]],Student­­Performance[[#This Row],[Writing Score]])</f>
        <v>81.666666666666671</v>
      </c>
      <c r="J163" s="10" t="str">
        <f>IF(Student­­Performance[[#This Row],[Average Score]]&gt;=50,"Pass","Fail")</f>
        <v>Pass</v>
      </c>
      <c r="K16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16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16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163" s="4">
        <f>IF(ISNUMBER(Student­­Performance[[#This Row],[Math Score]]),Student­­Performance[[#This Row],[Math Score]],0)</f>
        <v>84</v>
      </c>
      <c r="O163" s="4">
        <f>IF(ISNUMBER(Student­­Performance[[#This Row],[Reading Score]]),Student­­Performance[[#This Row],[Reading Score]],0)</f>
        <v>83</v>
      </c>
      <c r="P163" s="4">
        <f>IF(ISNUMBER(Student­­Performance[[#This Row],[Writing Score]]),Student­­Performance[[#This Row],[Writing Score]],0)</f>
        <v>78</v>
      </c>
      <c r="Q163" s="4" t="str">
        <f>IF(Student­­Performance[[#This Row],[Math Score]]&gt;=50,"Pass","Fail")</f>
        <v>Pass</v>
      </c>
      <c r="R163" s="4" t="str">
        <f>IF(Student­­Performance[[#This Row],[Reading Score]]&gt;=50,"Pass","Fail")</f>
        <v>Pass</v>
      </c>
      <c r="S163" s="4" t="str">
        <f>IF(Student­­Performance[[#This Row],[Writing Score]]&gt;=50,"Pass","Fail")</f>
        <v>Pass</v>
      </c>
      <c r="T16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245</v>
      </c>
      <c r="U163" s="4" cm="1">
        <f t="array" ref="U163">IF(COUNT(F163:H163)=0,"", MAX(IF(ISNUMBER(F163:H163),F163:H163)) - MIN(IF(ISNUMBER(F163:H163),F163:H163)))</f>
        <v>6</v>
      </c>
      <c r="V163" s="4" t="str">
        <f>IF(U163="","",IF(U163&gt;25,"Outlier","Normal"))</f>
        <v>Normal</v>
      </c>
    </row>
    <row r="164" spans="1:22" x14ac:dyDescent="0.3">
      <c r="A164" s="1" t="s">
        <v>17</v>
      </c>
      <c r="B164" s="1" t="s">
        <v>21</v>
      </c>
      <c r="C164" s="1" t="s">
        <v>88</v>
      </c>
      <c r="D164" s="1" t="s">
        <v>11</v>
      </c>
      <c r="E164" s="1" t="s">
        <v>15</v>
      </c>
      <c r="F164" s="4">
        <v>78</v>
      </c>
      <c r="G164" s="4">
        <v>81</v>
      </c>
      <c r="H164" s="4">
        <v>86</v>
      </c>
      <c r="I164" s="4">
        <f>AVERAGE(Student­­Performance[[#This Row],[Math Score]],Student­­Performance[[#This Row],[Reading Score]],Student­­Performance[[#This Row],[Writing Score]])</f>
        <v>81.666666666666671</v>
      </c>
      <c r="J164" s="10" t="str">
        <f>IF(Student­­Performance[[#This Row],[Average Score]]&gt;=50,"Pass","Fail")</f>
        <v>Pass</v>
      </c>
      <c r="K16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16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16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164" s="4">
        <f>IF(ISNUMBER(Student­­Performance[[#This Row],[Math Score]]),Student­­Performance[[#This Row],[Math Score]],0)</f>
        <v>78</v>
      </c>
      <c r="O164" s="4">
        <f>IF(ISNUMBER(Student­­Performance[[#This Row],[Reading Score]]),Student­­Performance[[#This Row],[Reading Score]],0)</f>
        <v>81</v>
      </c>
      <c r="P164" s="4">
        <f>IF(ISNUMBER(Student­­Performance[[#This Row],[Writing Score]]),Student­­Performance[[#This Row],[Writing Score]],0)</f>
        <v>86</v>
      </c>
      <c r="Q164" s="4" t="str">
        <f>IF(Student­­Performance[[#This Row],[Math Score]]&gt;=50,"Pass","Fail")</f>
        <v>Pass</v>
      </c>
      <c r="R164" s="4" t="str">
        <f>IF(Student­­Performance[[#This Row],[Reading Score]]&gt;=50,"Pass","Fail")</f>
        <v>Pass</v>
      </c>
      <c r="S164" s="4" t="str">
        <f>IF(Student­­Performance[[#This Row],[Writing Score]]&gt;=50,"Pass","Fail")</f>
        <v>Pass</v>
      </c>
      <c r="T16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245</v>
      </c>
      <c r="U164" s="4" cm="1">
        <f t="array" ref="U164">IF(COUNT(F164:H164)=0,"", MAX(IF(ISNUMBER(F164:H164),F164:H164)) - MIN(IF(ISNUMBER(F164:H164),F164:H164)))</f>
        <v>8</v>
      </c>
      <c r="V164" s="4" t="str">
        <f>IF(U164="","",IF(U164&gt;25,"Outlier","Normal"))</f>
        <v>Normal</v>
      </c>
    </row>
    <row r="165" spans="1:22" x14ac:dyDescent="0.3">
      <c r="A165" s="1" t="s">
        <v>17</v>
      </c>
      <c r="B165" s="1" t="s">
        <v>13</v>
      </c>
      <c r="C165" s="1" t="s">
        <v>86</v>
      </c>
      <c r="D165" s="1" t="s">
        <v>11</v>
      </c>
      <c r="E165" s="1" t="s">
        <v>12</v>
      </c>
      <c r="F165" s="4">
        <v>84</v>
      </c>
      <c r="G165" s="4">
        <v>80</v>
      </c>
      <c r="H165" s="4">
        <v>80</v>
      </c>
      <c r="I165" s="4">
        <f>AVERAGE(Student­­Performance[[#This Row],[Math Score]],Student­­Performance[[#This Row],[Reading Score]],Student­­Performance[[#This Row],[Writing Score]])</f>
        <v>81.333333333333329</v>
      </c>
      <c r="J165" s="10" t="str">
        <f>IF(Student­­Performance[[#This Row],[Average Score]]&gt;=50,"Pass","Fail")</f>
        <v>Pass</v>
      </c>
      <c r="K16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16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16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165" s="4">
        <f>IF(ISNUMBER(Student­­Performance[[#This Row],[Math Score]]),Student­­Performance[[#This Row],[Math Score]],0)</f>
        <v>84</v>
      </c>
      <c r="O165" s="4">
        <f>IF(ISNUMBER(Student­­Performance[[#This Row],[Reading Score]]),Student­­Performance[[#This Row],[Reading Score]],0)</f>
        <v>80</v>
      </c>
      <c r="P165" s="4">
        <f>IF(ISNUMBER(Student­­Performance[[#This Row],[Writing Score]]),Student­­Performance[[#This Row],[Writing Score]],0)</f>
        <v>80</v>
      </c>
      <c r="Q165" s="4" t="str">
        <f>IF(Student­­Performance[[#This Row],[Math Score]]&gt;=50,"Pass","Fail")</f>
        <v>Pass</v>
      </c>
      <c r="R165" s="4" t="str">
        <f>IF(Student­­Performance[[#This Row],[Reading Score]]&gt;=50,"Pass","Fail")</f>
        <v>Pass</v>
      </c>
      <c r="S165" s="4" t="str">
        <f>IF(Student­­Performance[[#This Row],[Writing Score]]&gt;=50,"Pass","Fail")</f>
        <v>Pass</v>
      </c>
      <c r="T16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244</v>
      </c>
      <c r="U165" s="4" cm="1">
        <f t="array" ref="U165">IF(COUNT(F165:H165)=0,"", MAX(IF(ISNUMBER(F165:H165),F165:H165)) - MIN(IF(ISNUMBER(F165:H165),F165:H165)))</f>
        <v>4</v>
      </c>
      <c r="V165" s="4" t="str">
        <f>IF(U165="","",IF(U165&gt;25,"Outlier","Normal"))</f>
        <v>Normal</v>
      </c>
    </row>
    <row r="166" spans="1:22" x14ac:dyDescent="0.3">
      <c r="A166" s="1" t="s">
        <v>17</v>
      </c>
      <c r="B166" s="1" t="s">
        <v>26</v>
      </c>
      <c r="C166" s="1" t="s">
        <v>86</v>
      </c>
      <c r="D166" s="1" t="s">
        <v>20</v>
      </c>
      <c r="E166" s="1" t="s">
        <v>15</v>
      </c>
      <c r="F166" s="4">
        <v>91</v>
      </c>
      <c r="G166" s="4">
        <v>73</v>
      </c>
      <c r="H166" s="4">
        <v>80</v>
      </c>
      <c r="I166" s="4">
        <f>AVERAGE(Student­­Performance[[#This Row],[Math Score]],Student­­Performance[[#This Row],[Reading Score]],Student­­Performance[[#This Row],[Writing Score]])</f>
        <v>81.333333333333329</v>
      </c>
      <c r="J166" s="10" t="str">
        <f>IF(Student­­Performance[[#This Row],[Average Score]]&gt;=50,"Pass","Fail")</f>
        <v>Pass</v>
      </c>
      <c r="K16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-18</v>
      </c>
      <c r="L16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7</v>
      </c>
      <c r="M16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-11</v>
      </c>
      <c r="N166" s="4">
        <f>IF(ISNUMBER(Student­­Performance[[#This Row],[Math Score]]),Student­­Performance[[#This Row],[Math Score]],0)</f>
        <v>91</v>
      </c>
      <c r="O166" s="4">
        <f>IF(ISNUMBER(Student­­Performance[[#This Row],[Reading Score]]),Student­­Performance[[#This Row],[Reading Score]],0)</f>
        <v>73</v>
      </c>
      <c r="P166" s="4">
        <f>IF(ISNUMBER(Student­­Performance[[#This Row],[Writing Score]]),Student­­Performance[[#This Row],[Writing Score]],0)</f>
        <v>80</v>
      </c>
      <c r="Q166" s="4" t="str">
        <f>IF(Student­­Performance[[#This Row],[Math Score]]&gt;=50,"Pass","Fail")</f>
        <v>Pass</v>
      </c>
      <c r="R166" s="4" t="str">
        <f>IF(Student­­Performance[[#This Row],[Reading Score]]&gt;=50,"Pass","Fail")</f>
        <v>Pass</v>
      </c>
      <c r="S166" s="4" t="str">
        <f>IF(Student­­Performance[[#This Row],[Writing Score]]&gt;=50,"Pass","Fail")</f>
        <v>Pass</v>
      </c>
      <c r="T16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244</v>
      </c>
      <c r="U166" s="4" cm="1">
        <f t="array" ref="U166">IF(COUNT(F166:H166)=0,"", MAX(IF(ISNUMBER(F166:H166),F166:H166)) - MIN(IF(ISNUMBER(F166:H166),F166:H166)))</f>
        <v>18</v>
      </c>
      <c r="V166" s="4" t="str">
        <f>IF(U166="","",IF(U166&gt;25,"Outlier","Normal"))</f>
        <v>Normal</v>
      </c>
    </row>
    <row r="167" spans="1:22" x14ac:dyDescent="0.3">
      <c r="A167" s="1" t="s">
        <v>17</v>
      </c>
      <c r="B167" s="1" t="s">
        <v>9</v>
      </c>
      <c r="C167" s="1" t="s">
        <v>86</v>
      </c>
      <c r="D167" s="1" t="s">
        <v>11</v>
      </c>
      <c r="E167" s="1" t="s">
        <v>15</v>
      </c>
      <c r="F167" s="4">
        <v>82</v>
      </c>
      <c r="G167" s="4">
        <v>84</v>
      </c>
      <c r="H167" s="4">
        <v>78</v>
      </c>
      <c r="I167" s="4">
        <f>AVERAGE(Student­­Performance[[#This Row],[Math Score]],Student­­Performance[[#This Row],[Reading Score]],Student­­Performance[[#This Row],[Writing Score]])</f>
        <v>81.333333333333329</v>
      </c>
      <c r="J167" s="10" t="str">
        <f>IF(Student­­Performance[[#This Row],[Average Score]]&gt;=50,"Pass","Fail")</f>
        <v>Pass</v>
      </c>
      <c r="K16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16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16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167" s="4">
        <f>IF(ISNUMBER(Student­­Performance[[#This Row],[Math Score]]),Student­­Performance[[#This Row],[Math Score]],0)</f>
        <v>82</v>
      </c>
      <c r="O167" s="4">
        <f>IF(ISNUMBER(Student­­Performance[[#This Row],[Reading Score]]),Student­­Performance[[#This Row],[Reading Score]],0)</f>
        <v>84</v>
      </c>
      <c r="P167" s="4">
        <f>IF(ISNUMBER(Student­­Performance[[#This Row],[Writing Score]]),Student­­Performance[[#This Row],[Writing Score]],0)</f>
        <v>78</v>
      </c>
      <c r="Q167" s="4" t="str">
        <f>IF(Student­­Performance[[#This Row],[Math Score]]&gt;=50,"Pass","Fail")</f>
        <v>Pass</v>
      </c>
      <c r="R167" s="4" t="str">
        <f>IF(Student­­Performance[[#This Row],[Reading Score]]&gt;=50,"Pass","Fail")</f>
        <v>Pass</v>
      </c>
      <c r="S167" s="4" t="str">
        <f>IF(Student­­Performance[[#This Row],[Writing Score]]&gt;=50,"Pass","Fail")</f>
        <v>Pass</v>
      </c>
      <c r="T16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244</v>
      </c>
      <c r="U167" s="4" cm="1">
        <f t="array" ref="U167">IF(COUNT(F167:H167)=0,"", MAX(IF(ISNUMBER(F167:H167),F167:H167)) - MIN(IF(ISNUMBER(F167:H167),F167:H167)))</f>
        <v>6</v>
      </c>
      <c r="V167" s="4" t="str">
        <f>IF(U167="","",IF(U167&gt;25,"Outlier","Normal"))</f>
        <v>Normal</v>
      </c>
    </row>
    <row r="168" spans="1:22" x14ac:dyDescent="0.3">
      <c r="A168" s="1" t="s">
        <v>17</v>
      </c>
      <c r="B168" s="1" t="s">
        <v>9</v>
      </c>
      <c r="C168" s="1" t="s">
        <v>87</v>
      </c>
      <c r="D168" s="1" t="s">
        <v>11</v>
      </c>
      <c r="E168" s="1" t="s">
        <v>12</v>
      </c>
      <c r="F168" s="4">
        <v>82</v>
      </c>
      <c r="G168" s="4">
        <v>82</v>
      </c>
      <c r="H168" s="4">
        <v>80</v>
      </c>
      <c r="I168" s="4">
        <f>AVERAGE(Student­­Performance[[#This Row],[Math Score]],Student­­Performance[[#This Row],[Reading Score]],Student­­Performance[[#This Row],[Writing Score]])</f>
        <v>81.333333333333329</v>
      </c>
      <c r="J168" s="10" t="str">
        <f>IF(Student­­Performance[[#This Row],[Average Score]]&gt;=50,"Pass","Fail")</f>
        <v>Pass</v>
      </c>
      <c r="K16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16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16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168" s="4">
        <f>IF(ISNUMBER(Student­­Performance[[#This Row],[Math Score]]),Student­­Performance[[#This Row],[Math Score]],0)</f>
        <v>82</v>
      </c>
      <c r="O168" s="4">
        <f>IF(ISNUMBER(Student­­Performance[[#This Row],[Reading Score]]),Student­­Performance[[#This Row],[Reading Score]],0)</f>
        <v>82</v>
      </c>
      <c r="P168" s="4">
        <f>IF(ISNUMBER(Student­­Performance[[#This Row],[Writing Score]]),Student­­Performance[[#This Row],[Writing Score]],0)</f>
        <v>80</v>
      </c>
      <c r="Q168" s="4" t="str">
        <f>IF(Student­­Performance[[#This Row],[Math Score]]&gt;=50,"Pass","Fail")</f>
        <v>Pass</v>
      </c>
      <c r="R168" s="4" t="str">
        <f>IF(Student­­Performance[[#This Row],[Reading Score]]&gt;=50,"Pass","Fail")</f>
        <v>Pass</v>
      </c>
      <c r="S168" s="4" t="str">
        <f>IF(Student­­Performance[[#This Row],[Writing Score]]&gt;=50,"Pass","Fail")</f>
        <v>Pass</v>
      </c>
      <c r="T16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244</v>
      </c>
      <c r="U168" s="4" cm="1">
        <f t="array" ref="U168">IF(COUNT(F168:H168)=0,"", MAX(IF(ISNUMBER(F168:H168),F168:H168)) - MIN(IF(ISNUMBER(F168:H168),F168:H168)))</f>
        <v>2</v>
      </c>
      <c r="V168" s="4" t="str">
        <f>IF(U168="","",IF(U168&gt;25,"Outlier","Normal"))</f>
        <v>Normal</v>
      </c>
    </row>
    <row r="169" spans="1:22" x14ac:dyDescent="0.3">
      <c r="A169" s="1" t="s">
        <v>17</v>
      </c>
      <c r="B169" s="1" t="s">
        <v>18</v>
      </c>
      <c r="C169" s="1" t="s">
        <v>86</v>
      </c>
      <c r="D169" s="1" t="s">
        <v>20</v>
      </c>
      <c r="E169" s="1" t="s">
        <v>15</v>
      </c>
      <c r="F169" s="4">
        <v>79</v>
      </c>
      <c r="G169" s="4">
        <v>82</v>
      </c>
      <c r="H169" s="4">
        <v>82</v>
      </c>
      <c r="I169" s="4">
        <f>AVERAGE(Student­­Performance[[#This Row],[Math Score]],Student­­Performance[[#This Row],[Reading Score]],Student­­Performance[[#This Row],[Writing Score]])</f>
        <v>81</v>
      </c>
      <c r="J169" s="10" t="str">
        <f>IF(Student­­Performance[[#This Row],[Average Score]]&gt;=50,"Pass","Fail")</f>
        <v>Pass</v>
      </c>
      <c r="K16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16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16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169" s="4">
        <f>IF(ISNUMBER(Student­­Performance[[#This Row],[Math Score]]),Student­­Performance[[#This Row],[Math Score]],0)</f>
        <v>79</v>
      </c>
      <c r="O169" s="4">
        <f>IF(ISNUMBER(Student­­Performance[[#This Row],[Reading Score]]),Student­­Performance[[#This Row],[Reading Score]],0)</f>
        <v>82</v>
      </c>
      <c r="P169" s="4">
        <f>IF(ISNUMBER(Student­­Performance[[#This Row],[Writing Score]]),Student­­Performance[[#This Row],[Writing Score]],0)</f>
        <v>82</v>
      </c>
      <c r="Q169" s="4" t="str">
        <f>IF(Student­­Performance[[#This Row],[Math Score]]&gt;=50,"Pass","Fail")</f>
        <v>Pass</v>
      </c>
      <c r="R169" s="4" t="str">
        <f>IF(Student­­Performance[[#This Row],[Reading Score]]&gt;=50,"Pass","Fail")</f>
        <v>Pass</v>
      </c>
      <c r="S169" s="4" t="str">
        <f>IF(Student­­Performance[[#This Row],[Writing Score]]&gt;=50,"Pass","Fail")</f>
        <v>Pass</v>
      </c>
      <c r="T16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243</v>
      </c>
      <c r="U169" s="4" cm="1">
        <f t="array" ref="U169">IF(COUNT(F169:H169)=0,"", MAX(IF(ISNUMBER(F169:H169),F169:H169)) - MIN(IF(ISNUMBER(F169:H169),F169:H169)))</f>
        <v>3</v>
      </c>
      <c r="V169" s="4" t="str">
        <f>IF(U169="","",IF(U169&gt;25,"Outlier","Normal"))</f>
        <v>Normal</v>
      </c>
    </row>
    <row r="170" spans="1:22" x14ac:dyDescent="0.3">
      <c r="A170" s="1" t="s">
        <v>8</v>
      </c>
      <c r="B170" s="1" t="s">
        <v>9</v>
      </c>
      <c r="C170" s="1" t="s">
        <v>87</v>
      </c>
      <c r="D170" s="1" t="s">
        <v>20</v>
      </c>
      <c r="E170" s="1" t="s">
        <v>15</v>
      </c>
      <c r="F170" s="4">
        <v>76</v>
      </c>
      <c r="G170" s="4">
        <v>85</v>
      </c>
      <c r="H170" s="4">
        <v>82</v>
      </c>
      <c r="I170" s="4">
        <f>AVERAGE(Student­­Performance[[#This Row],[Math Score]],Student­­Performance[[#This Row],[Reading Score]],Student­­Performance[[#This Row],[Writing Score]])</f>
        <v>81</v>
      </c>
      <c r="J170" s="10" t="str">
        <f>IF(Student­­Performance[[#This Row],[Average Score]]&gt;=50,"Pass","Fail")</f>
        <v>Pass</v>
      </c>
      <c r="K17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17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17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170" s="4">
        <f>IF(ISNUMBER(Student­­Performance[[#This Row],[Math Score]]),Student­­Performance[[#This Row],[Math Score]],0)</f>
        <v>76</v>
      </c>
      <c r="O170" s="4">
        <f>IF(ISNUMBER(Student­­Performance[[#This Row],[Reading Score]]),Student­­Performance[[#This Row],[Reading Score]],0)</f>
        <v>85</v>
      </c>
      <c r="P170" s="4">
        <f>IF(ISNUMBER(Student­­Performance[[#This Row],[Writing Score]]),Student­­Performance[[#This Row],[Writing Score]],0)</f>
        <v>82</v>
      </c>
      <c r="Q170" s="4" t="str">
        <f>IF(Student­­Performance[[#This Row],[Math Score]]&gt;=50,"Pass","Fail")</f>
        <v>Pass</v>
      </c>
      <c r="R170" s="4" t="str">
        <f>IF(Student­­Performance[[#This Row],[Reading Score]]&gt;=50,"Pass","Fail")</f>
        <v>Pass</v>
      </c>
      <c r="S170" s="4" t="str">
        <f>IF(Student­­Performance[[#This Row],[Writing Score]]&gt;=50,"Pass","Fail")</f>
        <v>Pass</v>
      </c>
      <c r="T17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243</v>
      </c>
      <c r="U170" s="4" cm="1">
        <f t="array" ref="U170">IF(COUNT(F170:H170)=0,"", MAX(IF(ISNUMBER(F170:H170),F170:H170)) - MIN(IF(ISNUMBER(F170:H170),F170:H170)))</f>
        <v>9</v>
      </c>
      <c r="V170" s="4" t="str">
        <f>IF(U170="","",IF(U170&gt;25,"Outlier","Normal"))</f>
        <v>Normal</v>
      </c>
    </row>
    <row r="171" spans="1:22" x14ac:dyDescent="0.3">
      <c r="A171" s="1" t="s">
        <v>8</v>
      </c>
      <c r="B171" s="1" t="s">
        <v>13</v>
      </c>
      <c r="C171" s="1" t="s">
        <v>88</v>
      </c>
      <c r="D171" s="1" t="s">
        <v>20</v>
      </c>
      <c r="E171" s="1" t="s">
        <v>15</v>
      </c>
      <c r="F171" s="4">
        <v>71</v>
      </c>
      <c r="G171" s="4">
        <v>84</v>
      </c>
      <c r="H171" s="4">
        <v>87</v>
      </c>
      <c r="I171" s="4">
        <f>AVERAGE(Student­­Performance[[#This Row],[Math Score]],Student­­Performance[[#This Row],[Reading Score]],Student­­Performance[[#This Row],[Writing Score]])</f>
        <v>80.666666666666671</v>
      </c>
      <c r="J171" s="10" t="str">
        <f>IF(Student­­Performance[[#This Row],[Average Score]]&gt;=50,"Pass","Fail")</f>
        <v>Pass</v>
      </c>
      <c r="K17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13</v>
      </c>
      <c r="L17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17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16</v>
      </c>
      <c r="N171" s="4">
        <f>IF(ISNUMBER(Student­­Performance[[#This Row],[Math Score]]),Student­­Performance[[#This Row],[Math Score]],0)</f>
        <v>71</v>
      </c>
      <c r="O171" s="4">
        <f>IF(ISNUMBER(Student­­Performance[[#This Row],[Reading Score]]),Student­­Performance[[#This Row],[Reading Score]],0)</f>
        <v>84</v>
      </c>
      <c r="P171" s="4">
        <f>IF(ISNUMBER(Student­­Performance[[#This Row],[Writing Score]]),Student­­Performance[[#This Row],[Writing Score]],0)</f>
        <v>87</v>
      </c>
      <c r="Q171" s="4" t="str">
        <f>IF(Student­­Performance[[#This Row],[Math Score]]&gt;=50,"Pass","Fail")</f>
        <v>Pass</v>
      </c>
      <c r="R171" s="4" t="str">
        <f>IF(Student­­Performance[[#This Row],[Reading Score]]&gt;=50,"Pass","Fail")</f>
        <v>Pass</v>
      </c>
      <c r="S171" s="4" t="str">
        <f>IF(Student­­Performance[[#This Row],[Writing Score]]&gt;=50,"Pass","Fail")</f>
        <v>Pass</v>
      </c>
      <c r="T17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242</v>
      </c>
      <c r="U171" s="4" cm="1">
        <f t="array" ref="U171">IF(COUNT(F171:H171)=0,"", MAX(IF(ISNUMBER(F171:H171),F171:H171)) - MIN(IF(ISNUMBER(F171:H171),F171:H171)))</f>
        <v>16</v>
      </c>
      <c r="V171" s="4" t="str">
        <f>IF(U171="","",IF(U171&gt;25,"Outlier","Normal"))</f>
        <v>Normal</v>
      </c>
    </row>
    <row r="172" spans="1:22" x14ac:dyDescent="0.3">
      <c r="A172" s="1" t="s">
        <v>8</v>
      </c>
      <c r="B172" s="1" t="s">
        <v>9</v>
      </c>
      <c r="C172" s="1" t="s">
        <v>83</v>
      </c>
      <c r="D172" s="1" t="s">
        <v>20</v>
      </c>
      <c r="E172" s="1" t="s">
        <v>12</v>
      </c>
      <c r="F172" s="4">
        <v>75</v>
      </c>
      <c r="G172" s="4">
        <v>85</v>
      </c>
      <c r="H172" s="4">
        <v>82</v>
      </c>
      <c r="I172" s="4">
        <f>AVERAGE(Student­­Performance[[#This Row],[Math Score]],Student­­Performance[[#This Row],[Reading Score]],Student­­Performance[[#This Row],[Writing Score]])</f>
        <v>80.666666666666671</v>
      </c>
      <c r="J172" s="10" t="str">
        <f>IF(Student­­Performance[[#This Row],[Average Score]]&gt;=50,"Pass","Fail")</f>
        <v>Pass</v>
      </c>
      <c r="K17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17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17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172" s="4">
        <f>IF(ISNUMBER(Student­­Performance[[#This Row],[Math Score]]),Student­­Performance[[#This Row],[Math Score]],0)</f>
        <v>75</v>
      </c>
      <c r="O172" s="4">
        <f>IF(ISNUMBER(Student­­Performance[[#This Row],[Reading Score]]),Student­­Performance[[#This Row],[Reading Score]],0)</f>
        <v>85</v>
      </c>
      <c r="P172" s="4">
        <f>IF(ISNUMBER(Student­­Performance[[#This Row],[Writing Score]]),Student­­Performance[[#This Row],[Writing Score]],0)</f>
        <v>82</v>
      </c>
      <c r="Q172" s="4" t="str">
        <f>IF(Student­­Performance[[#This Row],[Math Score]]&gt;=50,"Pass","Fail")</f>
        <v>Pass</v>
      </c>
      <c r="R172" s="4" t="str">
        <f>IF(Student­­Performance[[#This Row],[Reading Score]]&gt;=50,"Pass","Fail")</f>
        <v>Pass</v>
      </c>
      <c r="S172" s="4" t="str">
        <f>IF(Student­­Performance[[#This Row],[Writing Score]]&gt;=50,"Pass","Fail")</f>
        <v>Pass</v>
      </c>
      <c r="T17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242</v>
      </c>
      <c r="U172" s="4" cm="1">
        <f t="array" ref="U172">IF(COUNT(F172:H172)=0,"", MAX(IF(ISNUMBER(F172:H172),F172:H172)) - MIN(IF(ISNUMBER(F172:H172),F172:H172)))</f>
        <v>10</v>
      </c>
      <c r="V172" s="4" t="str">
        <f>IF(U172="","",IF(U172&gt;25,"Outlier","Normal"))</f>
        <v>Normal</v>
      </c>
    </row>
    <row r="173" spans="1:22" x14ac:dyDescent="0.3">
      <c r="A173" s="1" t="s">
        <v>17</v>
      </c>
      <c r="B173" s="1" t="s">
        <v>9</v>
      </c>
      <c r="C173" s="1" t="s">
        <v>88</v>
      </c>
      <c r="D173" s="1" t="s">
        <v>11</v>
      </c>
      <c r="E173" s="1" t="s">
        <v>15</v>
      </c>
      <c r="F173" s="4">
        <v>84</v>
      </c>
      <c r="G173" s="4">
        <v>83</v>
      </c>
      <c r="H173" s="4">
        <v>75</v>
      </c>
      <c r="I173" s="4">
        <f>AVERAGE(Student­­Performance[[#This Row],[Math Score]],Student­­Performance[[#This Row],[Reading Score]],Student­­Performance[[#This Row],[Writing Score]])</f>
        <v>80.666666666666671</v>
      </c>
      <c r="J173" s="10" t="str">
        <f>IF(Student­­Performance[[#This Row],[Average Score]]&gt;=50,"Pass","Fail")</f>
        <v>Pass</v>
      </c>
      <c r="K17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17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-8</v>
      </c>
      <c r="M17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-9</v>
      </c>
      <c r="N173" s="4">
        <f>IF(ISNUMBER(Student­­Performance[[#This Row],[Math Score]]),Student­­Performance[[#This Row],[Math Score]],0)</f>
        <v>84</v>
      </c>
      <c r="O173" s="4">
        <f>IF(ISNUMBER(Student­­Performance[[#This Row],[Reading Score]]),Student­­Performance[[#This Row],[Reading Score]],0)</f>
        <v>83</v>
      </c>
      <c r="P173" s="4">
        <f>IF(ISNUMBER(Student­­Performance[[#This Row],[Writing Score]]),Student­­Performance[[#This Row],[Writing Score]],0)</f>
        <v>75</v>
      </c>
      <c r="Q173" s="4" t="str">
        <f>IF(Student­­Performance[[#This Row],[Math Score]]&gt;=50,"Pass","Fail")</f>
        <v>Pass</v>
      </c>
      <c r="R173" s="4" t="str">
        <f>IF(Student­­Performance[[#This Row],[Reading Score]]&gt;=50,"Pass","Fail")</f>
        <v>Pass</v>
      </c>
      <c r="S173" s="4" t="str">
        <f>IF(Student­­Performance[[#This Row],[Writing Score]]&gt;=50,"Pass","Fail")</f>
        <v>Pass</v>
      </c>
      <c r="T17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242</v>
      </c>
      <c r="U173" s="4" cm="1">
        <f t="array" ref="U173">IF(COUNT(F173:H173)=0,"", MAX(IF(ISNUMBER(F173:H173),F173:H173)) - MIN(IF(ISNUMBER(F173:H173),F173:H173)))</f>
        <v>9</v>
      </c>
      <c r="V173" s="4" t="str">
        <f>IF(U173="","",IF(U173&gt;25,"Outlier","Normal"))</f>
        <v>Normal</v>
      </c>
    </row>
    <row r="174" spans="1:22" x14ac:dyDescent="0.3">
      <c r="A174" s="1" t="s">
        <v>8</v>
      </c>
      <c r="B174" s="1" t="s">
        <v>21</v>
      </c>
      <c r="C174" s="1" t="s">
        <v>88</v>
      </c>
      <c r="D174" s="1" t="s">
        <v>11</v>
      </c>
      <c r="E174" s="1" t="s">
        <v>12</v>
      </c>
      <c r="F174" s="4">
        <v>73</v>
      </c>
      <c r="G174" s="4">
        <v>84</v>
      </c>
      <c r="H174" s="4">
        <v>85</v>
      </c>
      <c r="I174" s="4">
        <f>AVERAGE(Student­­Performance[[#This Row],[Math Score]],Student­­Performance[[#This Row],[Reading Score]],Student­­Performance[[#This Row],[Writing Score]])</f>
        <v>80.666666666666671</v>
      </c>
      <c r="J174" s="10" t="str">
        <f>IF(Student­­Performance[[#This Row],[Average Score]]&gt;=50,"Pass","Fail")</f>
        <v>Pass</v>
      </c>
      <c r="K17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17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17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174" s="4">
        <f>IF(ISNUMBER(Student­­Performance[[#This Row],[Math Score]]),Student­­Performance[[#This Row],[Math Score]],0)</f>
        <v>73</v>
      </c>
      <c r="O174" s="4">
        <f>IF(ISNUMBER(Student­­Performance[[#This Row],[Reading Score]]),Student­­Performance[[#This Row],[Reading Score]],0)</f>
        <v>84</v>
      </c>
      <c r="P174" s="4">
        <f>IF(ISNUMBER(Student­­Performance[[#This Row],[Writing Score]]),Student­­Performance[[#This Row],[Writing Score]],0)</f>
        <v>85</v>
      </c>
      <c r="Q174" s="4" t="str">
        <f>IF(Student­­Performance[[#This Row],[Math Score]]&gt;=50,"Pass","Fail")</f>
        <v>Pass</v>
      </c>
      <c r="R174" s="4" t="str">
        <f>IF(Student­­Performance[[#This Row],[Reading Score]]&gt;=50,"Pass","Fail")</f>
        <v>Pass</v>
      </c>
      <c r="S174" s="4" t="str">
        <f>IF(Student­­Performance[[#This Row],[Writing Score]]&gt;=50,"Pass","Fail")</f>
        <v>Pass</v>
      </c>
      <c r="T17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242</v>
      </c>
      <c r="U174" s="4" cm="1">
        <f t="array" ref="U174">IF(COUNT(F174:H174)=0,"", MAX(IF(ISNUMBER(F174:H174),F174:H174)) - MIN(IF(ISNUMBER(F174:H174),F174:H174)))</f>
        <v>12</v>
      </c>
      <c r="V174" s="4" t="str">
        <f>IF(U174="","",IF(U174&gt;25,"Outlier","Normal"))</f>
        <v>Normal</v>
      </c>
    </row>
    <row r="175" spans="1:22" x14ac:dyDescent="0.3">
      <c r="A175" s="1" t="s">
        <v>8</v>
      </c>
      <c r="B175" s="1" t="s">
        <v>26</v>
      </c>
      <c r="C175" s="1" t="s">
        <v>83</v>
      </c>
      <c r="D175" s="1" t="s">
        <v>11</v>
      </c>
      <c r="E175" s="1" t="s">
        <v>15</v>
      </c>
      <c r="F175" s="4">
        <v>79</v>
      </c>
      <c r="G175" s="4">
        <v>81</v>
      </c>
      <c r="H175" s="4">
        <v>82</v>
      </c>
      <c r="I175" s="4">
        <f>AVERAGE(Student­­Performance[[#This Row],[Math Score]],Student­­Performance[[#This Row],[Reading Score]],Student­­Performance[[#This Row],[Writing Score]])</f>
        <v>80.666666666666671</v>
      </c>
      <c r="J175" s="10" t="str">
        <f>IF(Student­­Performance[[#This Row],[Average Score]]&gt;=50,"Pass","Fail")</f>
        <v>Pass</v>
      </c>
      <c r="K17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17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17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175" s="4">
        <f>IF(ISNUMBER(Student­­Performance[[#This Row],[Math Score]]),Student­­Performance[[#This Row],[Math Score]],0)</f>
        <v>79</v>
      </c>
      <c r="O175" s="4">
        <f>IF(ISNUMBER(Student­­Performance[[#This Row],[Reading Score]]),Student­­Performance[[#This Row],[Reading Score]],0)</f>
        <v>81</v>
      </c>
      <c r="P175" s="4">
        <f>IF(ISNUMBER(Student­­Performance[[#This Row],[Writing Score]]),Student­­Performance[[#This Row],[Writing Score]],0)</f>
        <v>82</v>
      </c>
      <c r="Q175" s="4" t="str">
        <f>IF(Student­­Performance[[#This Row],[Math Score]]&gt;=50,"Pass","Fail")</f>
        <v>Pass</v>
      </c>
      <c r="R175" s="4" t="str">
        <f>IF(Student­­Performance[[#This Row],[Reading Score]]&gt;=50,"Pass","Fail")</f>
        <v>Pass</v>
      </c>
      <c r="S175" s="4" t="str">
        <f>IF(Student­­Performance[[#This Row],[Writing Score]]&gt;=50,"Pass","Fail")</f>
        <v>Pass</v>
      </c>
      <c r="T17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242</v>
      </c>
      <c r="U175" s="4" cm="1">
        <f t="array" ref="U175">IF(COUNT(F175:H175)=0,"", MAX(IF(ISNUMBER(F175:H175),F175:H175)) - MIN(IF(ISNUMBER(F175:H175),F175:H175)))</f>
        <v>3</v>
      </c>
      <c r="V175" s="4" t="str">
        <f>IF(U175="","",IF(U175&gt;25,"Outlier","Normal"))</f>
        <v>Normal</v>
      </c>
    </row>
    <row r="176" spans="1:22" x14ac:dyDescent="0.3">
      <c r="A176" s="1" t="s">
        <v>17</v>
      </c>
      <c r="B176" s="1" t="s">
        <v>21</v>
      </c>
      <c r="C176" s="1" t="s">
        <v>84</v>
      </c>
      <c r="D176" s="1" t="s">
        <v>11</v>
      </c>
      <c r="E176" s="1" t="s">
        <v>12</v>
      </c>
      <c r="F176" s="4">
        <v>88</v>
      </c>
      <c r="G176" s="4">
        <v>77</v>
      </c>
      <c r="H176" s="4">
        <v>77</v>
      </c>
      <c r="I176" s="4">
        <f>AVERAGE(Student­­Performance[[#This Row],[Math Score]],Student­­Performance[[#This Row],[Reading Score]],Student­­Performance[[#This Row],[Writing Score]])</f>
        <v>80.666666666666671</v>
      </c>
      <c r="J176" s="10" t="str">
        <f>IF(Student­­Performance[[#This Row],[Average Score]]&gt;=50,"Pass","Fail")</f>
        <v>Pass</v>
      </c>
      <c r="K17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-11</v>
      </c>
      <c r="L17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17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-11</v>
      </c>
      <c r="N176" s="4">
        <f>IF(ISNUMBER(Student­­Performance[[#This Row],[Math Score]]),Student­­Performance[[#This Row],[Math Score]],0)</f>
        <v>88</v>
      </c>
      <c r="O176" s="4">
        <f>IF(ISNUMBER(Student­­Performance[[#This Row],[Reading Score]]),Student­­Performance[[#This Row],[Reading Score]],0)</f>
        <v>77</v>
      </c>
      <c r="P176" s="4">
        <f>IF(ISNUMBER(Student­­Performance[[#This Row],[Writing Score]]),Student­­Performance[[#This Row],[Writing Score]],0)</f>
        <v>77</v>
      </c>
      <c r="Q176" s="4" t="str">
        <f>IF(Student­­Performance[[#This Row],[Math Score]]&gt;=50,"Pass","Fail")</f>
        <v>Pass</v>
      </c>
      <c r="R176" s="4" t="str">
        <f>IF(Student­­Performance[[#This Row],[Reading Score]]&gt;=50,"Pass","Fail")</f>
        <v>Pass</v>
      </c>
      <c r="S176" s="4" t="str">
        <f>IF(Student­­Performance[[#This Row],[Writing Score]]&gt;=50,"Pass","Fail")</f>
        <v>Pass</v>
      </c>
      <c r="T17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242</v>
      </c>
      <c r="U176" s="4" cm="1">
        <f t="array" ref="U176">IF(COUNT(F176:H176)=0,"", MAX(IF(ISNUMBER(F176:H176),F176:H176)) - MIN(IF(ISNUMBER(F176:H176),F176:H176)))</f>
        <v>11</v>
      </c>
      <c r="V176" s="4" t="str">
        <f>IF(U176="","",IF(U176&gt;25,"Outlier","Normal"))</f>
        <v>Normal</v>
      </c>
    </row>
    <row r="177" spans="1:22" x14ac:dyDescent="0.3">
      <c r="A177" s="1" t="s">
        <v>17</v>
      </c>
      <c r="B177" s="1" t="s">
        <v>26</v>
      </c>
      <c r="C177" s="1" t="s">
        <v>87</v>
      </c>
      <c r="D177" s="1" t="s">
        <v>20</v>
      </c>
      <c r="E177" s="1" t="s">
        <v>15</v>
      </c>
      <c r="F177" s="4">
        <v>86</v>
      </c>
      <c r="G177" s="4">
        <v>81</v>
      </c>
      <c r="H177" s="4">
        <v>75</v>
      </c>
      <c r="I177" s="4">
        <f>AVERAGE(Student­­Performance[[#This Row],[Math Score]],Student­­Performance[[#This Row],[Reading Score]],Student­­Performance[[#This Row],[Writing Score]])</f>
        <v>80.666666666666671</v>
      </c>
      <c r="J177" s="10" t="str">
        <f>IF(Student­­Performance[[#This Row],[Average Score]]&gt;=50,"Pass","Fail")</f>
        <v>Pass</v>
      </c>
      <c r="K17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17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17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-11</v>
      </c>
      <c r="N177" s="4">
        <f>IF(ISNUMBER(Student­­Performance[[#This Row],[Math Score]]),Student­­Performance[[#This Row],[Math Score]],0)</f>
        <v>86</v>
      </c>
      <c r="O177" s="4">
        <f>IF(ISNUMBER(Student­­Performance[[#This Row],[Reading Score]]),Student­­Performance[[#This Row],[Reading Score]],0)</f>
        <v>81</v>
      </c>
      <c r="P177" s="4">
        <f>IF(ISNUMBER(Student­­Performance[[#This Row],[Writing Score]]),Student­­Performance[[#This Row],[Writing Score]],0)</f>
        <v>75</v>
      </c>
      <c r="Q177" s="4" t="str">
        <f>IF(Student­­Performance[[#This Row],[Math Score]]&gt;=50,"Pass","Fail")</f>
        <v>Pass</v>
      </c>
      <c r="R177" s="4" t="str">
        <f>IF(Student­­Performance[[#This Row],[Reading Score]]&gt;=50,"Pass","Fail")</f>
        <v>Pass</v>
      </c>
      <c r="S177" s="4" t="str">
        <f>IF(Student­­Performance[[#This Row],[Writing Score]]&gt;=50,"Pass","Fail")</f>
        <v>Pass</v>
      </c>
      <c r="T17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242</v>
      </c>
      <c r="U177" s="4" cm="1">
        <f t="array" ref="U177">IF(COUNT(F177:H177)=0,"", MAX(IF(ISNUMBER(F177:H177),F177:H177)) - MIN(IF(ISNUMBER(F177:H177),F177:H177)))</f>
        <v>11</v>
      </c>
      <c r="V177" s="4" t="str">
        <f>IF(U177="","",IF(U177&gt;25,"Outlier","Normal"))</f>
        <v>Normal</v>
      </c>
    </row>
    <row r="178" spans="1:22" x14ac:dyDescent="0.3">
      <c r="A178" s="1" t="s">
        <v>17</v>
      </c>
      <c r="B178" s="1" t="s">
        <v>26</v>
      </c>
      <c r="C178" s="1" t="s">
        <v>86</v>
      </c>
      <c r="D178" s="1" t="s">
        <v>11</v>
      </c>
      <c r="E178" s="1" t="s">
        <v>15</v>
      </c>
      <c r="F178" s="4">
        <v>81</v>
      </c>
      <c r="G178" s="4">
        <v>81</v>
      </c>
      <c r="H178" s="4">
        <v>79</v>
      </c>
      <c r="I178" s="4">
        <f>AVERAGE(Student­­Performance[[#This Row],[Math Score]],Student­­Performance[[#This Row],[Reading Score]],Student­­Performance[[#This Row],[Writing Score]])</f>
        <v>80.333333333333329</v>
      </c>
      <c r="J178" s="10" t="str">
        <f>IF(Student­­Performance[[#This Row],[Average Score]]&gt;=50,"Pass","Fail")</f>
        <v>Pass</v>
      </c>
      <c r="K17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17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17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178" s="4">
        <f>IF(ISNUMBER(Student­­Performance[[#This Row],[Math Score]]),Student­­Performance[[#This Row],[Math Score]],0)</f>
        <v>81</v>
      </c>
      <c r="O178" s="4">
        <f>IF(ISNUMBER(Student­­Performance[[#This Row],[Reading Score]]),Student­­Performance[[#This Row],[Reading Score]],0)</f>
        <v>81</v>
      </c>
      <c r="P178" s="4">
        <f>IF(ISNUMBER(Student­­Performance[[#This Row],[Writing Score]]),Student­­Performance[[#This Row],[Writing Score]],0)</f>
        <v>79</v>
      </c>
      <c r="Q178" s="4" t="str">
        <f>IF(Student­­Performance[[#This Row],[Math Score]]&gt;=50,"Pass","Fail")</f>
        <v>Pass</v>
      </c>
      <c r="R178" s="4" t="str">
        <f>IF(Student­­Performance[[#This Row],[Reading Score]]&gt;=50,"Pass","Fail")</f>
        <v>Pass</v>
      </c>
      <c r="S178" s="4" t="str">
        <f>IF(Student­­Performance[[#This Row],[Writing Score]]&gt;=50,"Pass","Fail")</f>
        <v>Pass</v>
      </c>
      <c r="T17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241</v>
      </c>
      <c r="U178" s="4" cm="1">
        <f t="array" ref="U178">IF(COUNT(F178:H178)=0,"", MAX(IF(ISNUMBER(F178:H178),F178:H178)) - MIN(IF(ISNUMBER(F178:H178),F178:H178)))</f>
        <v>2</v>
      </c>
      <c r="V178" s="4" t="str">
        <f>IF(U178="","",IF(U178&gt;25,"Outlier","Normal"))</f>
        <v>Normal</v>
      </c>
    </row>
    <row r="179" spans="1:22" x14ac:dyDescent="0.3">
      <c r="A179" s="1" t="s">
        <v>17</v>
      </c>
      <c r="B179" s="1" t="s">
        <v>21</v>
      </c>
      <c r="C179" s="1" t="s">
        <v>87</v>
      </c>
      <c r="D179" s="1" t="s">
        <v>11</v>
      </c>
      <c r="E179" s="1" t="s">
        <v>12</v>
      </c>
      <c r="F179" s="4">
        <v>88</v>
      </c>
      <c r="G179" s="4">
        <v>78</v>
      </c>
      <c r="H179" s="4">
        <v>75</v>
      </c>
      <c r="I179" s="4">
        <f>AVERAGE(Student­­Performance[[#This Row],[Math Score]],Student­­Performance[[#This Row],[Reading Score]],Student­­Performance[[#This Row],[Writing Score]])</f>
        <v>80.333333333333329</v>
      </c>
      <c r="J179" s="10" t="str">
        <f>IF(Student­­Performance[[#This Row],[Average Score]]&gt;=50,"Pass","Fail")</f>
        <v>Pass</v>
      </c>
      <c r="K17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-10</v>
      </c>
      <c r="L17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17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-13</v>
      </c>
      <c r="N179" s="4">
        <f>IF(ISNUMBER(Student­­Performance[[#This Row],[Math Score]]),Student­­Performance[[#This Row],[Math Score]],0)</f>
        <v>88</v>
      </c>
      <c r="O179" s="4">
        <f>IF(ISNUMBER(Student­­Performance[[#This Row],[Reading Score]]),Student­­Performance[[#This Row],[Reading Score]],0)</f>
        <v>78</v>
      </c>
      <c r="P179" s="4">
        <f>IF(ISNUMBER(Student­­Performance[[#This Row],[Writing Score]]),Student­­Performance[[#This Row],[Writing Score]],0)</f>
        <v>75</v>
      </c>
      <c r="Q179" s="4" t="str">
        <f>IF(Student­­Performance[[#This Row],[Math Score]]&gt;=50,"Pass","Fail")</f>
        <v>Pass</v>
      </c>
      <c r="R179" s="4" t="str">
        <f>IF(Student­­Performance[[#This Row],[Reading Score]]&gt;=50,"Pass","Fail")</f>
        <v>Pass</v>
      </c>
      <c r="S179" s="4" t="str">
        <f>IF(Student­­Performance[[#This Row],[Writing Score]]&gt;=50,"Pass","Fail")</f>
        <v>Pass</v>
      </c>
      <c r="T17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241</v>
      </c>
      <c r="U179" s="4" cm="1">
        <f t="array" ref="U179">IF(COUNT(F179:H179)=0,"", MAX(IF(ISNUMBER(F179:H179),F179:H179)) - MIN(IF(ISNUMBER(F179:H179),F179:H179)))</f>
        <v>13</v>
      </c>
      <c r="V179" s="4" t="str">
        <f>IF(U179="","",IF(U179&gt;25,"Outlier","Normal"))</f>
        <v>Normal</v>
      </c>
    </row>
    <row r="180" spans="1:22" x14ac:dyDescent="0.3">
      <c r="A180" s="1" t="s">
        <v>8</v>
      </c>
      <c r="B180" s="1" t="s">
        <v>21</v>
      </c>
      <c r="C180" s="1" t="s">
        <v>88</v>
      </c>
      <c r="D180" s="1" t="s">
        <v>11</v>
      </c>
      <c r="E180" s="1" t="s">
        <v>12</v>
      </c>
      <c r="F180" s="4">
        <v>73</v>
      </c>
      <c r="G180" s="4">
        <v>86</v>
      </c>
      <c r="H180" s="4">
        <v>82</v>
      </c>
      <c r="I180" s="4">
        <f>AVERAGE(Student­­Performance[[#This Row],[Math Score]],Student­­Performance[[#This Row],[Reading Score]],Student­­Performance[[#This Row],[Writing Score]])</f>
        <v>80.333333333333329</v>
      </c>
      <c r="J180" s="10" t="str">
        <f>IF(Student­­Performance[[#This Row],[Average Score]]&gt;=50,"Pass","Fail")</f>
        <v>Pass</v>
      </c>
      <c r="K18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13</v>
      </c>
      <c r="L18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18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180" s="4">
        <f>IF(ISNUMBER(Student­­Performance[[#This Row],[Math Score]]),Student­­Performance[[#This Row],[Math Score]],0)</f>
        <v>73</v>
      </c>
      <c r="O180" s="4">
        <f>IF(ISNUMBER(Student­­Performance[[#This Row],[Reading Score]]),Student­­Performance[[#This Row],[Reading Score]],0)</f>
        <v>86</v>
      </c>
      <c r="P180" s="4">
        <f>IF(ISNUMBER(Student­­Performance[[#This Row],[Writing Score]]),Student­­Performance[[#This Row],[Writing Score]],0)</f>
        <v>82</v>
      </c>
      <c r="Q180" s="4" t="str">
        <f>IF(Student­­Performance[[#This Row],[Math Score]]&gt;=50,"Pass","Fail")</f>
        <v>Pass</v>
      </c>
      <c r="R180" s="4" t="str">
        <f>IF(Student­­Performance[[#This Row],[Reading Score]]&gt;=50,"Pass","Fail")</f>
        <v>Pass</v>
      </c>
      <c r="S180" s="4" t="str">
        <f>IF(Student­­Performance[[#This Row],[Writing Score]]&gt;=50,"Pass","Fail")</f>
        <v>Pass</v>
      </c>
      <c r="T18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241</v>
      </c>
      <c r="U180" s="4" cm="1">
        <f t="array" ref="U180">IF(COUNT(F180:H180)=0,"", MAX(IF(ISNUMBER(F180:H180),F180:H180)) - MIN(IF(ISNUMBER(F180:H180),F180:H180)))</f>
        <v>13</v>
      </c>
      <c r="V180" s="4" t="str">
        <f>IF(U180="","",IF(U180&gt;25,"Outlier","Normal"))</f>
        <v>Normal</v>
      </c>
    </row>
    <row r="181" spans="1:22" x14ac:dyDescent="0.3">
      <c r="A181" s="1" t="s">
        <v>17</v>
      </c>
      <c r="B181" s="1" t="s">
        <v>13</v>
      </c>
      <c r="C181" s="1" t="s">
        <v>86</v>
      </c>
      <c r="D181" s="1" t="s">
        <v>20</v>
      </c>
      <c r="E181" s="1" t="s">
        <v>15</v>
      </c>
      <c r="F181" s="4">
        <v>78</v>
      </c>
      <c r="G181" s="4">
        <v>81</v>
      </c>
      <c r="H181" s="4">
        <v>82</v>
      </c>
      <c r="I181" s="4">
        <f>AVERAGE(Student­­Performance[[#This Row],[Math Score]],Student­­Performance[[#This Row],[Reading Score]],Student­­Performance[[#This Row],[Writing Score]])</f>
        <v>80.333333333333329</v>
      </c>
      <c r="J181" s="10" t="str">
        <f>IF(Student­­Performance[[#This Row],[Average Score]]&gt;=50,"Pass","Fail")</f>
        <v>Pass</v>
      </c>
      <c r="K18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18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18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181" s="4">
        <f>IF(ISNUMBER(Student­­Performance[[#This Row],[Math Score]]),Student­­Performance[[#This Row],[Math Score]],0)</f>
        <v>78</v>
      </c>
      <c r="O181" s="4">
        <f>IF(ISNUMBER(Student­­Performance[[#This Row],[Reading Score]]),Student­­Performance[[#This Row],[Reading Score]],0)</f>
        <v>81</v>
      </c>
      <c r="P181" s="4">
        <f>IF(ISNUMBER(Student­­Performance[[#This Row],[Writing Score]]),Student­­Performance[[#This Row],[Writing Score]],0)</f>
        <v>82</v>
      </c>
      <c r="Q181" s="4" t="str">
        <f>IF(Student­­Performance[[#This Row],[Math Score]]&gt;=50,"Pass","Fail")</f>
        <v>Pass</v>
      </c>
      <c r="R181" s="4" t="str">
        <f>IF(Student­­Performance[[#This Row],[Reading Score]]&gt;=50,"Pass","Fail")</f>
        <v>Pass</v>
      </c>
      <c r="S181" s="4" t="str">
        <f>IF(Student­­Performance[[#This Row],[Writing Score]]&gt;=50,"Pass","Fail")</f>
        <v>Pass</v>
      </c>
      <c r="T18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241</v>
      </c>
      <c r="U181" s="4" cm="1">
        <f t="array" ref="U181">IF(COUNT(F181:H181)=0,"", MAX(IF(ISNUMBER(F181:H181),F181:H181)) - MIN(IF(ISNUMBER(F181:H181),F181:H181)))</f>
        <v>4</v>
      </c>
      <c r="V181" s="4" t="str">
        <f>IF(U181="","",IF(U181&gt;25,"Outlier","Normal"))</f>
        <v>Normal</v>
      </c>
    </row>
    <row r="182" spans="1:22" x14ac:dyDescent="0.3">
      <c r="A182" s="1" t="s">
        <v>17</v>
      </c>
      <c r="B182" s="1" t="s">
        <v>21</v>
      </c>
      <c r="C182" s="1" t="s">
        <v>88</v>
      </c>
      <c r="D182" s="1" t="s">
        <v>11</v>
      </c>
      <c r="E182" s="1" t="s">
        <v>12</v>
      </c>
      <c r="F182" s="4">
        <v>86</v>
      </c>
      <c r="G182" s="4">
        <v>80</v>
      </c>
      <c r="H182" s="4">
        <v>75</v>
      </c>
      <c r="I182" s="4">
        <f>AVERAGE(Student­­Performance[[#This Row],[Math Score]],Student­­Performance[[#This Row],[Reading Score]],Student­­Performance[[#This Row],[Writing Score]])</f>
        <v>80.333333333333329</v>
      </c>
      <c r="J182" s="10" t="str">
        <f>IF(Student­­Performance[[#This Row],[Average Score]]&gt;=50,"Pass","Fail")</f>
        <v>Pass</v>
      </c>
      <c r="K18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18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18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-11</v>
      </c>
      <c r="N182" s="4">
        <f>IF(ISNUMBER(Student­­Performance[[#This Row],[Math Score]]),Student­­Performance[[#This Row],[Math Score]],0)</f>
        <v>86</v>
      </c>
      <c r="O182" s="4">
        <f>IF(ISNUMBER(Student­­Performance[[#This Row],[Reading Score]]),Student­­Performance[[#This Row],[Reading Score]],0)</f>
        <v>80</v>
      </c>
      <c r="P182" s="4">
        <f>IF(ISNUMBER(Student­­Performance[[#This Row],[Writing Score]]),Student­­Performance[[#This Row],[Writing Score]],0)</f>
        <v>75</v>
      </c>
      <c r="Q182" s="4" t="str">
        <f>IF(Student­­Performance[[#This Row],[Math Score]]&gt;=50,"Pass","Fail")</f>
        <v>Pass</v>
      </c>
      <c r="R182" s="4" t="str">
        <f>IF(Student­­Performance[[#This Row],[Reading Score]]&gt;=50,"Pass","Fail")</f>
        <v>Pass</v>
      </c>
      <c r="S182" s="4" t="str">
        <f>IF(Student­­Performance[[#This Row],[Writing Score]]&gt;=50,"Pass","Fail")</f>
        <v>Pass</v>
      </c>
      <c r="T18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241</v>
      </c>
      <c r="U182" s="4" cm="1">
        <f t="array" ref="U182">IF(COUNT(F182:H182)=0,"", MAX(IF(ISNUMBER(F182:H182),F182:H182)) - MIN(IF(ISNUMBER(F182:H182),F182:H182)))</f>
        <v>11</v>
      </c>
      <c r="V182" s="4" t="str">
        <f>IF(U182="","",IF(U182&gt;25,"Outlier","Normal"))</f>
        <v>Normal</v>
      </c>
    </row>
    <row r="183" spans="1:22" x14ac:dyDescent="0.3">
      <c r="A183" s="1" t="s">
        <v>17</v>
      </c>
      <c r="B183" s="1" t="s">
        <v>13</v>
      </c>
      <c r="C183" s="1" t="s">
        <v>84</v>
      </c>
      <c r="D183" s="1" t="s">
        <v>11</v>
      </c>
      <c r="E183" s="1" t="s">
        <v>12</v>
      </c>
      <c r="F183" s="4">
        <v>91</v>
      </c>
      <c r="G183" s="4">
        <v>74</v>
      </c>
      <c r="H183" s="4">
        <v>76</v>
      </c>
      <c r="I183" s="4">
        <f>AVERAGE(Student­­Performance[[#This Row],[Math Score]],Student­­Performance[[#This Row],[Reading Score]],Student­­Performance[[#This Row],[Writing Score]])</f>
        <v>80.333333333333329</v>
      </c>
      <c r="J183" s="10" t="str">
        <f>IF(Student­­Performance[[#This Row],[Average Score]]&gt;=50,"Pass","Fail")</f>
        <v>Pass</v>
      </c>
      <c r="K18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-17</v>
      </c>
      <c r="L18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18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-15</v>
      </c>
      <c r="N183" s="4">
        <f>IF(ISNUMBER(Student­­Performance[[#This Row],[Math Score]]),Student­­Performance[[#This Row],[Math Score]],0)</f>
        <v>91</v>
      </c>
      <c r="O183" s="4">
        <f>IF(ISNUMBER(Student­­Performance[[#This Row],[Reading Score]]),Student­­Performance[[#This Row],[Reading Score]],0)</f>
        <v>74</v>
      </c>
      <c r="P183" s="4">
        <f>IF(ISNUMBER(Student­­Performance[[#This Row],[Writing Score]]),Student­­Performance[[#This Row],[Writing Score]],0)</f>
        <v>76</v>
      </c>
      <c r="Q183" s="4" t="str">
        <f>IF(Student­­Performance[[#This Row],[Math Score]]&gt;=50,"Pass","Fail")</f>
        <v>Pass</v>
      </c>
      <c r="R183" s="4" t="str">
        <f>IF(Student­­Performance[[#This Row],[Reading Score]]&gt;=50,"Pass","Fail")</f>
        <v>Pass</v>
      </c>
      <c r="S183" s="4" t="str">
        <f>IF(Student­­Performance[[#This Row],[Writing Score]]&gt;=50,"Pass","Fail")</f>
        <v>Pass</v>
      </c>
      <c r="T18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241</v>
      </c>
      <c r="U183" s="4" cm="1">
        <f t="array" ref="U183">IF(COUNT(F183:H183)=0,"", MAX(IF(ISNUMBER(F183:H183),F183:H183)) - MIN(IF(ISNUMBER(F183:H183),F183:H183)))</f>
        <v>17</v>
      </c>
      <c r="V183" s="4" t="str">
        <f>IF(U183="","",IF(U183&gt;25,"Outlier","Normal"))</f>
        <v>Normal</v>
      </c>
    </row>
    <row r="184" spans="1:22" x14ac:dyDescent="0.3">
      <c r="A184" s="1" t="s">
        <v>17</v>
      </c>
      <c r="B184" s="1" t="s">
        <v>21</v>
      </c>
      <c r="C184" s="1" t="s">
        <v>86</v>
      </c>
      <c r="D184" s="1" t="s">
        <v>20</v>
      </c>
      <c r="E184" s="1" t="s">
        <v>15</v>
      </c>
      <c r="F184" s="4">
        <v>79</v>
      </c>
      <c r="G184" s="4">
        <v>82</v>
      </c>
      <c r="H184" s="4">
        <v>80</v>
      </c>
      <c r="I184" s="4">
        <f>AVERAGE(Student­­Performance[[#This Row],[Math Score]],Student­­Performance[[#This Row],[Reading Score]],Student­­Performance[[#This Row],[Writing Score]])</f>
        <v>80.333333333333329</v>
      </c>
      <c r="J184" s="10" t="str">
        <f>IF(Student­­Performance[[#This Row],[Average Score]]&gt;=50,"Pass","Fail")</f>
        <v>Pass</v>
      </c>
      <c r="K18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18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18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184" s="4">
        <f>IF(ISNUMBER(Student­­Performance[[#This Row],[Math Score]]),Student­­Performance[[#This Row],[Math Score]],0)</f>
        <v>79</v>
      </c>
      <c r="O184" s="4">
        <f>IF(ISNUMBER(Student­­Performance[[#This Row],[Reading Score]]),Student­­Performance[[#This Row],[Reading Score]],0)</f>
        <v>82</v>
      </c>
      <c r="P184" s="4">
        <f>IF(ISNUMBER(Student­­Performance[[#This Row],[Writing Score]]),Student­­Performance[[#This Row],[Writing Score]],0)</f>
        <v>80</v>
      </c>
      <c r="Q184" s="4" t="str">
        <f>IF(Student­­Performance[[#This Row],[Math Score]]&gt;=50,"Pass","Fail")</f>
        <v>Pass</v>
      </c>
      <c r="R184" s="4" t="str">
        <f>IF(Student­­Performance[[#This Row],[Reading Score]]&gt;=50,"Pass","Fail")</f>
        <v>Pass</v>
      </c>
      <c r="S184" s="4" t="str">
        <f>IF(Student­­Performance[[#This Row],[Writing Score]]&gt;=50,"Pass","Fail")</f>
        <v>Pass</v>
      </c>
      <c r="T18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241</v>
      </c>
      <c r="U184" s="4" cm="1">
        <f t="array" ref="U184">IF(COUNT(F184:H184)=0,"", MAX(IF(ISNUMBER(F184:H184),F184:H184)) - MIN(IF(ISNUMBER(F184:H184),F184:H184)))</f>
        <v>3</v>
      </c>
      <c r="V184" s="4" t="str">
        <f>IF(U184="","",IF(U184&gt;25,"Outlier","Normal"))</f>
        <v>Normal</v>
      </c>
    </row>
    <row r="185" spans="1:22" x14ac:dyDescent="0.3">
      <c r="A185" s="1" t="s">
        <v>17</v>
      </c>
      <c r="B185" s="1" t="s">
        <v>26</v>
      </c>
      <c r="C185" s="1" t="s">
        <v>88</v>
      </c>
      <c r="D185" s="1" t="s">
        <v>20</v>
      </c>
      <c r="E185" s="1" t="s">
        <v>15</v>
      </c>
      <c r="F185" s="4">
        <v>78</v>
      </c>
      <c r="G185" s="4">
        <v>83</v>
      </c>
      <c r="H185" s="4">
        <v>80</v>
      </c>
      <c r="I185" s="4">
        <f>AVERAGE(Student­­Performance[[#This Row],[Math Score]],Student­­Performance[[#This Row],[Reading Score]],Student­­Performance[[#This Row],[Writing Score]])</f>
        <v>80.333333333333329</v>
      </c>
      <c r="J185" s="10" t="str">
        <f>IF(Student­­Performance[[#This Row],[Average Score]]&gt;=50,"Pass","Fail")</f>
        <v>Pass</v>
      </c>
      <c r="K18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18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18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185" s="4">
        <f>IF(ISNUMBER(Student­­Performance[[#This Row],[Math Score]]),Student­­Performance[[#This Row],[Math Score]],0)</f>
        <v>78</v>
      </c>
      <c r="O185" s="4">
        <f>IF(ISNUMBER(Student­­Performance[[#This Row],[Reading Score]]),Student­­Performance[[#This Row],[Reading Score]],0)</f>
        <v>83</v>
      </c>
      <c r="P185" s="4">
        <f>IF(ISNUMBER(Student­­Performance[[#This Row],[Writing Score]]),Student­­Performance[[#This Row],[Writing Score]],0)</f>
        <v>80</v>
      </c>
      <c r="Q185" s="4" t="str">
        <f>IF(Student­­Performance[[#This Row],[Math Score]]&gt;=50,"Pass","Fail")</f>
        <v>Pass</v>
      </c>
      <c r="R185" s="4" t="str">
        <f>IF(Student­­Performance[[#This Row],[Reading Score]]&gt;=50,"Pass","Fail")</f>
        <v>Pass</v>
      </c>
      <c r="S185" s="4" t="str">
        <f>IF(Student­­Performance[[#This Row],[Writing Score]]&gt;=50,"Pass","Fail")</f>
        <v>Pass</v>
      </c>
      <c r="T18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241</v>
      </c>
      <c r="U185" s="4" cm="1">
        <f t="array" ref="U185">IF(COUNT(F185:H185)=0,"", MAX(IF(ISNUMBER(F185:H185),F185:H185)) - MIN(IF(ISNUMBER(F185:H185),F185:H185)))</f>
        <v>5</v>
      </c>
      <c r="V185" s="4" t="str">
        <f>IF(U185="","",IF(U185&gt;25,"Outlier","Normal"))</f>
        <v>Normal</v>
      </c>
    </row>
    <row r="186" spans="1:22" x14ac:dyDescent="0.3">
      <c r="A186" s="1" t="s">
        <v>8</v>
      </c>
      <c r="B186" s="1" t="s">
        <v>13</v>
      </c>
      <c r="C186" s="1" t="s">
        <v>84</v>
      </c>
      <c r="D186" s="1" t="s">
        <v>11</v>
      </c>
      <c r="E186" s="1" t="s">
        <v>15</v>
      </c>
      <c r="F186" s="4">
        <v>75</v>
      </c>
      <c r="G186" s="4">
        <v>81</v>
      </c>
      <c r="H186" s="4">
        <v>84</v>
      </c>
      <c r="I186" s="4">
        <f>AVERAGE(Student­­Performance[[#This Row],[Math Score]],Student­­Performance[[#This Row],[Reading Score]],Student­­Performance[[#This Row],[Writing Score]])</f>
        <v>80</v>
      </c>
      <c r="J186" s="10" t="str">
        <f>IF(Student­­Performance[[#This Row],[Average Score]]&gt;=50,"Pass","Fail")</f>
        <v>Pass</v>
      </c>
      <c r="K18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18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18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186" s="4">
        <f>IF(ISNUMBER(Student­­Performance[[#This Row],[Math Score]]),Student­­Performance[[#This Row],[Math Score]],0)</f>
        <v>75</v>
      </c>
      <c r="O186" s="4">
        <f>IF(ISNUMBER(Student­­Performance[[#This Row],[Reading Score]]),Student­­Performance[[#This Row],[Reading Score]],0)</f>
        <v>81</v>
      </c>
      <c r="P186" s="4">
        <f>IF(ISNUMBER(Student­­Performance[[#This Row],[Writing Score]]),Student­­Performance[[#This Row],[Writing Score]],0)</f>
        <v>84</v>
      </c>
      <c r="Q186" s="4" t="str">
        <f>IF(Student­­Performance[[#This Row],[Math Score]]&gt;=50,"Pass","Fail")</f>
        <v>Pass</v>
      </c>
      <c r="R186" s="4" t="str">
        <f>IF(Student­­Performance[[#This Row],[Reading Score]]&gt;=50,"Pass","Fail")</f>
        <v>Pass</v>
      </c>
      <c r="S186" s="4" t="str">
        <f>IF(Student­­Performance[[#This Row],[Writing Score]]&gt;=50,"Pass","Fail")</f>
        <v>Pass</v>
      </c>
      <c r="T18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240</v>
      </c>
      <c r="U186" s="4" cm="1">
        <f t="array" ref="U186">IF(COUNT(F186:H186)=0,"", MAX(IF(ISNUMBER(F186:H186),F186:H186)) - MIN(IF(ISNUMBER(F186:H186),F186:H186)))</f>
        <v>9</v>
      </c>
      <c r="V186" s="4" t="str">
        <f>IF(U186="","",IF(U186&gt;25,"Outlier","Normal"))</f>
        <v>Normal</v>
      </c>
    </row>
    <row r="187" spans="1:22" x14ac:dyDescent="0.3">
      <c r="A187" s="1" t="s">
        <v>17</v>
      </c>
      <c r="B187" s="1" t="s">
        <v>18</v>
      </c>
      <c r="C187" s="1" t="s">
        <v>84</v>
      </c>
      <c r="D187" s="1" t="s">
        <v>20</v>
      </c>
      <c r="E187" s="1" t="s">
        <v>15</v>
      </c>
      <c r="F187" s="4">
        <v>81</v>
      </c>
      <c r="G187" s="4">
        <v>78</v>
      </c>
      <c r="H187" s="4">
        <v>81</v>
      </c>
      <c r="I187" s="4">
        <f>AVERAGE(Student­­Performance[[#This Row],[Math Score]],Student­­Performance[[#This Row],[Reading Score]],Student­­Performance[[#This Row],[Writing Score]])</f>
        <v>80</v>
      </c>
      <c r="J187" s="10" t="str">
        <f>IF(Student­­Performance[[#This Row],[Average Score]]&gt;=50,"Pass","Fail")</f>
        <v>Pass</v>
      </c>
      <c r="K18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18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18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187" s="4">
        <f>IF(ISNUMBER(Student­­Performance[[#This Row],[Math Score]]),Student­­Performance[[#This Row],[Math Score]],0)</f>
        <v>81</v>
      </c>
      <c r="O187" s="4">
        <f>IF(ISNUMBER(Student­­Performance[[#This Row],[Reading Score]]),Student­­Performance[[#This Row],[Reading Score]],0)</f>
        <v>78</v>
      </c>
      <c r="P187" s="4">
        <f>IF(ISNUMBER(Student­­Performance[[#This Row],[Writing Score]]),Student­­Performance[[#This Row],[Writing Score]],0)</f>
        <v>81</v>
      </c>
      <c r="Q187" s="4" t="str">
        <f>IF(Student­­Performance[[#This Row],[Math Score]]&gt;=50,"Pass","Fail")</f>
        <v>Pass</v>
      </c>
      <c r="R187" s="4" t="str">
        <f>IF(Student­­Performance[[#This Row],[Reading Score]]&gt;=50,"Pass","Fail")</f>
        <v>Pass</v>
      </c>
      <c r="S187" s="4" t="str">
        <f>IF(Student­­Performance[[#This Row],[Writing Score]]&gt;=50,"Pass","Fail")</f>
        <v>Pass</v>
      </c>
      <c r="T18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240</v>
      </c>
      <c r="U187" s="4" cm="1">
        <f t="array" ref="U187">IF(COUNT(F187:H187)=0,"", MAX(IF(ISNUMBER(F187:H187),F187:H187)) - MIN(IF(ISNUMBER(F187:H187),F187:H187)))</f>
        <v>3</v>
      </c>
      <c r="V187" s="4" t="str">
        <f>IF(U187="","",IF(U187&gt;25,"Outlier","Normal"))</f>
        <v>Normal</v>
      </c>
    </row>
    <row r="188" spans="1:22" x14ac:dyDescent="0.3">
      <c r="A188" s="1" t="s">
        <v>8</v>
      </c>
      <c r="B188" s="1" t="s">
        <v>26</v>
      </c>
      <c r="C188" s="1" t="s">
        <v>87</v>
      </c>
      <c r="D188" s="1" t="s">
        <v>11</v>
      </c>
      <c r="E188" s="1" t="s">
        <v>12</v>
      </c>
      <c r="F188" s="4">
        <v>75</v>
      </c>
      <c r="G188" s="4">
        <v>86</v>
      </c>
      <c r="H188" s="4">
        <v>79</v>
      </c>
      <c r="I188" s="4">
        <f>AVERAGE(Student­­Performance[[#This Row],[Math Score]],Student­­Performance[[#This Row],[Reading Score]],Student­­Performance[[#This Row],[Writing Score]])</f>
        <v>80</v>
      </c>
      <c r="J188" s="10" t="str">
        <f>IF(Student­­Performance[[#This Row],[Average Score]]&gt;=50,"Pass","Fail")</f>
        <v>Pass</v>
      </c>
      <c r="K18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18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18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188" s="4">
        <f>IF(ISNUMBER(Student­­Performance[[#This Row],[Math Score]]),Student­­Performance[[#This Row],[Math Score]],0)</f>
        <v>75</v>
      </c>
      <c r="O188" s="4">
        <f>IF(ISNUMBER(Student­­Performance[[#This Row],[Reading Score]]),Student­­Performance[[#This Row],[Reading Score]],0)</f>
        <v>86</v>
      </c>
      <c r="P188" s="4">
        <f>IF(ISNUMBER(Student­­Performance[[#This Row],[Writing Score]]),Student­­Performance[[#This Row],[Writing Score]],0)</f>
        <v>79</v>
      </c>
      <c r="Q188" s="4" t="str">
        <f>IF(Student­­Performance[[#This Row],[Math Score]]&gt;=50,"Pass","Fail")</f>
        <v>Pass</v>
      </c>
      <c r="R188" s="4" t="str">
        <f>IF(Student­­Performance[[#This Row],[Reading Score]]&gt;=50,"Pass","Fail")</f>
        <v>Pass</v>
      </c>
      <c r="S188" s="4" t="str">
        <f>IF(Student­­Performance[[#This Row],[Writing Score]]&gt;=50,"Pass","Fail")</f>
        <v>Pass</v>
      </c>
      <c r="T18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240</v>
      </c>
      <c r="U188" s="4" cm="1">
        <f t="array" ref="U188">IF(COUNT(F188:H188)=0,"", MAX(IF(ISNUMBER(F188:H188),F188:H188)) - MIN(IF(ISNUMBER(F188:H188),F188:H188)))</f>
        <v>11</v>
      </c>
      <c r="V188" s="4" t="str">
        <f>IF(U188="","",IF(U188&gt;25,"Outlier","Normal"))</f>
        <v>Normal</v>
      </c>
    </row>
    <row r="189" spans="1:22" x14ac:dyDescent="0.3">
      <c r="A189" s="1" t="s">
        <v>8</v>
      </c>
      <c r="B189" s="1" t="s">
        <v>9</v>
      </c>
      <c r="C189" s="1" t="s">
        <v>87</v>
      </c>
      <c r="D189" s="1" t="s">
        <v>20</v>
      </c>
      <c r="E189" s="1" t="s">
        <v>12</v>
      </c>
      <c r="F189" s="4">
        <v>71</v>
      </c>
      <c r="G189" s="4">
        <v>87</v>
      </c>
      <c r="H189" s="4">
        <v>82</v>
      </c>
      <c r="I189" s="4">
        <f>AVERAGE(Student­­Performance[[#This Row],[Math Score]],Student­­Performance[[#This Row],[Reading Score]],Student­­Performance[[#This Row],[Writing Score]])</f>
        <v>80</v>
      </c>
      <c r="J189" s="10" t="str">
        <f>IF(Student­­Performance[[#This Row],[Average Score]]&gt;=50,"Pass","Fail")</f>
        <v>Pass</v>
      </c>
      <c r="K18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16</v>
      </c>
      <c r="L18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18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189" s="4">
        <f>IF(ISNUMBER(Student­­Performance[[#This Row],[Math Score]]),Student­­Performance[[#This Row],[Math Score]],0)</f>
        <v>71</v>
      </c>
      <c r="O189" s="4">
        <f>IF(ISNUMBER(Student­­Performance[[#This Row],[Reading Score]]),Student­­Performance[[#This Row],[Reading Score]],0)</f>
        <v>87</v>
      </c>
      <c r="P189" s="4">
        <f>IF(ISNUMBER(Student­­Performance[[#This Row],[Writing Score]]),Student­­Performance[[#This Row],[Writing Score]],0)</f>
        <v>82</v>
      </c>
      <c r="Q189" s="4" t="str">
        <f>IF(Student­­Performance[[#This Row],[Math Score]]&gt;=50,"Pass","Fail")</f>
        <v>Pass</v>
      </c>
      <c r="R189" s="4" t="str">
        <f>IF(Student­­Performance[[#This Row],[Reading Score]]&gt;=50,"Pass","Fail")</f>
        <v>Pass</v>
      </c>
      <c r="S189" s="4" t="str">
        <f>IF(Student­­Performance[[#This Row],[Writing Score]]&gt;=50,"Pass","Fail")</f>
        <v>Pass</v>
      </c>
      <c r="T18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240</v>
      </c>
      <c r="U189" s="4" cm="1">
        <f t="array" ref="U189">IF(COUNT(F189:H189)=0,"", MAX(IF(ISNUMBER(F189:H189),F189:H189)) - MIN(IF(ISNUMBER(F189:H189),F189:H189)))</f>
        <v>16</v>
      </c>
      <c r="V189" s="4" t="str">
        <f>IF(U189="","",IF(U189&gt;25,"Outlier","Normal"))</f>
        <v>Normal</v>
      </c>
    </row>
    <row r="190" spans="1:22" x14ac:dyDescent="0.3">
      <c r="A190" s="1" t="s">
        <v>17</v>
      </c>
      <c r="B190" s="1" t="s">
        <v>18</v>
      </c>
      <c r="C190" s="1" t="s">
        <v>83</v>
      </c>
      <c r="D190" s="1" t="s">
        <v>11</v>
      </c>
      <c r="E190" s="1" t="s">
        <v>15</v>
      </c>
      <c r="F190" s="4">
        <v>80</v>
      </c>
      <c r="G190" s="4">
        <v>78</v>
      </c>
      <c r="H190" s="4">
        <v>81</v>
      </c>
      <c r="I190" s="4">
        <f>AVERAGE(Student­­Performance[[#This Row],[Math Score]],Student­­Performance[[#This Row],[Reading Score]],Student­­Performance[[#This Row],[Writing Score]])</f>
        <v>79.666666666666671</v>
      </c>
      <c r="J190" s="10" t="str">
        <f>IF(Student­­Performance[[#This Row],[Average Score]]&gt;=50,"Pass","Fail")</f>
        <v>Pass</v>
      </c>
      <c r="K19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</v>
      </c>
      <c r="L19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19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190" s="4">
        <f>IF(ISNUMBER(Student­­Performance[[#This Row],[Math Score]]),Student­­Performance[[#This Row],[Math Score]],0)</f>
        <v>80</v>
      </c>
      <c r="O190" s="4">
        <f>IF(ISNUMBER(Student­­Performance[[#This Row],[Reading Score]]),Student­­Performance[[#This Row],[Reading Score]],0)</f>
        <v>78</v>
      </c>
      <c r="P190" s="4">
        <f>IF(ISNUMBER(Student­­Performance[[#This Row],[Writing Score]]),Student­­Performance[[#This Row],[Writing Score]],0)</f>
        <v>81</v>
      </c>
      <c r="Q190" s="4" t="str">
        <f>IF(Student­­Performance[[#This Row],[Math Score]]&gt;=50,"Pass","Fail")</f>
        <v>Pass</v>
      </c>
      <c r="R190" s="4" t="str">
        <f>IF(Student­­Performance[[#This Row],[Reading Score]]&gt;=50,"Pass","Fail")</f>
        <v>Pass</v>
      </c>
      <c r="S190" s="4" t="str">
        <f>IF(Student­­Performance[[#This Row],[Writing Score]]&gt;=50,"Pass","Fail")</f>
        <v>Pass</v>
      </c>
      <c r="T19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239</v>
      </c>
      <c r="U190" s="4" cm="1">
        <f t="array" ref="U190">IF(COUNT(F190:H190)=0,"", MAX(IF(ISNUMBER(F190:H190),F190:H190)) - MIN(IF(ISNUMBER(F190:H190),F190:H190)))</f>
        <v>3</v>
      </c>
      <c r="V190" s="4" t="str">
        <f>IF(U190="","",IF(U190&gt;25,"Outlier","Normal"))</f>
        <v>Normal</v>
      </c>
    </row>
    <row r="191" spans="1:22" x14ac:dyDescent="0.3">
      <c r="A191" s="1" t="s">
        <v>8</v>
      </c>
      <c r="B191" s="1" t="s">
        <v>21</v>
      </c>
      <c r="C191" s="1" t="s">
        <v>83</v>
      </c>
      <c r="D191" s="1" t="s">
        <v>11</v>
      </c>
      <c r="E191" s="1" t="s">
        <v>12</v>
      </c>
      <c r="F191" s="4">
        <v>78</v>
      </c>
      <c r="G191" s="4">
        <v>82</v>
      </c>
      <c r="H191" s="4">
        <v>79</v>
      </c>
      <c r="I191" s="4">
        <f>AVERAGE(Student­­Performance[[#This Row],[Math Score]],Student­­Performance[[#This Row],[Reading Score]],Student­­Performance[[#This Row],[Writing Score]])</f>
        <v>79.666666666666671</v>
      </c>
      <c r="J191" s="10" t="str">
        <f>IF(Student­­Performance[[#This Row],[Average Score]]&gt;=50,"Pass","Fail")</f>
        <v>Pass</v>
      </c>
      <c r="K19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19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19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191" s="4">
        <f>IF(ISNUMBER(Student­­Performance[[#This Row],[Math Score]]),Student­­Performance[[#This Row],[Math Score]],0)</f>
        <v>78</v>
      </c>
      <c r="O191" s="4">
        <f>IF(ISNUMBER(Student­­Performance[[#This Row],[Reading Score]]),Student­­Performance[[#This Row],[Reading Score]],0)</f>
        <v>82</v>
      </c>
      <c r="P191" s="4">
        <f>IF(ISNUMBER(Student­­Performance[[#This Row],[Writing Score]]),Student­­Performance[[#This Row],[Writing Score]],0)</f>
        <v>79</v>
      </c>
      <c r="Q191" s="4" t="str">
        <f>IF(Student­­Performance[[#This Row],[Math Score]]&gt;=50,"Pass","Fail")</f>
        <v>Pass</v>
      </c>
      <c r="R191" s="4" t="str">
        <f>IF(Student­­Performance[[#This Row],[Reading Score]]&gt;=50,"Pass","Fail")</f>
        <v>Pass</v>
      </c>
      <c r="S191" s="4" t="str">
        <f>IF(Student­­Performance[[#This Row],[Writing Score]]&gt;=50,"Pass","Fail")</f>
        <v>Pass</v>
      </c>
      <c r="T19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239</v>
      </c>
      <c r="U191" s="4" cm="1">
        <f t="array" ref="U191">IF(COUNT(F191:H191)=0,"", MAX(IF(ISNUMBER(F191:H191),F191:H191)) - MIN(IF(ISNUMBER(F191:H191),F191:H191)))</f>
        <v>4</v>
      </c>
      <c r="V191" s="4" t="str">
        <f>IF(U191="","",IF(U191&gt;25,"Outlier","Normal"))</f>
        <v>Normal</v>
      </c>
    </row>
    <row r="192" spans="1:22" x14ac:dyDescent="0.3">
      <c r="A192" s="1" t="s">
        <v>17</v>
      </c>
      <c r="B192" s="1" t="s">
        <v>21</v>
      </c>
      <c r="C192" s="1" t="s">
        <v>84</v>
      </c>
      <c r="D192" s="1" t="s">
        <v>11</v>
      </c>
      <c r="E192" s="1" t="s">
        <v>12</v>
      </c>
      <c r="F192" s="4">
        <v>88</v>
      </c>
      <c r="G192" s="4">
        <v>73</v>
      </c>
      <c r="H192" s="4">
        <v>78</v>
      </c>
      <c r="I192" s="4">
        <f>AVERAGE(Student­­Performance[[#This Row],[Math Score]],Student­­Performance[[#This Row],[Reading Score]],Student­­Performance[[#This Row],[Writing Score]])</f>
        <v>79.666666666666671</v>
      </c>
      <c r="J192" s="10" t="str">
        <f>IF(Student­­Performance[[#This Row],[Average Score]]&gt;=50,"Pass","Fail")</f>
        <v>Pass</v>
      </c>
      <c r="K19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-15</v>
      </c>
      <c r="L19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19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-10</v>
      </c>
      <c r="N192" s="4">
        <f>IF(ISNUMBER(Student­­Performance[[#This Row],[Math Score]]),Student­­Performance[[#This Row],[Math Score]],0)</f>
        <v>88</v>
      </c>
      <c r="O192" s="4">
        <f>IF(ISNUMBER(Student­­Performance[[#This Row],[Reading Score]]),Student­­Performance[[#This Row],[Reading Score]],0)</f>
        <v>73</v>
      </c>
      <c r="P192" s="4">
        <f>IF(ISNUMBER(Student­­Performance[[#This Row],[Writing Score]]),Student­­Performance[[#This Row],[Writing Score]],0)</f>
        <v>78</v>
      </c>
      <c r="Q192" s="4" t="str">
        <f>IF(Student­­Performance[[#This Row],[Math Score]]&gt;=50,"Pass","Fail")</f>
        <v>Pass</v>
      </c>
      <c r="R192" s="4" t="str">
        <f>IF(Student­­Performance[[#This Row],[Reading Score]]&gt;=50,"Pass","Fail")</f>
        <v>Pass</v>
      </c>
      <c r="S192" s="4" t="str">
        <f>IF(Student­­Performance[[#This Row],[Writing Score]]&gt;=50,"Pass","Fail")</f>
        <v>Pass</v>
      </c>
      <c r="T19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239</v>
      </c>
      <c r="U192" s="4" cm="1">
        <f t="array" ref="U192">IF(COUNT(F192:H192)=0,"", MAX(IF(ISNUMBER(F192:H192),F192:H192)) - MIN(IF(ISNUMBER(F192:H192),F192:H192)))</f>
        <v>15</v>
      </c>
      <c r="V192" s="4" t="str">
        <f>IF(U192="","",IF(U192&gt;25,"Outlier","Normal"))</f>
        <v>Normal</v>
      </c>
    </row>
    <row r="193" spans="1:22" x14ac:dyDescent="0.3">
      <c r="A193" s="1" t="s">
        <v>17</v>
      </c>
      <c r="B193" s="1" t="s">
        <v>26</v>
      </c>
      <c r="C193" s="1" t="s">
        <v>86</v>
      </c>
      <c r="D193" s="1" t="s">
        <v>11</v>
      </c>
      <c r="E193" s="1" t="s">
        <v>12</v>
      </c>
      <c r="F193" s="4">
        <v>89</v>
      </c>
      <c r="G193" s="4">
        <v>76</v>
      </c>
      <c r="H193" s="4">
        <v>74</v>
      </c>
      <c r="I193" s="4">
        <f>AVERAGE(Student­­Performance[[#This Row],[Math Score]],Student­­Performance[[#This Row],[Reading Score]],Student­­Performance[[#This Row],[Writing Score]])</f>
        <v>79.666666666666671</v>
      </c>
      <c r="J193" s="10" t="str">
        <f>IF(Student­­Performance[[#This Row],[Average Score]]&gt;=50,"Pass","Fail")</f>
        <v>Pass</v>
      </c>
      <c r="K19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-13</v>
      </c>
      <c r="L19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19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-15</v>
      </c>
      <c r="N193" s="4">
        <f>IF(ISNUMBER(Student­­Performance[[#This Row],[Math Score]]),Student­­Performance[[#This Row],[Math Score]],0)</f>
        <v>89</v>
      </c>
      <c r="O193" s="4">
        <f>IF(ISNUMBER(Student­­Performance[[#This Row],[Reading Score]]),Student­­Performance[[#This Row],[Reading Score]],0)</f>
        <v>76</v>
      </c>
      <c r="P193" s="4">
        <f>IF(ISNUMBER(Student­­Performance[[#This Row],[Writing Score]]),Student­­Performance[[#This Row],[Writing Score]],0)</f>
        <v>74</v>
      </c>
      <c r="Q193" s="4" t="str">
        <f>IF(Student­­Performance[[#This Row],[Math Score]]&gt;=50,"Pass","Fail")</f>
        <v>Pass</v>
      </c>
      <c r="R193" s="4" t="str">
        <f>IF(Student­­Performance[[#This Row],[Reading Score]]&gt;=50,"Pass","Fail")</f>
        <v>Pass</v>
      </c>
      <c r="S193" s="4" t="str">
        <f>IF(Student­­Performance[[#This Row],[Writing Score]]&gt;=50,"Pass","Fail")</f>
        <v>Pass</v>
      </c>
      <c r="T19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239</v>
      </c>
      <c r="U193" s="4" cm="1">
        <f t="array" ref="U193">IF(COUNT(F193:H193)=0,"", MAX(IF(ISNUMBER(F193:H193),F193:H193)) - MIN(IF(ISNUMBER(F193:H193),F193:H193)))</f>
        <v>15</v>
      </c>
      <c r="V193" s="4" t="str">
        <f>IF(U193="","",IF(U193&gt;25,"Outlier","Normal"))</f>
        <v>Normal</v>
      </c>
    </row>
    <row r="194" spans="1:22" x14ac:dyDescent="0.3">
      <c r="A194" s="1" t="s">
        <v>17</v>
      </c>
      <c r="B194" s="1" t="s">
        <v>9</v>
      </c>
      <c r="C194" s="1" t="s">
        <v>83</v>
      </c>
      <c r="D194" s="1" t="s">
        <v>20</v>
      </c>
      <c r="E194" s="1" t="s">
        <v>12</v>
      </c>
      <c r="F194" s="4">
        <v>88</v>
      </c>
      <c r="G194" s="4">
        <v>75</v>
      </c>
      <c r="H194" s="4">
        <v>76</v>
      </c>
      <c r="I194" s="4">
        <f>AVERAGE(Student­­Performance[[#This Row],[Math Score]],Student­­Performance[[#This Row],[Reading Score]],Student­­Performance[[#This Row],[Writing Score]])</f>
        <v>79.666666666666671</v>
      </c>
      <c r="J194" s="10" t="str">
        <f>IF(Student­­Performance[[#This Row],[Average Score]]&gt;=50,"Pass","Fail")</f>
        <v>Pass</v>
      </c>
      <c r="K19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-13</v>
      </c>
      <c r="L19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19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-12</v>
      </c>
      <c r="N194" s="4">
        <f>IF(ISNUMBER(Student­­Performance[[#This Row],[Math Score]]),Student­­Performance[[#This Row],[Math Score]],0)</f>
        <v>88</v>
      </c>
      <c r="O194" s="4">
        <f>IF(ISNUMBER(Student­­Performance[[#This Row],[Reading Score]]),Student­­Performance[[#This Row],[Reading Score]],0)</f>
        <v>75</v>
      </c>
      <c r="P194" s="4">
        <f>IF(ISNUMBER(Student­­Performance[[#This Row],[Writing Score]]),Student­­Performance[[#This Row],[Writing Score]],0)</f>
        <v>76</v>
      </c>
      <c r="Q194" s="4" t="str">
        <f>IF(Student­­Performance[[#This Row],[Math Score]]&gt;=50,"Pass","Fail")</f>
        <v>Pass</v>
      </c>
      <c r="R194" s="4" t="str">
        <f>IF(Student­­Performance[[#This Row],[Reading Score]]&gt;=50,"Pass","Fail")</f>
        <v>Pass</v>
      </c>
      <c r="S194" s="4" t="str">
        <f>IF(Student­­Performance[[#This Row],[Writing Score]]&gt;=50,"Pass","Fail")</f>
        <v>Pass</v>
      </c>
      <c r="T19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239</v>
      </c>
      <c r="U194" s="4" cm="1">
        <f t="array" ref="U194">IF(COUNT(F194:H194)=0,"", MAX(IF(ISNUMBER(F194:H194),F194:H194)) - MIN(IF(ISNUMBER(F194:H194),F194:H194)))</f>
        <v>13</v>
      </c>
      <c r="V194" s="4" t="str">
        <f>IF(U194="","",IF(U194&gt;25,"Outlier","Normal"))</f>
        <v>Normal</v>
      </c>
    </row>
    <row r="195" spans="1:22" x14ac:dyDescent="0.3">
      <c r="A195" s="1" t="s">
        <v>8</v>
      </c>
      <c r="B195" s="1" t="s">
        <v>9</v>
      </c>
      <c r="C195" s="1" t="s">
        <v>86</v>
      </c>
      <c r="D195" s="1" t="s">
        <v>11</v>
      </c>
      <c r="E195" s="1" t="s">
        <v>12</v>
      </c>
      <c r="F195" s="4">
        <v>82</v>
      </c>
      <c r="G195" s="4">
        <v>80</v>
      </c>
      <c r="H195" s="4">
        <v>77</v>
      </c>
      <c r="I195" s="4">
        <f>AVERAGE(Student­­Performance[[#This Row],[Math Score]],Student­­Performance[[#This Row],[Reading Score]],Student­­Performance[[#This Row],[Writing Score]])</f>
        <v>79.666666666666671</v>
      </c>
      <c r="J195" s="10" t="str">
        <f>IF(Student­­Performance[[#This Row],[Average Score]]&gt;=50,"Pass","Fail")</f>
        <v>Pass</v>
      </c>
      <c r="K19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</v>
      </c>
      <c r="L19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19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-5</v>
      </c>
      <c r="N195" s="4">
        <f>IF(ISNUMBER(Student­­Performance[[#This Row],[Math Score]]),Student­­Performance[[#This Row],[Math Score]],0)</f>
        <v>82</v>
      </c>
      <c r="O195" s="4">
        <f>IF(ISNUMBER(Student­­Performance[[#This Row],[Reading Score]]),Student­­Performance[[#This Row],[Reading Score]],0)</f>
        <v>80</v>
      </c>
      <c r="P195" s="4">
        <f>IF(ISNUMBER(Student­­Performance[[#This Row],[Writing Score]]),Student­­Performance[[#This Row],[Writing Score]],0)</f>
        <v>77</v>
      </c>
      <c r="Q195" s="4" t="str">
        <f>IF(Student­­Performance[[#This Row],[Math Score]]&gt;=50,"Pass","Fail")</f>
        <v>Pass</v>
      </c>
      <c r="R195" s="4" t="str">
        <f>IF(Student­­Performance[[#This Row],[Reading Score]]&gt;=50,"Pass","Fail")</f>
        <v>Pass</v>
      </c>
      <c r="S195" s="4" t="str">
        <f>IF(Student­­Performance[[#This Row],[Writing Score]]&gt;=50,"Pass","Fail")</f>
        <v>Pass</v>
      </c>
      <c r="T19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239</v>
      </c>
      <c r="U195" s="4" cm="1">
        <f t="array" ref="U195">IF(COUNT(F195:H195)=0,"", MAX(IF(ISNUMBER(F195:H195),F195:H195)) - MIN(IF(ISNUMBER(F195:H195),F195:H195)))</f>
        <v>5</v>
      </c>
      <c r="V195" s="4" t="str">
        <f>IF(U195="","",IF(U195&gt;25,"Outlier","Normal"))</f>
        <v>Normal</v>
      </c>
    </row>
    <row r="196" spans="1:22" x14ac:dyDescent="0.3">
      <c r="A196" s="1" t="s">
        <v>8</v>
      </c>
      <c r="B196" s="1" t="s">
        <v>21</v>
      </c>
      <c r="C196" s="1" t="s">
        <v>87</v>
      </c>
      <c r="D196" s="1" t="s">
        <v>11</v>
      </c>
      <c r="E196" s="1" t="s">
        <v>12</v>
      </c>
      <c r="F196" s="4">
        <v>78</v>
      </c>
      <c r="G196" s="4">
        <v>81</v>
      </c>
      <c r="H196" s="4">
        <v>80</v>
      </c>
      <c r="I196" s="4">
        <f>AVERAGE(Student­­Performance[[#This Row],[Math Score]],Student­­Performance[[#This Row],[Reading Score]],Student­­Performance[[#This Row],[Writing Score]])</f>
        <v>79.666666666666671</v>
      </c>
      <c r="J196" s="10" t="str">
        <f>IF(Student­­Performance[[#This Row],[Average Score]]&gt;=50,"Pass","Fail")</f>
        <v>Pass</v>
      </c>
      <c r="K19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19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19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196" s="4">
        <f>IF(ISNUMBER(Student­­Performance[[#This Row],[Math Score]]),Student­­Performance[[#This Row],[Math Score]],0)</f>
        <v>78</v>
      </c>
      <c r="O196" s="4">
        <f>IF(ISNUMBER(Student­­Performance[[#This Row],[Reading Score]]),Student­­Performance[[#This Row],[Reading Score]],0)</f>
        <v>81</v>
      </c>
      <c r="P196" s="4">
        <f>IF(ISNUMBER(Student­­Performance[[#This Row],[Writing Score]]),Student­­Performance[[#This Row],[Writing Score]],0)</f>
        <v>80</v>
      </c>
      <c r="Q196" s="4" t="str">
        <f>IF(Student­­Performance[[#This Row],[Math Score]]&gt;=50,"Pass","Fail")</f>
        <v>Pass</v>
      </c>
      <c r="R196" s="4" t="str">
        <f>IF(Student­­Performance[[#This Row],[Reading Score]]&gt;=50,"Pass","Fail")</f>
        <v>Pass</v>
      </c>
      <c r="S196" s="4" t="str">
        <f>IF(Student­­Performance[[#This Row],[Writing Score]]&gt;=50,"Pass","Fail")</f>
        <v>Pass</v>
      </c>
      <c r="T19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239</v>
      </c>
      <c r="U196" s="4" cm="1">
        <f t="array" ref="U196">IF(COUNT(F196:H196)=0,"", MAX(IF(ISNUMBER(F196:H196),F196:H196)) - MIN(IF(ISNUMBER(F196:H196),F196:H196)))</f>
        <v>3</v>
      </c>
      <c r="V196" s="4" t="str">
        <f>IF(U196="","",IF(U196&gt;25,"Outlier","Normal"))</f>
        <v>Normal</v>
      </c>
    </row>
    <row r="197" spans="1:22" x14ac:dyDescent="0.3">
      <c r="A197" s="1" t="s">
        <v>8</v>
      </c>
      <c r="B197" s="1" t="s">
        <v>9</v>
      </c>
      <c r="C197" s="1" t="s">
        <v>83</v>
      </c>
      <c r="D197" s="1" t="s">
        <v>11</v>
      </c>
      <c r="E197" s="1" t="s">
        <v>12</v>
      </c>
      <c r="F197" s="4">
        <v>75</v>
      </c>
      <c r="G197" s="4">
        <v>84</v>
      </c>
      <c r="H197" s="4">
        <v>80</v>
      </c>
      <c r="I197" s="4">
        <f>AVERAGE(Student­­Performance[[#This Row],[Math Score]],Student­­Performance[[#This Row],[Reading Score]],Student­­Performance[[#This Row],[Writing Score]])</f>
        <v>79.666666666666671</v>
      </c>
      <c r="J197" s="10" t="str">
        <f>IF(Student­­Performance[[#This Row],[Average Score]]&gt;=50,"Pass","Fail")</f>
        <v>Pass</v>
      </c>
      <c r="K19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19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19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197" s="4">
        <f>IF(ISNUMBER(Student­­Performance[[#This Row],[Math Score]]),Student­­Performance[[#This Row],[Math Score]],0)</f>
        <v>75</v>
      </c>
      <c r="O197" s="4">
        <f>IF(ISNUMBER(Student­­Performance[[#This Row],[Reading Score]]),Student­­Performance[[#This Row],[Reading Score]],0)</f>
        <v>84</v>
      </c>
      <c r="P197" s="4">
        <f>IF(ISNUMBER(Student­­Performance[[#This Row],[Writing Score]]),Student­­Performance[[#This Row],[Writing Score]],0)</f>
        <v>80</v>
      </c>
      <c r="Q197" s="4" t="str">
        <f>IF(Student­­Performance[[#This Row],[Math Score]]&gt;=50,"Pass","Fail")</f>
        <v>Pass</v>
      </c>
      <c r="R197" s="4" t="str">
        <f>IF(Student­­Performance[[#This Row],[Reading Score]]&gt;=50,"Pass","Fail")</f>
        <v>Pass</v>
      </c>
      <c r="S197" s="4" t="str">
        <f>IF(Student­­Performance[[#This Row],[Writing Score]]&gt;=50,"Pass","Fail")</f>
        <v>Pass</v>
      </c>
      <c r="T19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239</v>
      </c>
      <c r="U197" s="4" cm="1">
        <f t="array" ref="U197">IF(COUNT(F197:H197)=0,"", MAX(IF(ISNUMBER(F197:H197),F197:H197)) - MIN(IF(ISNUMBER(F197:H197),F197:H197)))</f>
        <v>9</v>
      </c>
      <c r="V197" s="4" t="str">
        <f>IF(U197="","",IF(U197&gt;25,"Outlier","Normal"))</f>
        <v>Normal</v>
      </c>
    </row>
    <row r="198" spans="1:22" x14ac:dyDescent="0.3">
      <c r="A198" s="1" t="s">
        <v>8</v>
      </c>
      <c r="B198" s="1" t="s">
        <v>21</v>
      </c>
      <c r="C198" s="1" t="s">
        <v>86</v>
      </c>
      <c r="D198" s="1" t="s">
        <v>11</v>
      </c>
      <c r="E198" s="1" t="s">
        <v>12</v>
      </c>
      <c r="F198" s="4">
        <v>74</v>
      </c>
      <c r="G198" s="4">
        <v>81</v>
      </c>
      <c r="H198" s="4">
        <v>83</v>
      </c>
      <c r="I198" s="4">
        <f>AVERAGE(Student­­Performance[[#This Row],[Math Score]],Student­­Performance[[#This Row],[Reading Score]],Student­­Performance[[#This Row],[Writing Score]])</f>
        <v>79.333333333333329</v>
      </c>
      <c r="J198" s="10" t="str">
        <f>IF(Student­­Performance[[#This Row],[Average Score]]&gt;=50,"Pass","Fail")</f>
        <v>Pass</v>
      </c>
      <c r="K19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19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19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198" s="4">
        <f>IF(ISNUMBER(Student­­Performance[[#This Row],[Math Score]]),Student­­Performance[[#This Row],[Math Score]],0)</f>
        <v>74</v>
      </c>
      <c r="O198" s="4">
        <f>IF(ISNUMBER(Student­­Performance[[#This Row],[Reading Score]]),Student­­Performance[[#This Row],[Reading Score]],0)</f>
        <v>81</v>
      </c>
      <c r="P198" s="4">
        <f>IF(ISNUMBER(Student­­Performance[[#This Row],[Writing Score]]),Student­­Performance[[#This Row],[Writing Score]],0)</f>
        <v>83</v>
      </c>
      <c r="Q198" s="4" t="str">
        <f>IF(Student­­Performance[[#This Row],[Math Score]]&gt;=50,"Pass","Fail")</f>
        <v>Pass</v>
      </c>
      <c r="R198" s="4" t="str">
        <f>IF(Student­­Performance[[#This Row],[Reading Score]]&gt;=50,"Pass","Fail")</f>
        <v>Pass</v>
      </c>
      <c r="S198" s="4" t="str">
        <f>IF(Student­­Performance[[#This Row],[Writing Score]]&gt;=50,"Pass","Fail")</f>
        <v>Pass</v>
      </c>
      <c r="T19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238</v>
      </c>
      <c r="U198" s="4" cm="1">
        <f t="array" ref="U198">IF(COUNT(F198:H198)=0,"", MAX(IF(ISNUMBER(F198:H198),F198:H198)) - MIN(IF(ISNUMBER(F198:H198),F198:H198)))</f>
        <v>9</v>
      </c>
      <c r="V198" s="4" t="str">
        <f>IF(U198="","",IF(U198&gt;25,"Outlier","Normal"))</f>
        <v>Normal</v>
      </c>
    </row>
    <row r="199" spans="1:22" x14ac:dyDescent="0.3">
      <c r="A199" s="1" t="s">
        <v>17</v>
      </c>
      <c r="B199" s="1" t="s">
        <v>21</v>
      </c>
      <c r="C199" s="1" t="s">
        <v>85</v>
      </c>
      <c r="D199" s="1" t="s">
        <v>11</v>
      </c>
      <c r="E199" s="1" t="s">
        <v>12</v>
      </c>
      <c r="F199" s="4">
        <v>82</v>
      </c>
      <c r="G199" s="4">
        <v>82</v>
      </c>
      <c r="H199" s="4">
        <v>74</v>
      </c>
      <c r="I199" s="4">
        <f>AVERAGE(Student­­Performance[[#This Row],[Math Score]],Student­­Performance[[#This Row],[Reading Score]],Student­­Performance[[#This Row],[Writing Score]])</f>
        <v>79.333333333333329</v>
      </c>
      <c r="J199" s="10" t="str">
        <f>IF(Student­­Performance[[#This Row],[Average Score]]&gt;=50,"Pass","Fail")</f>
        <v>Pass</v>
      </c>
      <c r="K19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19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-8</v>
      </c>
      <c r="M19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199" s="4">
        <f>IF(ISNUMBER(Student­­Performance[[#This Row],[Math Score]]),Student­­Performance[[#This Row],[Math Score]],0)</f>
        <v>82</v>
      </c>
      <c r="O199" s="4">
        <f>IF(ISNUMBER(Student­­Performance[[#This Row],[Reading Score]]),Student­­Performance[[#This Row],[Reading Score]],0)</f>
        <v>82</v>
      </c>
      <c r="P199" s="4">
        <f>IF(ISNUMBER(Student­­Performance[[#This Row],[Writing Score]]),Student­­Performance[[#This Row],[Writing Score]],0)</f>
        <v>74</v>
      </c>
      <c r="Q199" s="4" t="str">
        <f>IF(Student­­Performance[[#This Row],[Math Score]]&gt;=50,"Pass","Fail")</f>
        <v>Pass</v>
      </c>
      <c r="R199" s="4" t="str">
        <f>IF(Student­­Performance[[#This Row],[Reading Score]]&gt;=50,"Pass","Fail")</f>
        <v>Pass</v>
      </c>
      <c r="S199" s="4" t="str">
        <f>IF(Student­­Performance[[#This Row],[Writing Score]]&gt;=50,"Pass","Fail")</f>
        <v>Pass</v>
      </c>
      <c r="T19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238</v>
      </c>
      <c r="U199" s="4" cm="1">
        <f t="array" ref="U199">IF(COUNT(F199:H199)=0,"", MAX(IF(ISNUMBER(F199:H199),F199:H199)) - MIN(IF(ISNUMBER(F199:H199),F199:H199)))</f>
        <v>8</v>
      </c>
      <c r="V199" s="4" t="str">
        <f>IF(U199="","",IF(U199&gt;25,"Outlier","Normal"))</f>
        <v>Normal</v>
      </c>
    </row>
    <row r="200" spans="1:22" x14ac:dyDescent="0.3">
      <c r="A200" s="1" t="s">
        <v>17</v>
      </c>
      <c r="B200" s="1" t="s">
        <v>21</v>
      </c>
      <c r="C200" s="1" t="s">
        <v>84</v>
      </c>
      <c r="D200" s="1" t="s">
        <v>11</v>
      </c>
      <c r="E200" s="1" t="s">
        <v>15</v>
      </c>
      <c r="F200" s="4">
        <v>76</v>
      </c>
      <c r="G200" s="4">
        <v>83</v>
      </c>
      <c r="H200" s="4">
        <v>79</v>
      </c>
      <c r="I200" s="4">
        <f>AVERAGE(Student­­Performance[[#This Row],[Math Score]],Student­­Performance[[#This Row],[Reading Score]],Student­­Performance[[#This Row],[Writing Score]])</f>
        <v>79.333333333333329</v>
      </c>
      <c r="J200" s="10" t="str">
        <f>IF(Student­­Performance[[#This Row],[Average Score]]&gt;=50,"Pass","Fail")</f>
        <v>Pass</v>
      </c>
      <c r="K20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20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20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200" s="4">
        <f>IF(ISNUMBER(Student­­Performance[[#This Row],[Math Score]]),Student­­Performance[[#This Row],[Math Score]],0)</f>
        <v>76</v>
      </c>
      <c r="O200" s="4">
        <f>IF(ISNUMBER(Student­­Performance[[#This Row],[Reading Score]]),Student­­Performance[[#This Row],[Reading Score]],0)</f>
        <v>83</v>
      </c>
      <c r="P200" s="4">
        <f>IF(ISNUMBER(Student­­Performance[[#This Row],[Writing Score]]),Student­­Performance[[#This Row],[Writing Score]],0)</f>
        <v>79</v>
      </c>
      <c r="Q200" s="4" t="str">
        <f>IF(Student­­Performance[[#This Row],[Math Score]]&gt;=50,"Pass","Fail")</f>
        <v>Pass</v>
      </c>
      <c r="R200" s="4" t="str">
        <f>IF(Student­­Performance[[#This Row],[Reading Score]]&gt;=50,"Pass","Fail")</f>
        <v>Pass</v>
      </c>
      <c r="S200" s="4" t="str">
        <f>IF(Student­­Performance[[#This Row],[Writing Score]]&gt;=50,"Pass","Fail")</f>
        <v>Pass</v>
      </c>
      <c r="T20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238</v>
      </c>
      <c r="U200" s="4" cm="1">
        <f t="array" ref="U200">IF(COUNT(F200:H200)=0,"", MAX(IF(ISNUMBER(F200:H200),F200:H200)) - MIN(IF(ISNUMBER(F200:H200),F200:H200)))</f>
        <v>7</v>
      </c>
      <c r="V200" s="4" t="str">
        <f>IF(U200="","",IF(U200&gt;25,"Outlier","Normal"))</f>
        <v>Normal</v>
      </c>
    </row>
    <row r="201" spans="1:22" x14ac:dyDescent="0.3">
      <c r="A201" s="1" t="s">
        <v>8</v>
      </c>
      <c r="B201" s="1" t="s">
        <v>13</v>
      </c>
      <c r="C201" s="1" t="s">
        <v>85</v>
      </c>
      <c r="D201" s="1" t="s">
        <v>11</v>
      </c>
      <c r="E201" s="1" t="s">
        <v>15</v>
      </c>
      <c r="F201" s="4">
        <v>69</v>
      </c>
      <c r="G201" s="4">
        <v>84</v>
      </c>
      <c r="H201" s="4">
        <v>85</v>
      </c>
      <c r="I201" s="4">
        <f>AVERAGE(Student­­Performance[[#This Row],[Math Score]],Student­­Performance[[#This Row],[Reading Score]],Student­­Performance[[#This Row],[Writing Score]])</f>
        <v>79.333333333333329</v>
      </c>
      <c r="J201" s="10" t="str">
        <f>IF(Student­­Performance[[#This Row],[Average Score]]&gt;=50,"Pass","Fail")</f>
        <v>Pass</v>
      </c>
      <c r="K20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15</v>
      </c>
      <c r="L20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20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16</v>
      </c>
      <c r="N201" s="4">
        <f>IF(ISNUMBER(Student­­Performance[[#This Row],[Math Score]]),Student­­Performance[[#This Row],[Math Score]],0)</f>
        <v>69</v>
      </c>
      <c r="O201" s="4">
        <f>IF(ISNUMBER(Student­­Performance[[#This Row],[Reading Score]]),Student­­Performance[[#This Row],[Reading Score]],0)</f>
        <v>84</v>
      </c>
      <c r="P201" s="4">
        <f>IF(ISNUMBER(Student­­Performance[[#This Row],[Writing Score]]),Student­­Performance[[#This Row],[Writing Score]],0)</f>
        <v>85</v>
      </c>
      <c r="Q201" s="4" t="str">
        <f>IF(Student­­Performance[[#This Row],[Math Score]]&gt;=50,"Pass","Fail")</f>
        <v>Pass</v>
      </c>
      <c r="R201" s="4" t="str">
        <f>IF(Student­­Performance[[#This Row],[Reading Score]]&gt;=50,"Pass","Fail")</f>
        <v>Pass</v>
      </c>
      <c r="S201" s="4" t="str">
        <f>IF(Student­­Performance[[#This Row],[Writing Score]]&gt;=50,"Pass","Fail")</f>
        <v>Pass</v>
      </c>
      <c r="T20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238</v>
      </c>
      <c r="U201" s="4" cm="1">
        <f t="array" ref="U201">IF(COUNT(F201:H201)=0,"", MAX(IF(ISNUMBER(F201:H201),F201:H201)) - MIN(IF(ISNUMBER(F201:H201),F201:H201)))</f>
        <v>16</v>
      </c>
      <c r="V201" s="4" t="str">
        <f>IF(U201="","",IF(U201&gt;25,"Outlier","Normal"))</f>
        <v>Normal</v>
      </c>
    </row>
    <row r="202" spans="1:22" x14ac:dyDescent="0.3">
      <c r="A202" s="1" t="s">
        <v>17</v>
      </c>
      <c r="B202" s="1" t="s">
        <v>21</v>
      </c>
      <c r="C202" s="1" t="s">
        <v>88</v>
      </c>
      <c r="D202" s="1" t="s">
        <v>20</v>
      </c>
      <c r="E202" s="1" t="s">
        <v>15</v>
      </c>
      <c r="F202" s="4">
        <v>80</v>
      </c>
      <c r="G202" s="4">
        <v>79</v>
      </c>
      <c r="H202" s="4">
        <v>79</v>
      </c>
      <c r="I202" s="4">
        <f>AVERAGE(Student­­Performance[[#This Row],[Math Score]],Student­­Performance[[#This Row],[Reading Score]],Student­­Performance[[#This Row],[Writing Score]])</f>
        <v>79.333333333333329</v>
      </c>
      <c r="J202" s="10" t="str">
        <f>IF(Student­­Performance[[#This Row],[Average Score]]&gt;=50,"Pass","Fail")</f>
        <v>Pass</v>
      </c>
      <c r="K20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20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20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202" s="4">
        <f>IF(ISNUMBER(Student­­Performance[[#This Row],[Math Score]]),Student­­Performance[[#This Row],[Math Score]],0)</f>
        <v>80</v>
      </c>
      <c r="O202" s="4">
        <f>IF(ISNUMBER(Student­­Performance[[#This Row],[Reading Score]]),Student­­Performance[[#This Row],[Reading Score]],0)</f>
        <v>79</v>
      </c>
      <c r="P202" s="4">
        <f>IF(ISNUMBER(Student­­Performance[[#This Row],[Writing Score]]),Student­­Performance[[#This Row],[Writing Score]],0)</f>
        <v>79</v>
      </c>
      <c r="Q202" s="4" t="str">
        <f>IF(Student­­Performance[[#This Row],[Math Score]]&gt;=50,"Pass","Fail")</f>
        <v>Pass</v>
      </c>
      <c r="R202" s="4" t="str">
        <f>IF(Student­­Performance[[#This Row],[Reading Score]]&gt;=50,"Pass","Fail")</f>
        <v>Pass</v>
      </c>
      <c r="S202" s="4" t="str">
        <f>IF(Student­­Performance[[#This Row],[Writing Score]]&gt;=50,"Pass","Fail")</f>
        <v>Pass</v>
      </c>
      <c r="T20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238</v>
      </c>
      <c r="U202" s="4" cm="1">
        <f t="array" ref="U202">IF(COUNT(F202:H202)=0,"", MAX(IF(ISNUMBER(F202:H202),F202:H202)) - MIN(IF(ISNUMBER(F202:H202),F202:H202)))</f>
        <v>1</v>
      </c>
      <c r="V202" s="4" t="str">
        <f>IF(U202="","",IF(U202&gt;25,"Outlier","Normal"))</f>
        <v>Normal</v>
      </c>
    </row>
    <row r="203" spans="1:22" x14ac:dyDescent="0.3">
      <c r="A203" s="1" t="s">
        <v>8</v>
      </c>
      <c r="B203" s="1" t="s">
        <v>9</v>
      </c>
      <c r="C203" s="1" t="s">
        <v>88</v>
      </c>
      <c r="D203" s="1" t="s">
        <v>11</v>
      </c>
      <c r="E203" s="1" t="s">
        <v>12</v>
      </c>
      <c r="F203" s="4">
        <v>67</v>
      </c>
      <c r="G203" s="4">
        <v>89</v>
      </c>
      <c r="H203" s="4">
        <v>82</v>
      </c>
      <c r="I203" s="4">
        <f>AVERAGE(Student­­Performance[[#This Row],[Math Score]],Student­­Performance[[#This Row],[Reading Score]],Student­­Performance[[#This Row],[Writing Score]])</f>
        <v>79.333333333333329</v>
      </c>
      <c r="J203" s="10" t="str">
        <f>IF(Student­­Performance[[#This Row],[Average Score]]&gt;=50,"Pass","Fail")</f>
        <v>Pass</v>
      </c>
      <c r="K20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22</v>
      </c>
      <c r="L20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20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15</v>
      </c>
      <c r="N203" s="4">
        <f>IF(ISNUMBER(Student­­Performance[[#This Row],[Math Score]]),Student­­Performance[[#This Row],[Math Score]],0)</f>
        <v>67</v>
      </c>
      <c r="O203" s="4">
        <f>IF(ISNUMBER(Student­­Performance[[#This Row],[Reading Score]]),Student­­Performance[[#This Row],[Reading Score]],0)</f>
        <v>89</v>
      </c>
      <c r="P203" s="4">
        <f>IF(ISNUMBER(Student­­Performance[[#This Row],[Writing Score]]),Student­­Performance[[#This Row],[Writing Score]],0)</f>
        <v>82</v>
      </c>
      <c r="Q203" s="4" t="str">
        <f>IF(Student­­Performance[[#This Row],[Math Score]]&gt;=50,"Pass","Fail")</f>
        <v>Pass</v>
      </c>
      <c r="R203" s="4" t="str">
        <f>IF(Student­­Performance[[#This Row],[Reading Score]]&gt;=50,"Pass","Fail")</f>
        <v>Pass</v>
      </c>
      <c r="S203" s="4" t="str">
        <f>IF(Student­­Performance[[#This Row],[Writing Score]]&gt;=50,"Pass","Fail")</f>
        <v>Pass</v>
      </c>
      <c r="T20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238</v>
      </c>
      <c r="U203" s="4" cm="1">
        <f t="array" ref="U203">IF(COUNT(F203:H203)=0,"", MAX(IF(ISNUMBER(F203:H203),F203:H203)) - MIN(IF(ISNUMBER(F203:H203),F203:H203)))</f>
        <v>22</v>
      </c>
      <c r="V203" s="4" t="str">
        <f>IF(U203="","",IF(U203&gt;25,"Outlier","Normal"))</f>
        <v>Normal</v>
      </c>
    </row>
    <row r="204" spans="1:22" x14ac:dyDescent="0.3">
      <c r="A204" s="1" t="s">
        <v>17</v>
      </c>
      <c r="B204" s="1" t="s">
        <v>26</v>
      </c>
      <c r="C204" s="1" t="s">
        <v>87</v>
      </c>
      <c r="D204" s="1" t="s">
        <v>11</v>
      </c>
      <c r="E204" s="1" t="s">
        <v>12</v>
      </c>
      <c r="F204" s="4">
        <v>94</v>
      </c>
      <c r="G204" s="4">
        <v>73</v>
      </c>
      <c r="H204" s="4">
        <v>71</v>
      </c>
      <c r="I204" s="4">
        <f>AVERAGE(Student­­Performance[[#This Row],[Math Score]],Student­­Performance[[#This Row],[Reading Score]],Student­­Performance[[#This Row],[Writing Score]])</f>
        <v>79.333333333333329</v>
      </c>
      <c r="J204" s="10" t="str">
        <f>IF(Student­­Performance[[#This Row],[Average Score]]&gt;=50,"Pass","Fail")</f>
        <v>Pass</v>
      </c>
      <c r="K20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-21</v>
      </c>
      <c r="L20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20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-23</v>
      </c>
      <c r="N204" s="4">
        <f>IF(ISNUMBER(Student­­Performance[[#This Row],[Math Score]]),Student­­Performance[[#This Row],[Math Score]],0)</f>
        <v>94</v>
      </c>
      <c r="O204" s="4">
        <f>IF(ISNUMBER(Student­­Performance[[#This Row],[Reading Score]]),Student­­Performance[[#This Row],[Reading Score]],0)</f>
        <v>73</v>
      </c>
      <c r="P204" s="4">
        <f>IF(ISNUMBER(Student­­Performance[[#This Row],[Writing Score]]),Student­­Performance[[#This Row],[Writing Score]],0)</f>
        <v>71</v>
      </c>
      <c r="Q204" s="4" t="str">
        <f>IF(Student­­Performance[[#This Row],[Math Score]]&gt;=50,"Pass","Fail")</f>
        <v>Pass</v>
      </c>
      <c r="R204" s="4" t="str">
        <f>IF(Student­­Performance[[#This Row],[Reading Score]]&gt;=50,"Pass","Fail")</f>
        <v>Pass</v>
      </c>
      <c r="S204" s="4" t="str">
        <f>IF(Student­­Performance[[#This Row],[Writing Score]]&gt;=50,"Pass","Fail")</f>
        <v>Pass</v>
      </c>
      <c r="T20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238</v>
      </c>
      <c r="U204" s="4" cm="1">
        <f t="array" ref="U204">IF(COUNT(F204:H204)=0,"", MAX(IF(ISNUMBER(F204:H204),F204:H204)) - MIN(IF(ISNUMBER(F204:H204),F204:H204)))</f>
        <v>23</v>
      </c>
      <c r="V204" s="4" t="str">
        <f>IF(U204="","",IF(U204&gt;25,"Outlier","Normal"))</f>
        <v>Normal</v>
      </c>
    </row>
    <row r="205" spans="1:22" x14ac:dyDescent="0.3">
      <c r="A205" s="1" t="s">
        <v>8</v>
      </c>
      <c r="B205" s="1" t="s">
        <v>13</v>
      </c>
      <c r="C205" s="1" t="s">
        <v>86</v>
      </c>
      <c r="D205" s="1" t="s">
        <v>11</v>
      </c>
      <c r="E205" s="1" t="s">
        <v>15</v>
      </c>
      <c r="F205" s="4">
        <v>67</v>
      </c>
      <c r="G205" s="4">
        <v>84</v>
      </c>
      <c r="H205" s="4">
        <v>86</v>
      </c>
      <c r="I205" s="4">
        <f>AVERAGE(Student­­Performance[[#This Row],[Math Score]],Student­­Performance[[#This Row],[Reading Score]],Student­­Performance[[#This Row],[Writing Score]])</f>
        <v>79</v>
      </c>
      <c r="J205" s="10" t="str">
        <f>IF(Student­­Performance[[#This Row],[Average Score]]&gt;=50,"Pass","Fail")</f>
        <v>Pass</v>
      </c>
      <c r="K20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17</v>
      </c>
      <c r="L20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20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19</v>
      </c>
      <c r="N205" s="4">
        <f>IF(ISNUMBER(Student­­Performance[[#This Row],[Math Score]]),Student­­Performance[[#This Row],[Math Score]],0)</f>
        <v>67</v>
      </c>
      <c r="O205" s="4">
        <f>IF(ISNUMBER(Student­­Performance[[#This Row],[Reading Score]]),Student­­Performance[[#This Row],[Reading Score]],0)</f>
        <v>84</v>
      </c>
      <c r="P205" s="4">
        <f>IF(ISNUMBER(Student­­Performance[[#This Row],[Writing Score]]),Student­­Performance[[#This Row],[Writing Score]],0)</f>
        <v>86</v>
      </c>
      <c r="Q205" s="4" t="str">
        <f>IF(Student­­Performance[[#This Row],[Math Score]]&gt;=50,"Pass","Fail")</f>
        <v>Pass</v>
      </c>
      <c r="R205" s="4" t="str">
        <f>IF(Student­­Performance[[#This Row],[Reading Score]]&gt;=50,"Pass","Fail")</f>
        <v>Pass</v>
      </c>
      <c r="S205" s="4" t="str">
        <f>IF(Student­­Performance[[#This Row],[Writing Score]]&gt;=50,"Pass","Fail")</f>
        <v>Pass</v>
      </c>
      <c r="T20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237</v>
      </c>
      <c r="U205" s="4" cm="1">
        <f t="array" ref="U205">IF(COUNT(F205:H205)=0,"", MAX(IF(ISNUMBER(F205:H205),F205:H205)) - MIN(IF(ISNUMBER(F205:H205),F205:H205)))</f>
        <v>19</v>
      </c>
      <c r="V205" s="4" t="str">
        <f>IF(U205="","",IF(U205&gt;25,"Outlier","Normal"))</f>
        <v>Normal</v>
      </c>
    </row>
    <row r="206" spans="1:22" x14ac:dyDescent="0.3">
      <c r="A206" s="1" t="s">
        <v>17</v>
      </c>
      <c r="B206" s="1" t="s">
        <v>26</v>
      </c>
      <c r="C206" s="1" t="s">
        <v>87</v>
      </c>
      <c r="D206" s="1" t="s">
        <v>11</v>
      </c>
      <c r="E206" s="1" t="s">
        <v>15</v>
      </c>
      <c r="F206" s="4">
        <v>81</v>
      </c>
      <c r="G206" s="4">
        <v>80</v>
      </c>
      <c r="H206" s="4">
        <v>76</v>
      </c>
      <c r="I206" s="4">
        <f>AVERAGE(Student­­Performance[[#This Row],[Math Score]],Student­­Performance[[#This Row],[Reading Score]],Student­­Performance[[#This Row],[Writing Score]])</f>
        <v>79</v>
      </c>
      <c r="J206" s="10" t="str">
        <f>IF(Student­­Performance[[#This Row],[Average Score]]&gt;=50,"Pass","Fail")</f>
        <v>Pass</v>
      </c>
      <c r="K20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20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20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-5</v>
      </c>
      <c r="N206" s="4">
        <f>IF(ISNUMBER(Student­­Performance[[#This Row],[Math Score]]),Student­­Performance[[#This Row],[Math Score]],0)</f>
        <v>81</v>
      </c>
      <c r="O206" s="4">
        <f>IF(ISNUMBER(Student­­Performance[[#This Row],[Reading Score]]),Student­­Performance[[#This Row],[Reading Score]],0)</f>
        <v>80</v>
      </c>
      <c r="P206" s="4">
        <f>IF(ISNUMBER(Student­­Performance[[#This Row],[Writing Score]]),Student­­Performance[[#This Row],[Writing Score]],0)</f>
        <v>76</v>
      </c>
      <c r="Q206" s="4" t="str">
        <f>IF(Student­­Performance[[#This Row],[Math Score]]&gt;=50,"Pass","Fail")</f>
        <v>Pass</v>
      </c>
      <c r="R206" s="4" t="str">
        <f>IF(Student­­Performance[[#This Row],[Reading Score]]&gt;=50,"Pass","Fail")</f>
        <v>Pass</v>
      </c>
      <c r="S206" s="4" t="str">
        <f>IF(Student­­Performance[[#This Row],[Writing Score]]&gt;=50,"Pass","Fail")</f>
        <v>Pass</v>
      </c>
      <c r="T20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237</v>
      </c>
      <c r="U206" s="4" cm="1">
        <f t="array" ref="U206">IF(COUNT(F206:H206)=0,"", MAX(IF(ISNUMBER(F206:H206),F206:H206)) - MIN(IF(ISNUMBER(F206:H206),F206:H206)))</f>
        <v>5</v>
      </c>
      <c r="V206" s="4" t="str">
        <f>IF(U206="","",IF(U206&gt;25,"Outlier","Normal"))</f>
        <v>Normal</v>
      </c>
    </row>
    <row r="207" spans="1:22" x14ac:dyDescent="0.3">
      <c r="A207" s="1" t="s">
        <v>8</v>
      </c>
      <c r="B207" s="1" t="s">
        <v>21</v>
      </c>
      <c r="C207" s="1" t="s">
        <v>84</v>
      </c>
      <c r="D207" s="1" t="s">
        <v>20</v>
      </c>
      <c r="E207" s="1" t="s">
        <v>12</v>
      </c>
      <c r="F207" s="4">
        <v>71</v>
      </c>
      <c r="G207" s="4">
        <v>83</v>
      </c>
      <c r="H207" s="4">
        <v>83</v>
      </c>
      <c r="I207" s="4">
        <f>AVERAGE(Student­­Performance[[#This Row],[Math Score]],Student­­Performance[[#This Row],[Reading Score]],Student­­Performance[[#This Row],[Writing Score]])</f>
        <v>79</v>
      </c>
      <c r="J207" s="10" t="str">
        <f>IF(Student­­Performance[[#This Row],[Average Score]]&gt;=50,"Pass","Fail")</f>
        <v>Pass</v>
      </c>
      <c r="K20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20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20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207" s="4">
        <f>IF(ISNUMBER(Student­­Performance[[#This Row],[Math Score]]),Student­­Performance[[#This Row],[Math Score]],0)</f>
        <v>71</v>
      </c>
      <c r="O207" s="4">
        <f>IF(ISNUMBER(Student­­Performance[[#This Row],[Reading Score]]),Student­­Performance[[#This Row],[Reading Score]],0)</f>
        <v>83</v>
      </c>
      <c r="P207" s="4">
        <f>IF(ISNUMBER(Student­­Performance[[#This Row],[Writing Score]]),Student­­Performance[[#This Row],[Writing Score]],0)</f>
        <v>83</v>
      </c>
      <c r="Q207" s="4" t="str">
        <f>IF(Student­­Performance[[#This Row],[Math Score]]&gt;=50,"Pass","Fail")</f>
        <v>Pass</v>
      </c>
      <c r="R207" s="4" t="str">
        <f>IF(Student­­Performance[[#This Row],[Reading Score]]&gt;=50,"Pass","Fail")</f>
        <v>Pass</v>
      </c>
      <c r="S207" s="4" t="str">
        <f>IF(Student­­Performance[[#This Row],[Writing Score]]&gt;=50,"Pass","Fail")</f>
        <v>Pass</v>
      </c>
      <c r="T20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237</v>
      </c>
      <c r="U207" s="4" cm="1">
        <f t="array" ref="U207">IF(COUNT(F207:H207)=0,"", MAX(IF(ISNUMBER(F207:H207),F207:H207)) - MIN(IF(ISNUMBER(F207:H207),F207:H207)))</f>
        <v>12</v>
      </c>
      <c r="V207" s="4" t="str">
        <f>IF(U207="","",IF(U207&gt;25,"Outlier","Normal"))</f>
        <v>Normal</v>
      </c>
    </row>
    <row r="208" spans="1:22" x14ac:dyDescent="0.3">
      <c r="A208" s="1" t="s">
        <v>17</v>
      </c>
      <c r="B208" s="1" t="s">
        <v>26</v>
      </c>
      <c r="C208" s="1" t="s">
        <v>86</v>
      </c>
      <c r="D208" s="1" t="s">
        <v>11</v>
      </c>
      <c r="E208" s="1" t="s">
        <v>12</v>
      </c>
      <c r="F208" s="4">
        <v>87</v>
      </c>
      <c r="G208" s="4">
        <v>74</v>
      </c>
      <c r="H208" s="4">
        <v>76</v>
      </c>
      <c r="I208" s="4">
        <f>AVERAGE(Student­­Performance[[#This Row],[Math Score]],Student­­Performance[[#This Row],[Reading Score]],Student­­Performance[[#This Row],[Writing Score]])</f>
        <v>79</v>
      </c>
      <c r="J208" s="10" t="str">
        <f>IF(Student­­Performance[[#This Row],[Average Score]]&gt;=50,"Pass","Fail")</f>
        <v>Pass</v>
      </c>
      <c r="K20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-13</v>
      </c>
      <c r="L20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20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-11</v>
      </c>
      <c r="N208" s="4">
        <f>IF(ISNUMBER(Student­­Performance[[#This Row],[Math Score]]),Student­­Performance[[#This Row],[Math Score]],0)</f>
        <v>87</v>
      </c>
      <c r="O208" s="4">
        <f>IF(ISNUMBER(Student­­Performance[[#This Row],[Reading Score]]),Student­­Performance[[#This Row],[Reading Score]],0)</f>
        <v>74</v>
      </c>
      <c r="P208" s="4">
        <f>IF(ISNUMBER(Student­­Performance[[#This Row],[Writing Score]]),Student­­Performance[[#This Row],[Writing Score]],0)</f>
        <v>76</v>
      </c>
      <c r="Q208" s="4" t="str">
        <f>IF(Student­­Performance[[#This Row],[Math Score]]&gt;=50,"Pass","Fail")</f>
        <v>Pass</v>
      </c>
      <c r="R208" s="4" t="str">
        <f>IF(Student­­Performance[[#This Row],[Reading Score]]&gt;=50,"Pass","Fail")</f>
        <v>Pass</v>
      </c>
      <c r="S208" s="4" t="str">
        <f>IF(Student­­Performance[[#This Row],[Writing Score]]&gt;=50,"Pass","Fail")</f>
        <v>Pass</v>
      </c>
      <c r="T20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237</v>
      </c>
      <c r="U208" s="4" cm="1">
        <f t="array" ref="U208">IF(COUNT(F208:H208)=0,"", MAX(IF(ISNUMBER(F208:H208),F208:H208)) - MIN(IF(ISNUMBER(F208:H208),F208:H208)))</f>
        <v>13</v>
      </c>
      <c r="V208" s="4" t="str">
        <f>IF(U208="","",IF(U208&gt;25,"Outlier","Normal"))</f>
        <v>Normal</v>
      </c>
    </row>
    <row r="209" spans="1:22" x14ac:dyDescent="0.3">
      <c r="A209" s="1" t="s">
        <v>8</v>
      </c>
      <c r="B209" s="1" t="s">
        <v>13</v>
      </c>
      <c r="C209" s="1" t="s">
        <v>86</v>
      </c>
      <c r="D209" s="1" t="s">
        <v>11</v>
      </c>
      <c r="E209" s="1" t="s">
        <v>12</v>
      </c>
      <c r="F209" s="4">
        <v>81</v>
      </c>
      <c r="G209" s="4">
        <v>77</v>
      </c>
      <c r="H209" s="4">
        <v>79</v>
      </c>
      <c r="I209" s="4">
        <f>AVERAGE(Student­­Performance[[#This Row],[Math Score]],Student­­Performance[[#This Row],[Reading Score]],Student­­Performance[[#This Row],[Writing Score]])</f>
        <v>79</v>
      </c>
      <c r="J209" s="10" t="str">
        <f>IF(Student­­Performance[[#This Row],[Average Score]]&gt;=50,"Pass","Fail")</f>
        <v>Pass</v>
      </c>
      <c r="K20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20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20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209" s="4">
        <f>IF(ISNUMBER(Student­­Performance[[#This Row],[Math Score]]),Student­­Performance[[#This Row],[Math Score]],0)</f>
        <v>81</v>
      </c>
      <c r="O209" s="4">
        <f>IF(ISNUMBER(Student­­Performance[[#This Row],[Reading Score]]),Student­­Performance[[#This Row],[Reading Score]],0)</f>
        <v>77</v>
      </c>
      <c r="P209" s="4">
        <f>IF(ISNUMBER(Student­­Performance[[#This Row],[Writing Score]]),Student­­Performance[[#This Row],[Writing Score]],0)</f>
        <v>79</v>
      </c>
      <c r="Q209" s="4" t="str">
        <f>IF(Student­­Performance[[#This Row],[Math Score]]&gt;=50,"Pass","Fail")</f>
        <v>Pass</v>
      </c>
      <c r="R209" s="4" t="str">
        <f>IF(Student­­Performance[[#This Row],[Reading Score]]&gt;=50,"Pass","Fail")</f>
        <v>Pass</v>
      </c>
      <c r="S209" s="4" t="str">
        <f>IF(Student­­Performance[[#This Row],[Writing Score]]&gt;=50,"Pass","Fail")</f>
        <v>Pass</v>
      </c>
      <c r="T20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237</v>
      </c>
      <c r="U209" s="4" cm="1">
        <f t="array" ref="U209">IF(COUNT(F209:H209)=0,"", MAX(IF(ISNUMBER(F209:H209),F209:H209)) - MIN(IF(ISNUMBER(F209:H209),F209:H209)))</f>
        <v>4</v>
      </c>
      <c r="V209" s="4" t="str">
        <f>IF(U209="","",IF(U209&gt;25,"Outlier","Normal"))</f>
        <v>Normal</v>
      </c>
    </row>
    <row r="210" spans="1:22" x14ac:dyDescent="0.3">
      <c r="A210" s="1" t="s">
        <v>17</v>
      </c>
      <c r="B210" s="1" t="s">
        <v>21</v>
      </c>
      <c r="C210" s="1" t="s">
        <v>88</v>
      </c>
      <c r="D210" s="1" t="s">
        <v>11</v>
      </c>
      <c r="E210" s="1" t="s">
        <v>15</v>
      </c>
      <c r="F210" s="4">
        <v>88</v>
      </c>
      <c r="G210" s="4">
        <v>74</v>
      </c>
      <c r="H210" s="4">
        <v>75</v>
      </c>
      <c r="I210" s="4">
        <f>AVERAGE(Student­­Performance[[#This Row],[Math Score]],Student­­Performance[[#This Row],[Reading Score]],Student­­Performance[[#This Row],[Writing Score]])</f>
        <v>79</v>
      </c>
      <c r="J210" s="10" t="str">
        <f>IF(Student­­Performance[[#This Row],[Average Score]]&gt;=50,"Pass","Fail")</f>
        <v>Pass</v>
      </c>
      <c r="K21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-14</v>
      </c>
      <c r="L21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21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-13</v>
      </c>
      <c r="N210" s="4">
        <f>IF(ISNUMBER(Student­­Performance[[#This Row],[Math Score]]),Student­­Performance[[#This Row],[Math Score]],0)</f>
        <v>88</v>
      </c>
      <c r="O210" s="4">
        <f>IF(ISNUMBER(Student­­Performance[[#This Row],[Reading Score]]),Student­­Performance[[#This Row],[Reading Score]],0)</f>
        <v>74</v>
      </c>
      <c r="P210" s="4">
        <f>IF(ISNUMBER(Student­­Performance[[#This Row],[Writing Score]]),Student­­Performance[[#This Row],[Writing Score]],0)</f>
        <v>75</v>
      </c>
      <c r="Q210" s="4" t="str">
        <f>IF(Student­­Performance[[#This Row],[Math Score]]&gt;=50,"Pass","Fail")</f>
        <v>Pass</v>
      </c>
      <c r="R210" s="4" t="str">
        <f>IF(Student­­Performance[[#This Row],[Reading Score]]&gt;=50,"Pass","Fail")</f>
        <v>Pass</v>
      </c>
      <c r="S210" s="4" t="str">
        <f>IF(Student­­Performance[[#This Row],[Writing Score]]&gt;=50,"Pass","Fail")</f>
        <v>Pass</v>
      </c>
      <c r="T21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237</v>
      </c>
      <c r="U210" s="4" cm="1">
        <f t="array" ref="U210">IF(COUNT(F210:H210)=0,"", MAX(IF(ISNUMBER(F210:H210),F210:H210)) - MIN(IF(ISNUMBER(F210:H210),F210:H210)))</f>
        <v>14</v>
      </c>
      <c r="V210" s="4" t="str">
        <f>IF(U210="","",IF(U210&gt;25,"Outlier","Normal"))</f>
        <v>Normal</v>
      </c>
    </row>
    <row r="211" spans="1:22" x14ac:dyDescent="0.3">
      <c r="A211" s="1" t="s">
        <v>17</v>
      </c>
      <c r="B211" s="1" t="s">
        <v>21</v>
      </c>
      <c r="C211" s="1" t="s">
        <v>88</v>
      </c>
      <c r="D211" s="1" t="s">
        <v>11</v>
      </c>
      <c r="E211" s="1" t="s">
        <v>12</v>
      </c>
      <c r="F211" s="4">
        <v>81</v>
      </c>
      <c r="G211" s="4">
        <v>78</v>
      </c>
      <c r="H211" s="4">
        <v>78</v>
      </c>
      <c r="I211" s="4">
        <f>AVERAGE(Student­­Performance[[#This Row],[Math Score]],Student­­Performance[[#This Row],[Reading Score]],Student­­Performance[[#This Row],[Writing Score]])</f>
        <v>79</v>
      </c>
      <c r="J211" s="10" t="str">
        <f>IF(Student­­Performance[[#This Row],[Average Score]]&gt;=50,"Pass","Fail")</f>
        <v>Pass</v>
      </c>
      <c r="K21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21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21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211" s="4">
        <f>IF(ISNUMBER(Student­­Performance[[#This Row],[Math Score]]),Student­­Performance[[#This Row],[Math Score]],0)</f>
        <v>81</v>
      </c>
      <c r="O211" s="4">
        <f>IF(ISNUMBER(Student­­Performance[[#This Row],[Reading Score]]),Student­­Performance[[#This Row],[Reading Score]],0)</f>
        <v>78</v>
      </c>
      <c r="P211" s="4">
        <f>IF(ISNUMBER(Student­­Performance[[#This Row],[Writing Score]]),Student­­Performance[[#This Row],[Writing Score]],0)</f>
        <v>78</v>
      </c>
      <c r="Q211" s="4" t="str">
        <f>IF(Student­­Performance[[#This Row],[Math Score]]&gt;=50,"Pass","Fail")</f>
        <v>Pass</v>
      </c>
      <c r="R211" s="4" t="str">
        <f>IF(Student­­Performance[[#This Row],[Reading Score]]&gt;=50,"Pass","Fail")</f>
        <v>Pass</v>
      </c>
      <c r="S211" s="4" t="str">
        <f>IF(Student­­Performance[[#This Row],[Writing Score]]&gt;=50,"Pass","Fail")</f>
        <v>Pass</v>
      </c>
      <c r="T21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237</v>
      </c>
      <c r="U211" s="4" cm="1">
        <f t="array" ref="U211">IF(COUNT(F211:H211)=0,"", MAX(IF(ISNUMBER(F211:H211),F211:H211)) - MIN(IF(ISNUMBER(F211:H211),F211:H211)))</f>
        <v>3</v>
      </c>
      <c r="V211" s="4" t="str">
        <f>IF(U211="","",IF(U211&gt;25,"Outlier","Normal"))</f>
        <v>Normal</v>
      </c>
    </row>
    <row r="212" spans="1:22" x14ac:dyDescent="0.3">
      <c r="A212" s="1" t="s">
        <v>17</v>
      </c>
      <c r="B212" s="1" t="s">
        <v>26</v>
      </c>
      <c r="C212" s="1" t="s">
        <v>84</v>
      </c>
      <c r="D212" s="1" t="s">
        <v>11</v>
      </c>
      <c r="E212" s="1" t="s">
        <v>12</v>
      </c>
      <c r="F212" s="4">
        <v>83</v>
      </c>
      <c r="G212" s="4">
        <v>80</v>
      </c>
      <c r="H212" s="4">
        <v>73</v>
      </c>
      <c r="I212" s="4">
        <f>AVERAGE(Student­­Performance[[#This Row],[Math Score]],Student­­Performance[[#This Row],[Reading Score]],Student­­Performance[[#This Row],[Writing Score]])</f>
        <v>78.666666666666671</v>
      </c>
      <c r="J212" s="10" t="str">
        <f>IF(Student­­Performance[[#This Row],[Average Score]]&gt;=50,"Pass","Fail")</f>
        <v>Pass</v>
      </c>
      <c r="K21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21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21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-10</v>
      </c>
      <c r="N212" s="4">
        <f>IF(ISNUMBER(Student­­Performance[[#This Row],[Math Score]]),Student­­Performance[[#This Row],[Math Score]],0)</f>
        <v>83</v>
      </c>
      <c r="O212" s="4">
        <f>IF(ISNUMBER(Student­­Performance[[#This Row],[Reading Score]]),Student­­Performance[[#This Row],[Reading Score]],0)</f>
        <v>80</v>
      </c>
      <c r="P212" s="4">
        <f>IF(ISNUMBER(Student­­Performance[[#This Row],[Writing Score]]),Student­­Performance[[#This Row],[Writing Score]],0)</f>
        <v>73</v>
      </c>
      <c r="Q212" s="4" t="str">
        <f>IF(Student­­Performance[[#This Row],[Math Score]]&gt;=50,"Pass","Fail")</f>
        <v>Pass</v>
      </c>
      <c r="R212" s="4" t="str">
        <f>IF(Student­­Performance[[#This Row],[Reading Score]]&gt;=50,"Pass","Fail")</f>
        <v>Pass</v>
      </c>
      <c r="S212" s="4" t="str">
        <f>IF(Student­­Performance[[#This Row],[Writing Score]]&gt;=50,"Pass","Fail")</f>
        <v>Pass</v>
      </c>
      <c r="T21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236</v>
      </c>
      <c r="U212" s="4" cm="1">
        <f t="array" ref="U212">IF(COUNT(F212:H212)=0,"", MAX(IF(ISNUMBER(F212:H212),F212:H212)) - MIN(IF(ISNUMBER(F212:H212),F212:H212)))</f>
        <v>10</v>
      </c>
      <c r="V212" s="4" t="str">
        <f>IF(U212="","",IF(U212&gt;25,"Outlier","Normal"))</f>
        <v>Normal</v>
      </c>
    </row>
    <row r="213" spans="1:22" x14ac:dyDescent="0.3">
      <c r="A213" s="1" t="s">
        <v>8</v>
      </c>
      <c r="B213" s="1" t="s">
        <v>9</v>
      </c>
      <c r="C213" s="1" t="s">
        <v>83</v>
      </c>
      <c r="D213" s="1" t="s">
        <v>11</v>
      </c>
      <c r="E213" s="1" t="s">
        <v>12</v>
      </c>
      <c r="F213" s="4">
        <v>67</v>
      </c>
      <c r="G213" s="4">
        <v>86</v>
      </c>
      <c r="H213" s="4">
        <v>83</v>
      </c>
      <c r="I213" s="4">
        <f>AVERAGE(Student­­Performance[[#This Row],[Math Score]],Student­­Performance[[#This Row],[Reading Score]],Student­­Performance[[#This Row],[Writing Score]])</f>
        <v>78.666666666666671</v>
      </c>
      <c r="J213" s="10" t="str">
        <f>IF(Student­­Performance[[#This Row],[Average Score]]&gt;=50,"Pass","Fail")</f>
        <v>Pass</v>
      </c>
      <c r="K21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19</v>
      </c>
      <c r="L21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21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16</v>
      </c>
      <c r="N213" s="4">
        <f>IF(ISNUMBER(Student­­Performance[[#This Row],[Math Score]]),Student­­Performance[[#This Row],[Math Score]],0)</f>
        <v>67</v>
      </c>
      <c r="O213" s="4">
        <f>IF(ISNUMBER(Student­­Performance[[#This Row],[Reading Score]]),Student­­Performance[[#This Row],[Reading Score]],0)</f>
        <v>86</v>
      </c>
      <c r="P213" s="4">
        <f>IF(ISNUMBER(Student­­Performance[[#This Row],[Writing Score]]),Student­­Performance[[#This Row],[Writing Score]],0)</f>
        <v>83</v>
      </c>
      <c r="Q213" s="4" t="str">
        <f>IF(Student­­Performance[[#This Row],[Math Score]]&gt;=50,"Pass","Fail")</f>
        <v>Pass</v>
      </c>
      <c r="R213" s="4" t="str">
        <f>IF(Student­­Performance[[#This Row],[Reading Score]]&gt;=50,"Pass","Fail")</f>
        <v>Pass</v>
      </c>
      <c r="S213" s="4" t="str">
        <f>IF(Student­­Performance[[#This Row],[Writing Score]]&gt;=50,"Pass","Fail")</f>
        <v>Pass</v>
      </c>
      <c r="T21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236</v>
      </c>
      <c r="U213" s="4" cm="1">
        <f t="array" ref="U213">IF(COUNT(F213:H213)=0,"", MAX(IF(ISNUMBER(F213:H213),F213:H213)) - MIN(IF(ISNUMBER(F213:H213),F213:H213)))</f>
        <v>19</v>
      </c>
      <c r="V213" s="4" t="str">
        <f>IF(U213="","",IF(U213&gt;25,"Outlier","Normal"))</f>
        <v>Normal</v>
      </c>
    </row>
    <row r="214" spans="1:22" x14ac:dyDescent="0.3">
      <c r="A214" s="1" t="s">
        <v>17</v>
      </c>
      <c r="B214" s="1" t="s">
        <v>13</v>
      </c>
      <c r="C214" s="1" t="s">
        <v>84</v>
      </c>
      <c r="D214" s="1" t="s">
        <v>11</v>
      </c>
      <c r="E214" s="1" t="s">
        <v>15</v>
      </c>
      <c r="F214" s="4">
        <v>79</v>
      </c>
      <c r="G214" s="4">
        <v>79</v>
      </c>
      <c r="H214" s="4">
        <v>78</v>
      </c>
      <c r="I214" s="4">
        <f>AVERAGE(Student­­Performance[[#This Row],[Math Score]],Student­­Performance[[#This Row],[Reading Score]],Student­­Performance[[#This Row],[Writing Score]])</f>
        <v>78.666666666666671</v>
      </c>
      <c r="J214" s="10" t="str">
        <f>IF(Student­­Performance[[#This Row],[Average Score]]&gt;=50,"Pass","Fail")</f>
        <v>Pass</v>
      </c>
      <c r="K21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21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21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214" s="4">
        <f>IF(ISNUMBER(Student­­Performance[[#This Row],[Math Score]]),Student­­Performance[[#This Row],[Math Score]],0)</f>
        <v>79</v>
      </c>
      <c r="O214" s="4">
        <f>IF(ISNUMBER(Student­­Performance[[#This Row],[Reading Score]]),Student­­Performance[[#This Row],[Reading Score]],0)</f>
        <v>79</v>
      </c>
      <c r="P214" s="4">
        <f>IF(ISNUMBER(Student­­Performance[[#This Row],[Writing Score]]),Student­­Performance[[#This Row],[Writing Score]],0)</f>
        <v>78</v>
      </c>
      <c r="Q214" s="4" t="str">
        <f>IF(Student­­Performance[[#This Row],[Math Score]]&gt;=50,"Pass","Fail")</f>
        <v>Pass</v>
      </c>
      <c r="R214" s="4" t="str">
        <f>IF(Student­­Performance[[#This Row],[Reading Score]]&gt;=50,"Pass","Fail")</f>
        <v>Pass</v>
      </c>
      <c r="S214" s="4" t="str">
        <f>IF(Student­­Performance[[#This Row],[Writing Score]]&gt;=50,"Pass","Fail")</f>
        <v>Pass</v>
      </c>
      <c r="T21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236</v>
      </c>
      <c r="U214" s="4" cm="1">
        <f t="array" ref="U214">IF(COUNT(F214:H214)=0,"", MAX(IF(ISNUMBER(F214:H214),F214:H214)) - MIN(IF(ISNUMBER(F214:H214),F214:H214)))</f>
        <v>1</v>
      </c>
      <c r="V214" s="4" t="str">
        <f>IF(U214="","",IF(U214&gt;25,"Outlier","Normal"))</f>
        <v>Normal</v>
      </c>
    </row>
    <row r="215" spans="1:22" x14ac:dyDescent="0.3">
      <c r="A215" s="1" t="s">
        <v>8</v>
      </c>
      <c r="B215" s="1" t="s">
        <v>21</v>
      </c>
      <c r="C215" s="1" t="s">
        <v>83</v>
      </c>
      <c r="D215" s="1" t="s">
        <v>20</v>
      </c>
      <c r="E215" s="1" t="s">
        <v>12</v>
      </c>
      <c r="F215" s="4">
        <v>73</v>
      </c>
      <c r="G215" s="4">
        <v>79</v>
      </c>
      <c r="H215" s="4">
        <v>84</v>
      </c>
      <c r="I215" s="4">
        <f>AVERAGE(Student­­Performance[[#This Row],[Math Score]],Student­­Performance[[#This Row],[Reading Score]],Student­­Performance[[#This Row],[Writing Score]])</f>
        <v>78.666666666666671</v>
      </c>
      <c r="J215" s="10" t="str">
        <f>IF(Student­­Performance[[#This Row],[Average Score]]&gt;=50,"Pass","Fail")</f>
        <v>Pass</v>
      </c>
      <c r="K21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21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21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215" s="4">
        <f>IF(ISNUMBER(Student­­Performance[[#This Row],[Math Score]]),Student­­Performance[[#This Row],[Math Score]],0)</f>
        <v>73</v>
      </c>
      <c r="O215" s="4">
        <f>IF(ISNUMBER(Student­­Performance[[#This Row],[Reading Score]]),Student­­Performance[[#This Row],[Reading Score]],0)</f>
        <v>79</v>
      </c>
      <c r="P215" s="4">
        <f>IF(ISNUMBER(Student­­Performance[[#This Row],[Writing Score]]),Student­­Performance[[#This Row],[Writing Score]],0)</f>
        <v>84</v>
      </c>
      <c r="Q215" s="4" t="str">
        <f>IF(Student­­Performance[[#This Row],[Math Score]]&gt;=50,"Pass","Fail")</f>
        <v>Pass</v>
      </c>
      <c r="R215" s="4" t="str">
        <f>IF(Student­­Performance[[#This Row],[Reading Score]]&gt;=50,"Pass","Fail")</f>
        <v>Pass</v>
      </c>
      <c r="S215" s="4" t="str">
        <f>IF(Student­­Performance[[#This Row],[Writing Score]]&gt;=50,"Pass","Fail")</f>
        <v>Pass</v>
      </c>
      <c r="T21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236</v>
      </c>
      <c r="U215" s="4" cm="1">
        <f t="array" ref="U215">IF(COUNT(F215:H215)=0,"", MAX(IF(ISNUMBER(F215:H215),F215:H215)) - MIN(IF(ISNUMBER(F215:H215),F215:H215)))</f>
        <v>11</v>
      </c>
      <c r="V215" s="4" t="str">
        <f>IF(U215="","",IF(U215&gt;25,"Outlier","Normal"))</f>
        <v>Normal</v>
      </c>
    </row>
    <row r="216" spans="1:22" x14ac:dyDescent="0.3">
      <c r="A216" s="1" t="s">
        <v>8</v>
      </c>
      <c r="B216" s="1" t="s">
        <v>26</v>
      </c>
      <c r="C216" s="1" t="s">
        <v>88</v>
      </c>
      <c r="D216" s="1" t="s">
        <v>11</v>
      </c>
      <c r="E216" s="1" t="s">
        <v>12</v>
      </c>
      <c r="F216" s="4">
        <v>77</v>
      </c>
      <c r="G216" s="4">
        <v>79</v>
      </c>
      <c r="H216" s="4">
        <v>80</v>
      </c>
      <c r="I216" s="4">
        <f>AVERAGE(Student­­Performance[[#This Row],[Math Score]],Student­­Performance[[#This Row],[Reading Score]],Student­­Performance[[#This Row],[Writing Score]])</f>
        <v>78.666666666666671</v>
      </c>
      <c r="J216" s="10" t="str">
        <f>IF(Student­­Performance[[#This Row],[Average Score]]&gt;=50,"Pass","Fail")</f>
        <v>Pass</v>
      </c>
      <c r="K21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21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21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216" s="4">
        <f>IF(ISNUMBER(Student­­Performance[[#This Row],[Math Score]]),Student­­Performance[[#This Row],[Math Score]],0)</f>
        <v>77</v>
      </c>
      <c r="O216" s="4">
        <f>IF(ISNUMBER(Student­­Performance[[#This Row],[Reading Score]]),Student­­Performance[[#This Row],[Reading Score]],0)</f>
        <v>79</v>
      </c>
      <c r="P216" s="4">
        <f>IF(ISNUMBER(Student­­Performance[[#This Row],[Writing Score]]),Student­­Performance[[#This Row],[Writing Score]],0)</f>
        <v>80</v>
      </c>
      <c r="Q216" s="4" t="str">
        <f>IF(Student­­Performance[[#This Row],[Math Score]]&gt;=50,"Pass","Fail")</f>
        <v>Pass</v>
      </c>
      <c r="R216" s="4" t="str">
        <f>IF(Student­­Performance[[#This Row],[Reading Score]]&gt;=50,"Pass","Fail")</f>
        <v>Pass</v>
      </c>
      <c r="S216" s="4" t="str">
        <f>IF(Student­­Performance[[#This Row],[Writing Score]]&gt;=50,"Pass","Fail")</f>
        <v>Pass</v>
      </c>
      <c r="T21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236</v>
      </c>
      <c r="U216" s="4" cm="1">
        <f t="array" ref="U216">IF(COUNT(F216:H216)=0,"", MAX(IF(ISNUMBER(F216:H216),F216:H216)) - MIN(IF(ISNUMBER(F216:H216),F216:H216)))</f>
        <v>3</v>
      </c>
      <c r="V216" s="4" t="str">
        <f>IF(U216="","",IF(U216&gt;25,"Outlier","Normal"))</f>
        <v>Normal</v>
      </c>
    </row>
    <row r="217" spans="1:22" x14ac:dyDescent="0.3">
      <c r="A217" s="1" t="s">
        <v>17</v>
      </c>
      <c r="B217" s="1" t="s">
        <v>26</v>
      </c>
      <c r="C217" s="1" t="s">
        <v>84</v>
      </c>
      <c r="D217" s="1" t="s">
        <v>11</v>
      </c>
      <c r="E217" s="1" t="s">
        <v>12</v>
      </c>
      <c r="F217" s="4">
        <v>86</v>
      </c>
      <c r="G217" s="4">
        <v>76</v>
      </c>
      <c r="H217" s="4">
        <v>74</v>
      </c>
      <c r="I217" s="4">
        <f>AVERAGE(Student­­Performance[[#This Row],[Math Score]],Student­­Performance[[#This Row],[Reading Score]],Student­­Performance[[#This Row],[Writing Score]])</f>
        <v>78.666666666666671</v>
      </c>
      <c r="J217" s="10" t="str">
        <f>IF(Student­­Performance[[#This Row],[Average Score]]&gt;=50,"Pass","Fail")</f>
        <v>Pass</v>
      </c>
      <c r="K21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-10</v>
      </c>
      <c r="L21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21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-12</v>
      </c>
      <c r="N217" s="4">
        <f>IF(ISNUMBER(Student­­Performance[[#This Row],[Math Score]]),Student­­Performance[[#This Row],[Math Score]],0)</f>
        <v>86</v>
      </c>
      <c r="O217" s="4">
        <f>IF(ISNUMBER(Student­­Performance[[#This Row],[Reading Score]]),Student­­Performance[[#This Row],[Reading Score]],0)</f>
        <v>76</v>
      </c>
      <c r="P217" s="4">
        <f>IF(ISNUMBER(Student­­Performance[[#This Row],[Writing Score]]),Student­­Performance[[#This Row],[Writing Score]],0)</f>
        <v>74</v>
      </c>
      <c r="Q217" s="4" t="str">
        <f>IF(Student­­Performance[[#This Row],[Math Score]]&gt;=50,"Pass","Fail")</f>
        <v>Pass</v>
      </c>
      <c r="R217" s="4" t="str">
        <f>IF(Student­­Performance[[#This Row],[Reading Score]]&gt;=50,"Pass","Fail")</f>
        <v>Pass</v>
      </c>
      <c r="S217" s="4" t="str">
        <f>IF(Student­­Performance[[#This Row],[Writing Score]]&gt;=50,"Pass","Fail")</f>
        <v>Pass</v>
      </c>
      <c r="T21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236</v>
      </c>
      <c r="U217" s="4" cm="1">
        <f t="array" ref="U217">IF(COUNT(F217:H217)=0,"", MAX(IF(ISNUMBER(F217:H217),F217:H217)) - MIN(IF(ISNUMBER(F217:H217),F217:H217)))</f>
        <v>12</v>
      </c>
      <c r="V217" s="4" t="str">
        <f>IF(U217="","",IF(U217&gt;25,"Outlier","Normal"))</f>
        <v>Normal</v>
      </c>
    </row>
    <row r="218" spans="1:22" x14ac:dyDescent="0.3">
      <c r="A218" s="1" t="s">
        <v>8</v>
      </c>
      <c r="B218" s="1" t="s">
        <v>21</v>
      </c>
      <c r="C218" s="1" t="s">
        <v>88</v>
      </c>
      <c r="D218" s="1" t="s">
        <v>20</v>
      </c>
      <c r="E218" s="1" t="s">
        <v>15</v>
      </c>
      <c r="F218" s="4">
        <v>69</v>
      </c>
      <c r="G218" s="4">
        <v>86</v>
      </c>
      <c r="H218" s="4">
        <v>81</v>
      </c>
      <c r="I218" s="4">
        <f>AVERAGE(Student­­Performance[[#This Row],[Math Score]],Student­­Performance[[#This Row],[Reading Score]],Student­­Performance[[#This Row],[Writing Score]])</f>
        <v>78.666666666666671</v>
      </c>
      <c r="J218" s="10" t="str">
        <f>IF(Student­­Performance[[#This Row],[Average Score]]&gt;=50,"Pass","Fail")</f>
        <v>Pass</v>
      </c>
      <c r="K21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17</v>
      </c>
      <c r="L21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21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218" s="4">
        <f>IF(ISNUMBER(Student­­Performance[[#This Row],[Math Score]]),Student­­Performance[[#This Row],[Math Score]],0)</f>
        <v>69</v>
      </c>
      <c r="O218" s="4">
        <f>IF(ISNUMBER(Student­­Performance[[#This Row],[Reading Score]]),Student­­Performance[[#This Row],[Reading Score]],0)</f>
        <v>86</v>
      </c>
      <c r="P218" s="4">
        <f>IF(ISNUMBER(Student­­Performance[[#This Row],[Writing Score]]),Student­­Performance[[#This Row],[Writing Score]],0)</f>
        <v>81</v>
      </c>
      <c r="Q218" s="4" t="str">
        <f>IF(Student­­Performance[[#This Row],[Math Score]]&gt;=50,"Pass","Fail")</f>
        <v>Pass</v>
      </c>
      <c r="R218" s="4" t="str">
        <f>IF(Student­­Performance[[#This Row],[Reading Score]]&gt;=50,"Pass","Fail")</f>
        <v>Pass</v>
      </c>
      <c r="S218" s="4" t="str">
        <f>IF(Student­­Performance[[#This Row],[Writing Score]]&gt;=50,"Pass","Fail")</f>
        <v>Pass</v>
      </c>
      <c r="T21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236</v>
      </c>
      <c r="U218" s="4" cm="1">
        <f t="array" ref="U218">IF(COUNT(F218:H218)=0,"", MAX(IF(ISNUMBER(F218:H218),F218:H218)) - MIN(IF(ISNUMBER(F218:H218),F218:H218)))</f>
        <v>17</v>
      </c>
      <c r="V218" s="4" t="str">
        <f>IF(U218="","",IF(U218&gt;25,"Outlier","Normal"))</f>
        <v>Normal</v>
      </c>
    </row>
    <row r="219" spans="1:22" x14ac:dyDescent="0.3">
      <c r="A219" s="1" t="s">
        <v>8</v>
      </c>
      <c r="B219" s="1" t="s">
        <v>18</v>
      </c>
      <c r="C219" s="1" t="s">
        <v>87</v>
      </c>
      <c r="D219" s="1" t="s">
        <v>11</v>
      </c>
      <c r="E219" s="1" t="s">
        <v>15</v>
      </c>
      <c r="F219" s="4">
        <v>75</v>
      </c>
      <c r="G219" s="4">
        <v>82</v>
      </c>
      <c r="H219" s="4">
        <v>79</v>
      </c>
      <c r="I219" s="4">
        <f>AVERAGE(Student­­Performance[[#This Row],[Math Score]],Student­­Performance[[#This Row],[Reading Score]],Student­­Performance[[#This Row],[Writing Score]])</f>
        <v>78.666666666666671</v>
      </c>
      <c r="J219" s="10" t="str">
        <f>IF(Student­­Performance[[#This Row],[Average Score]]&gt;=50,"Pass","Fail")</f>
        <v>Pass</v>
      </c>
      <c r="K21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21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21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219" s="4">
        <f>IF(ISNUMBER(Student­­Performance[[#This Row],[Math Score]]),Student­­Performance[[#This Row],[Math Score]],0)</f>
        <v>75</v>
      </c>
      <c r="O219" s="4">
        <f>IF(ISNUMBER(Student­­Performance[[#This Row],[Reading Score]]),Student­­Performance[[#This Row],[Reading Score]],0)</f>
        <v>82</v>
      </c>
      <c r="P219" s="4">
        <f>IF(ISNUMBER(Student­­Performance[[#This Row],[Writing Score]]),Student­­Performance[[#This Row],[Writing Score]],0)</f>
        <v>79</v>
      </c>
      <c r="Q219" s="4" t="str">
        <f>IF(Student­­Performance[[#This Row],[Math Score]]&gt;=50,"Pass","Fail")</f>
        <v>Pass</v>
      </c>
      <c r="R219" s="4" t="str">
        <f>IF(Student­­Performance[[#This Row],[Reading Score]]&gt;=50,"Pass","Fail")</f>
        <v>Pass</v>
      </c>
      <c r="S219" s="4" t="str">
        <f>IF(Student­­Performance[[#This Row],[Writing Score]]&gt;=50,"Pass","Fail")</f>
        <v>Pass</v>
      </c>
      <c r="T21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236</v>
      </c>
      <c r="U219" s="4" cm="1">
        <f t="array" ref="U219">IF(COUNT(F219:H219)=0,"", MAX(IF(ISNUMBER(F219:H219),F219:H219)) - MIN(IF(ISNUMBER(F219:H219),F219:H219)))</f>
        <v>7</v>
      </c>
      <c r="V219" s="4" t="str">
        <f>IF(U219="","",IF(U219&gt;25,"Outlier","Normal"))</f>
        <v>Normal</v>
      </c>
    </row>
    <row r="220" spans="1:22" x14ac:dyDescent="0.3">
      <c r="A220" s="1" t="s">
        <v>8</v>
      </c>
      <c r="B220" s="1" t="s">
        <v>21</v>
      </c>
      <c r="C220" s="1" t="s">
        <v>84</v>
      </c>
      <c r="D220" s="1" t="s">
        <v>20</v>
      </c>
      <c r="E220" s="1" t="s">
        <v>15</v>
      </c>
      <c r="F220" s="4">
        <v>67</v>
      </c>
      <c r="G220" s="4">
        <v>86</v>
      </c>
      <c r="H220" s="4">
        <v>83</v>
      </c>
      <c r="I220" s="4">
        <f>AVERAGE(Student­­Performance[[#This Row],[Math Score]],Student­­Performance[[#This Row],[Reading Score]],Student­­Performance[[#This Row],[Writing Score]])</f>
        <v>78.666666666666671</v>
      </c>
      <c r="J220" s="10" t="str">
        <f>IF(Student­­Performance[[#This Row],[Average Score]]&gt;=50,"Pass","Fail")</f>
        <v>Pass</v>
      </c>
      <c r="K22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19</v>
      </c>
      <c r="L22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22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16</v>
      </c>
      <c r="N220" s="4">
        <f>IF(ISNUMBER(Student­­Performance[[#This Row],[Math Score]]),Student­­Performance[[#This Row],[Math Score]],0)</f>
        <v>67</v>
      </c>
      <c r="O220" s="4">
        <f>IF(ISNUMBER(Student­­Performance[[#This Row],[Reading Score]]),Student­­Performance[[#This Row],[Reading Score]],0)</f>
        <v>86</v>
      </c>
      <c r="P220" s="4">
        <f>IF(ISNUMBER(Student­­Performance[[#This Row],[Writing Score]]),Student­­Performance[[#This Row],[Writing Score]],0)</f>
        <v>83</v>
      </c>
      <c r="Q220" s="4" t="str">
        <f>IF(Student­­Performance[[#This Row],[Math Score]]&gt;=50,"Pass","Fail")</f>
        <v>Pass</v>
      </c>
      <c r="R220" s="4" t="str">
        <f>IF(Student­­Performance[[#This Row],[Reading Score]]&gt;=50,"Pass","Fail")</f>
        <v>Pass</v>
      </c>
      <c r="S220" s="4" t="str">
        <f>IF(Student­­Performance[[#This Row],[Writing Score]]&gt;=50,"Pass","Fail")</f>
        <v>Pass</v>
      </c>
      <c r="T22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236</v>
      </c>
      <c r="U220" s="4" cm="1">
        <f t="array" ref="U220">IF(COUNT(F220:H220)=0,"", MAX(IF(ISNUMBER(F220:H220),F220:H220)) - MIN(IF(ISNUMBER(F220:H220),F220:H220)))</f>
        <v>19</v>
      </c>
      <c r="V220" s="4" t="str">
        <f>IF(U220="","",IF(U220&gt;25,"Outlier","Normal"))</f>
        <v>Normal</v>
      </c>
    </row>
    <row r="221" spans="1:22" x14ac:dyDescent="0.3">
      <c r="A221" s="1" t="s">
        <v>8</v>
      </c>
      <c r="B221" s="1" t="s">
        <v>13</v>
      </c>
      <c r="C221" s="1" t="s">
        <v>84</v>
      </c>
      <c r="D221" s="1" t="s">
        <v>11</v>
      </c>
      <c r="E221" s="1" t="s">
        <v>12</v>
      </c>
      <c r="F221" s="4">
        <v>73</v>
      </c>
      <c r="G221" s="4">
        <v>80</v>
      </c>
      <c r="H221" s="4">
        <v>82</v>
      </c>
      <c r="I221" s="4">
        <f>AVERAGE(Student­­Performance[[#This Row],[Math Score]],Student­­Performance[[#This Row],[Reading Score]],Student­­Performance[[#This Row],[Writing Score]])</f>
        <v>78.333333333333329</v>
      </c>
      <c r="J221" s="10" t="str">
        <f>IF(Student­­Performance[[#This Row],[Average Score]]&gt;=50,"Pass","Fail")</f>
        <v>Pass</v>
      </c>
      <c r="K22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22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22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221" s="4">
        <f>IF(ISNUMBER(Student­­Performance[[#This Row],[Math Score]]),Student­­Performance[[#This Row],[Math Score]],0)</f>
        <v>73</v>
      </c>
      <c r="O221" s="4">
        <f>IF(ISNUMBER(Student­­Performance[[#This Row],[Reading Score]]),Student­­Performance[[#This Row],[Reading Score]],0)</f>
        <v>80</v>
      </c>
      <c r="P221" s="4">
        <f>IF(ISNUMBER(Student­­Performance[[#This Row],[Writing Score]]),Student­­Performance[[#This Row],[Writing Score]],0)</f>
        <v>82</v>
      </c>
      <c r="Q221" s="4" t="str">
        <f>IF(Student­­Performance[[#This Row],[Math Score]]&gt;=50,"Pass","Fail")</f>
        <v>Pass</v>
      </c>
      <c r="R221" s="4" t="str">
        <f>IF(Student­­Performance[[#This Row],[Reading Score]]&gt;=50,"Pass","Fail")</f>
        <v>Pass</v>
      </c>
      <c r="S221" s="4" t="str">
        <f>IF(Student­­Performance[[#This Row],[Writing Score]]&gt;=50,"Pass","Fail")</f>
        <v>Pass</v>
      </c>
      <c r="T22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235</v>
      </c>
      <c r="U221" s="4" cm="1">
        <f t="array" ref="U221">IF(COUNT(F221:H221)=0,"", MAX(IF(ISNUMBER(F221:H221),F221:H221)) - MIN(IF(ISNUMBER(F221:H221),F221:H221)))</f>
        <v>9</v>
      </c>
      <c r="V221" s="4" t="str">
        <f>IF(U221="","",IF(U221&gt;25,"Outlier","Normal"))</f>
        <v>Normal</v>
      </c>
    </row>
    <row r="222" spans="1:22" x14ac:dyDescent="0.3">
      <c r="A222" s="1" t="s">
        <v>17</v>
      </c>
      <c r="B222" s="1" t="s">
        <v>13</v>
      </c>
      <c r="C222" s="1" t="s">
        <v>87</v>
      </c>
      <c r="D222" s="1" t="s">
        <v>11</v>
      </c>
      <c r="E222" s="1" t="s">
        <v>12</v>
      </c>
      <c r="F222" s="4">
        <v>84</v>
      </c>
      <c r="G222" s="4">
        <v>77</v>
      </c>
      <c r="H222" s="4">
        <v>74</v>
      </c>
      <c r="I222" s="4">
        <f>AVERAGE(Student­­Performance[[#This Row],[Math Score]],Student­­Performance[[#This Row],[Reading Score]],Student­­Performance[[#This Row],[Writing Score]])</f>
        <v>78.333333333333329</v>
      </c>
      <c r="J222" s="10" t="str">
        <f>IF(Student­­Performance[[#This Row],[Average Score]]&gt;=50,"Pass","Fail")</f>
        <v>Pass</v>
      </c>
      <c r="K22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-7</v>
      </c>
      <c r="L22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22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-10</v>
      </c>
      <c r="N222" s="4">
        <f>IF(ISNUMBER(Student­­Performance[[#This Row],[Math Score]]),Student­­Performance[[#This Row],[Math Score]],0)</f>
        <v>84</v>
      </c>
      <c r="O222" s="4">
        <f>IF(ISNUMBER(Student­­Performance[[#This Row],[Reading Score]]),Student­­Performance[[#This Row],[Reading Score]],0)</f>
        <v>77</v>
      </c>
      <c r="P222" s="4">
        <f>IF(ISNUMBER(Student­­Performance[[#This Row],[Writing Score]]),Student­­Performance[[#This Row],[Writing Score]],0)</f>
        <v>74</v>
      </c>
      <c r="Q222" s="4" t="str">
        <f>IF(Student­­Performance[[#This Row],[Math Score]]&gt;=50,"Pass","Fail")</f>
        <v>Pass</v>
      </c>
      <c r="R222" s="4" t="str">
        <f>IF(Student­­Performance[[#This Row],[Reading Score]]&gt;=50,"Pass","Fail")</f>
        <v>Pass</v>
      </c>
      <c r="S222" s="4" t="str">
        <f>IF(Student­­Performance[[#This Row],[Writing Score]]&gt;=50,"Pass","Fail")</f>
        <v>Pass</v>
      </c>
      <c r="T22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235</v>
      </c>
      <c r="U222" s="4" cm="1">
        <f t="array" ref="U222">IF(COUNT(F222:H222)=0,"", MAX(IF(ISNUMBER(F222:H222),F222:H222)) - MIN(IF(ISNUMBER(F222:H222),F222:H222)))</f>
        <v>10</v>
      </c>
      <c r="V222" s="4" t="str">
        <f>IF(U222="","",IF(U222&gt;25,"Outlier","Normal"))</f>
        <v>Normal</v>
      </c>
    </row>
    <row r="223" spans="1:22" x14ac:dyDescent="0.3">
      <c r="A223" s="1" t="s">
        <v>17</v>
      </c>
      <c r="B223" s="1" t="s">
        <v>21</v>
      </c>
      <c r="C223" s="1" t="s">
        <v>87</v>
      </c>
      <c r="D223" s="1" t="s">
        <v>20</v>
      </c>
      <c r="E223" s="1" t="s">
        <v>15</v>
      </c>
      <c r="F223" s="4">
        <v>78</v>
      </c>
      <c r="G223" s="4">
        <v>77</v>
      </c>
      <c r="H223" s="4">
        <v>80</v>
      </c>
      <c r="I223" s="4">
        <f>AVERAGE(Student­­Performance[[#This Row],[Math Score]],Student­­Performance[[#This Row],[Reading Score]],Student­­Performance[[#This Row],[Writing Score]])</f>
        <v>78.333333333333329</v>
      </c>
      <c r="J223" s="10" t="str">
        <f>IF(Student­­Performance[[#This Row],[Average Score]]&gt;=50,"Pass","Fail")</f>
        <v>Pass</v>
      </c>
      <c r="K22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22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22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223" s="4">
        <f>IF(ISNUMBER(Student­­Performance[[#This Row],[Math Score]]),Student­­Performance[[#This Row],[Math Score]],0)</f>
        <v>78</v>
      </c>
      <c r="O223" s="4">
        <f>IF(ISNUMBER(Student­­Performance[[#This Row],[Reading Score]]),Student­­Performance[[#This Row],[Reading Score]],0)</f>
        <v>77</v>
      </c>
      <c r="P223" s="4">
        <f>IF(ISNUMBER(Student­­Performance[[#This Row],[Writing Score]]),Student­­Performance[[#This Row],[Writing Score]],0)</f>
        <v>80</v>
      </c>
      <c r="Q223" s="4" t="str">
        <f>IF(Student­­Performance[[#This Row],[Math Score]]&gt;=50,"Pass","Fail")</f>
        <v>Pass</v>
      </c>
      <c r="R223" s="4" t="str">
        <f>IF(Student­­Performance[[#This Row],[Reading Score]]&gt;=50,"Pass","Fail")</f>
        <v>Pass</v>
      </c>
      <c r="S223" s="4" t="str">
        <f>IF(Student­­Performance[[#This Row],[Writing Score]]&gt;=50,"Pass","Fail")</f>
        <v>Pass</v>
      </c>
      <c r="T22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235</v>
      </c>
      <c r="U223" s="4" cm="1">
        <f t="array" ref="U223">IF(COUNT(F223:H223)=0,"", MAX(IF(ISNUMBER(F223:H223),F223:H223)) - MIN(IF(ISNUMBER(F223:H223),F223:H223)))</f>
        <v>3</v>
      </c>
      <c r="V223" s="4" t="str">
        <f>IF(U223="","",IF(U223&gt;25,"Outlier","Normal"))</f>
        <v>Normal</v>
      </c>
    </row>
    <row r="224" spans="1:22" x14ac:dyDescent="0.3">
      <c r="A224" s="1" t="s">
        <v>8</v>
      </c>
      <c r="B224" s="1" t="s">
        <v>21</v>
      </c>
      <c r="C224" s="1" t="s">
        <v>85</v>
      </c>
      <c r="D224" s="1" t="s">
        <v>11</v>
      </c>
      <c r="E224" s="1" t="s">
        <v>12</v>
      </c>
      <c r="F224" s="4">
        <v>74</v>
      </c>
      <c r="G224" s="4">
        <v>79</v>
      </c>
      <c r="H224" s="4">
        <v>82</v>
      </c>
      <c r="I224" s="4">
        <f>AVERAGE(Student­­Performance[[#This Row],[Math Score]],Student­­Performance[[#This Row],[Reading Score]],Student­­Performance[[#This Row],[Writing Score]])</f>
        <v>78.333333333333329</v>
      </c>
      <c r="J224" s="10" t="str">
        <f>IF(Student­­Performance[[#This Row],[Average Score]]&gt;=50,"Pass","Fail")</f>
        <v>Pass</v>
      </c>
      <c r="K22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22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22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224" s="4">
        <f>IF(ISNUMBER(Student­­Performance[[#This Row],[Math Score]]),Student­­Performance[[#This Row],[Math Score]],0)</f>
        <v>74</v>
      </c>
      <c r="O224" s="4">
        <f>IF(ISNUMBER(Student­­Performance[[#This Row],[Reading Score]]),Student­­Performance[[#This Row],[Reading Score]],0)</f>
        <v>79</v>
      </c>
      <c r="P224" s="4">
        <f>IF(ISNUMBER(Student­­Performance[[#This Row],[Writing Score]]),Student­­Performance[[#This Row],[Writing Score]],0)</f>
        <v>82</v>
      </c>
      <c r="Q224" s="4" t="str">
        <f>IF(Student­­Performance[[#This Row],[Math Score]]&gt;=50,"Pass","Fail")</f>
        <v>Pass</v>
      </c>
      <c r="R224" s="4" t="str">
        <f>IF(Student­­Performance[[#This Row],[Reading Score]]&gt;=50,"Pass","Fail")</f>
        <v>Pass</v>
      </c>
      <c r="S224" s="4" t="str">
        <f>IF(Student­­Performance[[#This Row],[Writing Score]]&gt;=50,"Pass","Fail")</f>
        <v>Pass</v>
      </c>
      <c r="T22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235</v>
      </c>
      <c r="U224" s="4" cm="1">
        <f t="array" ref="U224">IF(COUNT(F224:H224)=0,"", MAX(IF(ISNUMBER(F224:H224),F224:H224)) - MIN(IF(ISNUMBER(F224:H224),F224:H224)))</f>
        <v>8</v>
      </c>
      <c r="V224" s="4" t="str">
        <f>IF(U224="","",IF(U224&gt;25,"Outlier","Normal"))</f>
        <v>Normal</v>
      </c>
    </row>
    <row r="225" spans="1:22" x14ac:dyDescent="0.3">
      <c r="A225" s="1" t="s">
        <v>8</v>
      </c>
      <c r="B225" s="1" t="s">
        <v>13</v>
      </c>
      <c r="C225" s="1" t="s">
        <v>87</v>
      </c>
      <c r="D225" s="1" t="s">
        <v>11</v>
      </c>
      <c r="E225" s="1" t="s">
        <v>12</v>
      </c>
      <c r="F225" s="4">
        <v>72</v>
      </c>
      <c r="G225" s="4">
        <v>80</v>
      </c>
      <c r="H225" s="4">
        <v>83</v>
      </c>
      <c r="I225" s="4">
        <f>AVERAGE(Student­­Performance[[#This Row],[Math Score]],Student­­Performance[[#This Row],[Reading Score]],Student­­Performance[[#This Row],[Writing Score]])</f>
        <v>78.333333333333329</v>
      </c>
      <c r="J225" s="10" t="str">
        <f>IF(Student­­Performance[[#This Row],[Average Score]]&gt;=50,"Pass","Fail")</f>
        <v>Pass</v>
      </c>
      <c r="K22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22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22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225" s="4">
        <f>IF(ISNUMBER(Student­­Performance[[#This Row],[Math Score]]),Student­­Performance[[#This Row],[Math Score]],0)</f>
        <v>72</v>
      </c>
      <c r="O225" s="4">
        <f>IF(ISNUMBER(Student­­Performance[[#This Row],[Reading Score]]),Student­­Performance[[#This Row],[Reading Score]],0)</f>
        <v>80</v>
      </c>
      <c r="P225" s="4">
        <f>IF(ISNUMBER(Student­­Performance[[#This Row],[Writing Score]]),Student­­Performance[[#This Row],[Writing Score]],0)</f>
        <v>83</v>
      </c>
      <c r="Q225" s="4" t="str">
        <f>IF(Student­­Performance[[#This Row],[Math Score]]&gt;=50,"Pass","Fail")</f>
        <v>Pass</v>
      </c>
      <c r="R225" s="4" t="str">
        <f>IF(Student­­Performance[[#This Row],[Reading Score]]&gt;=50,"Pass","Fail")</f>
        <v>Pass</v>
      </c>
      <c r="S225" s="4" t="str">
        <f>IF(Student­­Performance[[#This Row],[Writing Score]]&gt;=50,"Pass","Fail")</f>
        <v>Pass</v>
      </c>
      <c r="T22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235</v>
      </c>
      <c r="U225" s="4" cm="1">
        <f t="array" ref="U225">IF(COUNT(F225:H225)=0,"", MAX(IF(ISNUMBER(F225:H225),F225:H225)) - MIN(IF(ISNUMBER(F225:H225),F225:H225)))</f>
        <v>11</v>
      </c>
      <c r="V225" s="4" t="str">
        <f>IF(U225="","",IF(U225&gt;25,"Outlier","Normal"))</f>
        <v>Normal</v>
      </c>
    </row>
    <row r="226" spans="1:22" x14ac:dyDescent="0.3">
      <c r="A226" s="1" t="s">
        <v>8</v>
      </c>
      <c r="B226" s="1" t="s">
        <v>21</v>
      </c>
      <c r="C226" s="1" t="s">
        <v>88</v>
      </c>
      <c r="D226" s="1" t="s">
        <v>20</v>
      </c>
      <c r="E226" s="1" t="s">
        <v>12</v>
      </c>
      <c r="F226" s="4">
        <v>67</v>
      </c>
      <c r="G226" s="4">
        <v>84</v>
      </c>
      <c r="H226" s="4">
        <v>84</v>
      </c>
      <c r="I226" s="4">
        <f>AVERAGE(Student­­Performance[[#This Row],[Math Score]],Student­­Performance[[#This Row],[Reading Score]],Student­­Performance[[#This Row],[Writing Score]])</f>
        <v>78.333333333333329</v>
      </c>
      <c r="J226" s="10" t="str">
        <f>IF(Student­­Performance[[#This Row],[Average Score]]&gt;=50,"Pass","Fail")</f>
        <v>Pass</v>
      </c>
      <c r="K22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17</v>
      </c>
      <c r="L22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22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17</v>
      </c>
      <c r="N226" s="4">
        <f>IF(ISNUMBER(Student­­Performance[[#This Row],[Math Score]]),Student­­Performance[[#This Row],[Math Score]],0)</f>
        <v>67</v>
      </c>
      <c r="O226" s="4">
        <f>IF(ISNUMBER(Student­­Performance[[#This Row],[Reading Score]]),Student­­Performance[[#This Row],[Reading Score]],0)</f>
        <v>84</v>
      </c>
      <c r="P226" s="4">
        <f>IF(ISNUMBER(Student­­Performance[[#This Row],[Writing Score]]),Student­­Performance[[#This Row],[Writing Score]],0)</f>
        <v>84</v>
      </c>
      <c r="Q226" s="4" t="str">
        <f>IF(Student­­Performance[[#This Row],[Math Score]]&gt;=50,"Pass","Fail")</f>
        <v>Pass</v>
      </c>
      <c r="R226" s="4" t="str">
        <f>IF(Student­­Performance[[#This Row],[Reading Score]]&gt;=50,"Pass","Fail")</f>
        <v>Pass</v>
      </c>
      <c r="S226" s="4" t="str">
        <f>IF(Student­­Performance[[#This Row],[Writing Score]]&gt;=50,"Pass","Fail")</f>
        <v>Pass</v>
      </c>
      <c r="T22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235</v>
      </c>
      <c r="U226" s="4" cm="1">
        <f t="array" ref="U226">IF(COUNT(F226:H226)=0,"", MAX(IF(ISNUMBER(F226:H226),F226:H226)) - MIN(IF(ISNUMBER(F226:H226),F226:H226)))</f>
        <v>17</v>
      </c>
      <c r="V226" s="4" t="str">
        <f>IF(U226="","",IF(U226&gt;25,"Outlier","Normal"))</f>
        <v>Normal</v>
      </c>
    </row>
    <row r="227" spans="1:22" x14ac:dyDescent="0.3">
      <c r="A227" s="1" t="s">
        <v>8</v>
      </c>
      <c r="B227" s="1" t="s">
        <v>18</v>
      </c>
      <c r="C227" s="1" t="s">
        <v>84</v>
      </c>
      <c r="D227" s="1" t="s">
        <v>11</v>
      </c>
      <c r="E227" s="1" t="s">
        <v>12</v>
      </c>
      <c r="F227" s="4">
        <v>69</v>
      </c>
      <c r="G227" s="4">
        <v>84</v>
      </c>
      <c r="H227" s="4">
        <v>82</v>
      </c>
      <c r="I227" s="4">
        <f>AVERAGE(Student­­Performance[[#This Row],[Math Score]],Student­­Performance[[#This Row],[Reading Score]],Student­­Performance[[#This Row],[Writing Score]])</f>
        <v>78.333333333333329</v>
      </c>
      <c r="J227" s="10" t="str">
        <f>IF(Student­­Performance[[#This Row],[Average Score]]&gt;=50,"Pass","Fail")</f>
        <v>Pass</v>
      </c>
      <c r="K22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15</v>
      </c>
      <c r="L22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22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13</v>
      </c>
      <c r="N227" s="4">
        <f>IF(ISNUMBER(Student­­Performance[[#This Row],[Math Score]]),Student­­Performance[[#This Row],[Math Score]],0)</f>
        <v>69</v>
      </c>
      <c r="O227" s="4">
        <f>IF(ISNUMBER(Student­­Performance[[#This Row],[Reading Score]]),Student­­Performance[[#This Row],[Reading Score]],0)</f>
        <v>84</v>
      </c>
      <c r="P227" s="4">
        <f>IF(ISNUMBER(Student­­Performance[[#This Row],[Writing Score]]),Student­­Performance[[#This Row],[Writing Score]],0)</f>
        <v>82</v>
      </c>
      <c r="Q227" s="4" t="str">
        <f>IF(Student­­Performance[[#This Row],[Math Score]]&gt;=50,"Pass","Fail")</f>
        <v>Pass</v>
      </c>
      <c r="R227" s="4" t="str">
        <f>IF(Student­­Performance[[#This Row],[Reading Score]]&gt;=50,"Pass","Fail")</f>
        <v>Pass</v>
      </c>
      <c r="S227" s="4" t="str">
        <f>IF(Student­­Performance[[#This Row],[Writing Score]]&gt;=50,"Pass","Fail")</f>
        <v>Pass</v>
      </c>
      <c r="T22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235</v>
      </c>
      <c r="U227" s="4" cm="1">
        <f t="array" ref="U227">IF(COUNT(F227:H227)=0,"", MAX(IF(ISNUMBER(F227:H227),F227:H227)) - MIN(IF(ISNUMBER(F227:H227),F227:H227)))</f>
        <v>15</v>
      </c>
      <c r="V227" s="4" t="str">
        <f>IF(U227="","",IF(U227&gt;25,"Outlier","Normal"))</f>
        <v>Normal</v>
      </c>
    </row>
    <row r="228" spans="1:22" x14ac:dyDescent="0.3">
      <c r="A228" s="1" t="s">
        <v>8</v>
      </c>
      <c r="B228" s="1" t="s">
        <v>21</v>
      </c>
      <c r="C228" s="1" t="s">
        <v>84</v>
      </c>
      <c r="D228" s="1" t="s">
        <v>11</v>
      </c>
      <c r="E228" s="1" t="s">
        <v>15</v>
      </c>
      <c r="F228" s="4">
        <v>75</v>
      </c>
      <c r="G228" s="4">
        <v>77</v>
      </c>
      <c r="H228" s="4">
        <v>83</v>
      </c>
      <c r="I228" s="4">
        <f>AVERAGE(Student­­Performance[[#This Row],[Math Score]],Student­­Performance[[#This Row],[Reading Score]],Student­­Performance[[#This Row],[Writing Score]])</f>
        <v>78.333333333333329</v>
      </c>
      <c r="J228" s="10" t="str">
        <f>IF(Student­­Performance[[#This Row],[Average Score]]&gt;=50,"Pass","Fail")</f>
        <v>Pass</v>
      </c>
      <c r="K22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22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22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228" s="4">
        <f>IF(ISNUMBER(Student­­Performance[[#This Row],[Math Score]]),Student­­Performance[[#This Row],[Math Score]],0)</f>
        <v>75</v>
      </c>
      <c r="O228" s="4">
        <f>IF(ISNUMBER(Student­­Performance[[#This Row],[Reading Score]]),Student­­Performance[[#This Row],[Reading Score]],0)</f>
        <v>77</v>
      </c>
      <c r="P228" s="4">
        <f>IF(ISNUMBER(Student­­Performance[[#This Row],[Writing Score]]),Student­­Performance[[#This Row],[Writing Score]],0)</f>
        <v>83</v>
      </c>
      <c r="Q228" s="4" t="str">
        <f>IF(Student­­Performance[[#This Row],[Math Score]]&gt;=50,"Pass","Fail")</f>
        <v>Pass</v>
      </c>
      <c r="R228" s="4" t="str">
        <f>IF(Student­­Performance[[#This Row],[Reading Score]]&gt;=50,"Pass","Fail")</f>
        <v>Pass</v>
      </c>
      <c r="S228" s="4" t="str">
        <f>IF(Student­­Performance[[#This Row],[Writing Score]]&gt;=50,"Pass","Fail")</f>
        <v>Pass</v>
      </c>
      <c r="T22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235</v>
      </c>
      <c r="U228" s="4" cm="1">
        <f t="array" ref="U228">IF(COUNT(F228:H228)=0,"", MAX(IF(ISNUMBER(F228:H228),F228:H228)) - MIN(IF(ISNUMBER(F228:H228),F228:H228)))</f>
        <v>8</v>
      </c>
      <c r="V228" s="4" t="str">
        <f>IF(U228="","",IF(U228&gt;25,"Outlier","Normal"))</f>
        <v>Normal</v>
      </c>
    </row>
    <row r="229" spans="1:22" x14ac:dyDescent="0.3">
      <c r="A229" s="1" t="s">
        <v>8</v>
      </c>
      <c r="B229" s="1" t="s">
        <v>9</v>
      </c>
      <c r="C229" s="1" t="s">
        <v>86</v>
      </c>
      <c r="D229" s="1" t="s">
        <v>11</v>
      </c>
      <c r="E229" s="1" t="s">
        <v>15</v>
      </c>
      <c r="F229" s="4">
        <v>61</v>
      </c>
      <c r="G229" s="4">
        <v>86</v>
      </c>
      <c r="H229" s="4">
        <v>87</v>
      </c>
      <c r="I229" s="4">
        <f>AVERAGE(Student­­Performance[[#This Row],[Math Score]],Student­­Performance[[#This Row],[Reading Score]],Student­­Performance[[#This Row],[Writing Score]])</f>
        <v>78</v>
      </c>
      <c r="J229" s="10" t="str">
        <f>IF(Student­­Performance[[#This Row],[Average Score]]&gt;=50,"Pass","Fail")</f>
        <v>Pass</v>
      </c>
      <c r="K22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25</v>
      </c>
      <c r="L22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22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26</v>
      </c>
      <c r="N229" s="4">
        <f>IF(ISNUMBER(Student­­Performance[[#This Row],[Math Score]]),Student­­Performance[[#This Row],[Math Score]],0)</f>
        <v>61</v>
      </c>
      <c r="O229" s="4">
        <f>IF(ISNUMBER(Student­­Performance[[#This Row],[Reading Score]]),Student­­Performance[[#This Row],[Reading Score]],0)</f>
        <v>86</v>
      </c>
      <c r="P229" s="4">
        <f>IF(ISNUMBER(Student­­Performance[[#This Row],[Writing Score]]),Student­­Performance[[#This Row],[Writing Score]],0)</f>
        <v>87</v>
      </c>
      <c r="Q229" s="4" t="str">
        <f>IF(Student­­Performance[[#This Row],[Math Score]]&gt;=50,"Pass","Fail")</f>
        <v>Pass</v>
      </c>
      <c r="R229" s="4" t="str">
        <f>IF(Student­­Performance[[#This Row],[Reading Score]]&gt;=50,"Pass","Fail")</f>
        <v>Pass</v>
      </c>
      <c r="S229" s="4" t="str">
        <f>IF(Student­­Performance[[#This Row],[Writing Score]]&gt;=50,"Pass","Fail")</f>
        <v>Pass</v>
      </c>
      <c r="T22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234</v>
      </c>
      <c r="U229" s="4" cm="1">
        <f t="array" ref="U229">IF(COUNT(F229:H229)=0,"", MAX(IF(ISNUMBER(F229:H229),F229:H229)) - MIN(IF(ISNUMBER(F229:H229),F229:H229)))</f>
        <v>26</v>
      </c>
      <c r="V229" s="4" t="str">
        <f>IF(U229="","",IF(U229&gt;25,"Outlier","Normal"))</f>
        <v>Outlier</v>
      </c>
    </row>
    <row r="230" spans="1:22" x14ac:dyDescent="0.3">
      <c r="A230" s="1" t="s">
        <v>17</v>
      </c>
      <c r="B230" s="1" t="s">
        <v>9</v>
      </c>
      <c r="C230" s="1" t="s">
        <v>86</v>
      </c>
      <c r="D230" s="1" t="s">
        <v>20</v>
      </c>
      <c r="E230" s="1" t="s">
        <v>15</v>
      </c>
      <c r="F230" s="4">
        <v>82</v>
      </c>
      <c r="G230" s="4">
        <v>78</v>
      </c>
      <c r="H230" s="4">
        <v>74</v>
      </c>
      <c r="I230" s="4">
        <f>AVERAGE(Student­­Performance[[#This Row],[Math Score]],Student­­Performance[[#This Row],[Reading Score]],Student­­Performance[[#This Row],[Writing Score]])</f>
        <v>78</v>
      </c>
      <c r="J230" s="10" t="str">
        <f>IF(Student­­Performance[[#This Row],[Average Score]]&gt;=50,"Pass","Fail")</f>
        <v>Pass</v>
      </c>
      <c r="K23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23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23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230" s="4">
        <f>IF(ISNUMBER(Student­­Performance[[#This Row],[Math Score]]),Student­­Performance[[#This Row],[Math Score]],0)</f>
        <v>82</v>
      </c>
      <c r="O230" s="4">
        <f>IF(ISNUMBER(Student­­Performance[[#This Row],[Reading Score]]),Student­­Performance[[#This Row],[Reading Score]],0)</f>
        <v>78</v>
      </c>
      <c r="P230" s="4">
        <f>IF(ISNUMBER(Student­­Performance[[#This Row],[Writing Score]]),Student­­Performance[[#This Row],[Writing Score]],0)</f>
        <v>74</v>
      </c>
      <c r="Q230" s="4" t="str">
        <f>IF(Student­­Performance[[#This Row],[Math Score]]&gt;=50,"Pass","Fail")</f>
        <v>Pass</v>
      </c>
      <c r="R230" s="4" t="str">
        <f>IF(Student­­Performance[[#This Row],[Reading Score]]&gt;=50,"Pass","Fail")</f>
        <v>Pass</v>
      </c>
      <c r="S230" s="4" t="str">
        <f>IF(Student­­Performance[[#This Row],[Writing Score]]&gt;=50,"Pass","Fail")</f>
        <v>Pass</v>
      </c>
      <c r="T23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234</v>
      </c>
      <c r="U230" s="4" cm="1">
        <f t="array" ref="U230">IF(COUNT(F230:H230)=0,"", MAX(IF(ISNUMBER(F230:H230),F230:H230)) - MIN(IF(ISNUMBER(F230:H230),F230:H230)))</f>
        <v>8</v>
      </c>
      <c r="V230" s="4" t="str">
        <f>IF(U230="","",IF(U230&gt;25,"Outlier","Normal"))</f>
        <v>Normal</v>
      </c>
    </row>
    <row r="231" spans="1:22" x14ac:dyDescent="0.3">
      <c r="A231" s="1" t="s">
        <v>17</v>
      </c>
      <c r="B231" s="1" t="s">
        <v>13</v>
      </c>
      <c r="C231" s="1" t="s">
        <v>83</v>
      </c>
      <c r="D231" s="1" t="s">
        <v>11</v>
      </c>
      <c r="E231" s="1" t="s">
        <v>12</v>
      </c>
      <c r="F231" s="4">
        <v>83</v>
      </c>
      <c r="G231" s="4">
        <v>78</v>
      </c>
      <c r="H231" s="4">
        <v>73</v>
      </c>
      <c r="I231" s="4">
        <f>AVERAGE(Student­­Performance[[#This Row],[Math Score]],Student­­Performance[[#This Row],[Reading Score]],Student­­Performance[[#This Row],[Writing Score]])</f>
        <v>78</v>
      </c>
      <c r="J231" s="10" t="str">
        <f>IF(Student­­Performance[[#This Row],[Average Score]]&gt;=50,"Pass","Fail")</f>
        <v>Pass</v>
      </c>
      <c r="K23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23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23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-10</v>
      </c>
      <c r="N231" s="4">
        <f>IF(ISNUMBER(Student­­Performance[[#This Row],[Math Score]]),Student­­Performance[[#This Row],[Math Score]],0)</f>
        <v>83</v>
      </c>
      <c r="O231" s="4">
        <f>IF(ISNUMBER(Student­­Performance[[#This Row],[Reading Score]]),Student­­Performance[[#This Row],[Reading Score]],0)</f>
        <v>78</v>
      </c>
      <c r="P231" s="4">
        <f>IF(ISNUMBER(Student­­Performance[[#This Row],[Writing Score]]),Student­­Performance[[#This Row],[Writing Score]],0)</f>
        <v>73</v>
      </c>
      <c r="Q231" s="4" t="str">
        <f>IF(Student­­Performance[[#This Row],[Math Score]]&gt;=50,"Pass","Fail")</f>
        <v>Pass</v>
      </c>
      <c r="R231" s="4" t="str">
        <f>IF(Student­­Performance[[#This Row],[Reading Score]]&gt;=50,"Pass","Fail")</f>
        <v>Pass</v>
      </c>
      <c r="S231" s="4" t="str">
        <f>IF(Student­­Performance[[#This Row],[Writing Score]]&gt;=50,"Pass","Fail")</f>
        <v>Pass</v>
      </c>
      <c r="T23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234</v>
      </c>
      <c r="U231" s="4" cm="1">
        <f t="array" ref="U231">IF(COUNT(F231:H231)=0,"", MAX(IF(ISNUMBER(F231:H231),F231:H231)) - MIN(IF(ISNUMBER(F231:H231),F231:H231)))</f>
        <v>10</v>
      </c>
      <c r="V231" s="4" t="str">
        <f>IF(U231="","",IF(U231&gt;25,"Outlier","Normal"))</f>
        <v>Normal</v>
      </c>
    </row>
    <row r="232" spans="1:22" x14ac:dyDescent="0.3">
      <c r="A232" s="1" t="s">
        <v>17</v>
      </c>
      <c r="B232" s="1" t="s">
        <v>13</v>
      </c>
      <c r="C232" s="1" t="s">
        <v>86</v>
      </c>
      <c r="D232" s="1" t="s">
        <v>11</v>
      </c>
      <c r="E232" s="1" t="s">
        <v>15</v>
      </c>
      <c r="F232" s="4">
        <v>82</v>
      </c>
      <c r="G232" s="4">
        <v>75</v>
      </c>
      <c r="H232" s="4">
        <v>77</v>
      </c>
      <c r="I232" s="4">
        <f>AVERAGE(Student­­Performance[[#This Row],[Math Score]],Student­­Performance[[#This Row],[Reading Score]],Student­­Performance[[#This Row],[Writing Score]])</f>
        <v>78</v>
      </c>
      <c r="J232" s="10" t="str">
        <f>IF(Student­­Performance[[#This Row],[Average Score]]&gt;=50,"Pass","Fail")</f>
        <v>Pass</v>
      </c>
      <c r="K23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-7</v>
      </c>
      <c r="L23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23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-5</v>
      </c>
      <c r="N232" s="4">
        <f>IF(ISNUMBER(Student­­Performance[[#This Row],[Math Score]]),Student­­Performance[[#This Row],[Math Score]],0)</f>
        <v>82</v>
      </c>
      <c r="O232" s="4">
        <f>IF(ISNUMBER(Student­­Performance[[#This Row],[Reading Score]]),Student­­Performance[[#This Row],[Reading Score]],0)</f>
        <v>75</v>
      </c>
      <c r="P232" s="4">
        <f>IF(ISNUMBER(Student­­Performance[[#This Row],[Writing Score]]),Student­­Performance[[#This Row],[Writing Score]],0)</f>
        <v>77</v>
      </c>
      <c r="Q232" s="4" t="str">
        <f>IF(Student­­Performance[[#This Row],[Math Score]]&gt;=50,"Pass","Fail")</f>
        <v>Pass</v>
      </c>
      <c r="R232" s="4" t="str">
        <f>IF(Student­­Performance[[#This Row],[Reading Score]]&gt;=50,"Pass","Fail")</f>
        <v>Pass</v>
      </c>
      <c r="S232" s="4" t="str">
        <f>IF(Student­­Performance[[#This Row],[Writing Score]]&gt;=50,"Pass","Fail")</f>
        <v>Pass</v>
      </c>
      <c r="T23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234</v>
      </c>
      <c r="U232" s="4" cm="1">
        <f t="array" ref="U232">IF(COUNT(F232:H232)=0,"", MAX(IF(ISNUMBER(F232:H232),F232:H232)) - MIN(IF(ISNUMBER(F232:H232),F232:H232)))</f>
        <v>7</v>
      </c>
      <c r="V232" s="4" t="str">
        <f>IF(U232="","",IF(U232&gt;25,"Outlier","Normal"))</f>
        <v>Normal</v>
      </c>
    </row>
    <row r="233" spans="1:22" x14ac:dyDescent="0.3">
      <c r="A233" s="1" t="s">
        <v>17</v>
      </c>
      <c r="B233" s="1" t="s">
        <v>18</v>
      </c>
      <c r="C233" s="1" t="s">
        <v>88</v>
      </c>
      <c r="D233" s="1" t="s">
        <v>20</v>
      </c>
      <c r="E233" s="1" t="s">
        <v>12</v>
      </c>
      <c r="F233" s="4">
        <v>79</v>
      </c>
      <c r="G233" s="4">
        <v>82</v>
      </c>
      <c r="H233" s="4">
        <v>73</v>
      </c>
      <c r="I233" s="4">
        <f>AVERAGE(Student­­Performance[[#This Row],[Math Score]],Student­­Performance[[#This Row],[Reading Score]],Student­­Performance[[#This Row],[Writing Score]])</f>
        <v>78</v>
      </c>
      <c r="J233" s="10" t="str">
        <f>IF(Student­­Performance[[#This Row],[Average Score]]&gt;=50,"Pass","Fail")</f>
        <v>Pass</v>
      </c>
      <c r="K23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23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-9</v>
      </c>
      <c r="M23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233" s="4">
        <f>IF(ISNUMBER(Student­­Performance[[#This Row],[Math Score]]),Student­­Performance[[#This Row],[Math Score]],0)</f>
        <v>79</v>
      </c>
      <c r="O233" s="4">
        <f>IF(ISNUMBER(Student­­Performance[[#This Row],[Reading Score]]),Student­­Performance[[#This Row],[Reading Score]],0)</f>
        <v>82</v>
      </c>
      <c r="P233" s="4">
        <f>IF(ISNUMBER(Student­­Performance[[#This Row],[Writing Score]]),Student­­Performance[[#This Row],[Writing Score]],0)</f>
        <v>73</v>
      </c>
      <c r="Q233" s="4" t="str">
        <f>IF(Student­­Performance[[#This Row],[Math Score]]&gt;=50,"Pass","Fail")</f>
        <v>Pass</v>
      </c>
      <c r="R233" s="4" t="str">
        <f>IF(Student­­Performance[[#This Row],[Reading Score]]&gt;=50,"Pass","Fail")</f>
        <v>Pass</v>
      </c>
      <c r="S233" s="4" t="str">
        <f>IF(Student­­Performance[[#This Row],[Writing Score]]&gt;=50,"Pass","Fail")</f>
        <v>Pass</v>
      </c>
      <c r="T23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234</v>
      </c>
      <c r="U233" s="4" cm="1">
        <f t="array" ref="U233">IF(COUNT(F233:H233)=0,"", MAX(IF(ISNUMBER(F233:H233),F233:H233)) - MIN(IF(ISNUMBER(F233:H233),F233:H233)))</f>
        <v>9</v>
      </c>
      <c r="V233" s="4" t="str">
        <f>IF(U233="","",IF(U233&gt;25,"Outlier","Normal"))</f>
        <v>Normal</v>
      </c>
    </row>
    <row r="234" spans="1:22" x14ac:dyDescent="0.3">
      <c r="A234" s="1" t="s">
        <v>8</v>
      </c>
      <c r="B234" s="1" t="s">
        <v>13</v>
      </c>
      <c r="C234" s="1" t="s">
        <v>84</v>
      </c>
      <c r="D234" s="1" t="s">
        <v>20</v>
      </c>
      <c r="E234" s="1" t="s">
        <v>15</v>
      </c>
      <c r="F234" s="4">
        <v>64</v>
      </c>
      <c r="G234" s="4">
        <v>85</v>
      </c>
      <c r="H234" s="4">
        <v>85</v>
      </c>
      <c r="I234" s="4">
        <f>AVERAGE(Student­­Performance[[#This Row],[Math Score]],Student­­Performance[[#This Row],[Reading Score]],Student­­Performance[[#This Row],[Writing Score]])</f>
        <v>78</v>
      </c>
      <c r="J234" s="10" t="str">
        <f>IF(Student­­Performance[[#This Row],[Average Score]]&gt;=50,"Pass","Fail")</f>
        <v>Pass</v>
      </c>
      <c r="K23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21</v>
      </c>
      <c r="L23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23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21</v>
      </c>
      <c r="N234" s="4">
        <f>IF(ISNUMBER(Student­­Performance[[#This Row],[Math Score]]),Student­­Performance[[#This Row],[Math Score]],0)</f>
        <v>64</v>
      </c>
      <c r="O234" s="4">
        <f>IF(ISNUMBER(Student­­Performance[[#This Row],[Reading Score]]),Student­­Performance[[#This Row],[Reading Score]],0)</f>
        <v>85</v>
      </c>
      <c r="P234" s="4">
        <f>IF(ISNUMBER(Student­­Performance[[#This Row],[Writing Score]]),Student­­Performance[[#This Row],[Writing Score]],0)</f>
        <v>85</v>
      </c>
      <c r="Q234" s="4" t="str">
        <f>IF(Student­­Performance[[#This Row],[Math Score]]&gt;=50,"Pass","Fail")</f>
        <v>Pass</v>
      </c>
      <c r="R234" s="4" t="str">
        <f>IF(Student­­Performance[[#This Row],[Reading Score]]&gt;=50,"Pass","Fail")</f>
        <v>Pass</v>
      </c>
      <c r="S234" s="4" t="str">
        <f>IF(Student­­Performance[[#This Row],[Writing Score]]&gt;=50,"Pass","Fail")</f>
        <v>Pass</v>
      </c>
      <c r="T23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234</v>
      </c>
      <c r="U234" s="4" cm="1">
        <f t="array" ref="U234">IF(COUNT(F234:H234)=0,"", MAX(IF(ISNUMBER(F234:H234),F234:H234)) - MIN(IF(ISNUMBER(F234:H234),F234:H234)))</f>
        <v>21</v>
      </c>
      <c r="V234" s="4" t="str">
        <f>IF(U234="","",IF(U234&gt;25,"Outlier","Normal"))</f>
        <v>Normal</v>
      </c>
    </row>
    <row r="235" spans="1:22" x14ac:dyDescent="0.3">
      <c r="A235" s="1" t="s">
        <v>17</v>
      </c>
      <c r="B235" s="1" t="s">
        <v>13</v>
      </c>
      <c r="C235" s="1" t="s">
        <v>85</v>
      </c>
      <c r="D235" s="1" t="s">
        <v>11</v>
      </c>
      <c r="E235" s="1" t="s">
        <v>12</v>
      </c>
      <c r="F235" s="4">
        <v>79</v>
      </c>
      <c r="G235" s="4">
        <v>78</v>
      </c>
      <c r="H235" s="4">
        <v>77</v>
      </c>
      <c r="I235" s="4">
        <f>AVERAGE(Student­­Performance[[#This Row],[Math Score]],Student­­Performance[[#This Row],[Reading Score]],Student­­Performance[[#This Row],[Writing Score]])</f>
        <v>78</v>
      </c>
      <c r="J235" s="10" t="str">
        <f>IF(Student­­Performance[[#This Row],[Average Score]]&gt;=50,"Pass","Fail")</f>
        <v>Pass</v>
      </c>
      <c r="K23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23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23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235" s="4">
        <f>IF(ISNUMBER(Student­­Performance[[#This Row],[Math Score]]),Student­­Performance[[#This Row],[Math Score]],0)</f>
        <v>79</v>
      </c>
      <c r="O235" s="4">
        <f>IF(ISNUMBER(Student­­Performance[[#This Row],[Reading Score]]),Student­­Performance[[#This Row],[Reading Score]],0)</f>
        <v>78</v>
      </c>
      <c r="P235" s="4">
        <f>IF(ISNUMBER(Student­­Performance[[#This Row],[Writing Score]]),Student­­Performance[[#This Row],[Writing Score]],0)</f>
        <v>77</v>
      </c>
      <c r="Q235" s="4" t="str">
        <f>IF(Student­­Performance[[#This Row],[Math Score]]&gt;=50,"Pass","Fail")</f>
        <v>Pass</v>
      </c>
      <c r="R235" s="4" t="str">
        <f>IF(Student­­Performance[[#This Row],[Reading Score]]&gt;=50,"Pass","Fail")</f>
        <v>Pass</v>
      </c>
      <c r="S235" s="4" t="str">
        <f>IF(Student­­Performance[[#This Row],[Writing Score]]&gt;=50,"Pass","Fail")</f>
        <v>Pass</v>
      </c>
      <c r="T23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234</v>
      </c>
      <c r="U235" s="4" cm="1">
        <f t="array" ref="U235">IF(COUNT(F235:H235)=0,"", MAX(IF(ISNUMBER(F235:H235),F235:H235)) - MIN(IF(ISNUMBER(F235:H235),F235:H235)))</f>
        <v>2</v>
      </c>
      <c r="V235" s="4" t="str">
        <f>IF(U235="","",IF(U235&gt;25,"Outlier","Normal"))</f>
        <v>Normal</v>
      </c>
    </row>
    <row r="236" spans="1:22" x14ac:dyDescent="0.3">
      <c r="A236" s="1" t="s">
        <v>8</v>
      </c>
      <c r="B236" s="1" t="s">
        <v>26</v>
      </c>
      <c r="C236" s="1" t="s">
        <v>84</v>
      </c>
      <c r="D236" s="1" t="s">
        <v>11</v>
      </c>
      <c r="E236" s="1" t="s">
        <v>12</v>
      </c>
      <c r="F236" s="4">
        <v>76</v>
      </c>
      <c r="G236" s="4">
        <v>78</v>
      </c>
      <c r="H236" s="4">
        <v>80</v>
      </c>
      <c r="I236" s="4">
        <f>AVERAGE(Student­­Performance[[#This Row],[Math Score]],Student­­Performance[[#This Row],[Reading Score]],Student­­Performance[[#This Row],[Writing Score]])</f>
        <v>78</v>
      </c>
      <c r="J236" s="10" t="str">
        <f>IF(Student­­Performance[[#This Row],[Average Score]]&gt;=50,"Pass","Fail")</f>
        <v>Pass</v>
      </c>
      <c r="K23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23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23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236" s="4">
        <f>IF(ISNUMBER(Student­­Performance[[#This Row],[Math Score]]),Student­­Performance[[#This Row],[Math Score]],0)</f>
        <v>76</v>
      </c>
      <c r="O236" s="4">
        <f>IF(ISNUMBER(Student­­Performance[[#This Row],[Reading Score]]),Student­­Performance[[#This Row],[Reading Score]],0)</f>
        <v>78</v>
      </c>
      <c r="P236" s="4">
        <f>IF(ISNUMBER(Student­­Performance[[#This Row],[Writing Score]]),Student­­Performance[[#This Row],[Writing Score]],0)</f>
        <v>80</v>
      </c>
      <c r="Q236" s="4" t="str">
        <f>IF(Student­­Performance[[#This Row],[Math Score]]&gt;=50,"Pass","Fail")</f>
        <v>Pass</v>
      </c>
      <c r="R236" s="4" t="str">
        <f>IF(Student­­Performance[[#This Row],[Reading Score]]&gt;=50,"Pass","Fail")</f>
        <v>Pass</v>
      </c>
      <c r="S236" s="4" t="str">
        <f>IF(Student­­Performance[[#This Row],[Writing Score]]&gt;=50,"Pass","Fail")</f>
        <v>Pass</v>
      </c>
      <c r="T23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234</v>
      </c>
      <c r="U236" s="4" cm="1">
        <f t="array" ref="U236">IF(COUNT(F236:H236)=0,"", MAX(IF(ISNUMBER(F236:H236),F236:H236)) - MIN(IF(ISNUMBER(F236:H236),F236:H236)))</f>
        <v>4</v>
      </c>
      <c r="V236" s="4" t="str">
        <f>IF(U236="","",IF(U236&gt;25,"Outlier","Normal"))</f>
        <v>Normal</v>
      </c>
    </row>
    <row r="237" spans="1:22" x14ac:dyDescent="0.3">
      <c r="A237" s="1" t="s">
        <v>17</v>
      </c>
      <c r="B237" s="1" t="s">
        <v>13</v>
      </c>
      <c r="C237" s="1" t="s">
        <v>87</v>
      </c>
      <c r="D237" s="1" t="s">
        <v>11</v>
      </c>
      <c r="E237" s="1" t="s">
        <v>12</v>
      </c>
      <c r="F237" s="4">
        <v>90</v>
      </c>
      <c r="G237" s="4">
        <v>75</v>
      </c>
      <c r="H237" s="4">
        <v>69</v>
      </c>
      <c r="I237" s="4">
        <f>AVERAGE(Student­­Performance[[#This Row],[Math Score]],Student­­Performance[[#This Row],[Reading Score]],Student­­Performance[[#This Row],[Writing Score]])</f>
        <v>78</v>
      </c>
      <c r="J237" s="10" t="str">
        <f>IF(Student­­Performance[[#This Row],[Average Score]]&gt;=50,"Pass","Fail")</f>
        <v>Pass</v>
      </c>
      <c r="K23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-15</v>
      </c>
      <c r="L23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23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-21</v>
      </c>
      <c r="N237" s="4">
        <f>IF(ISNUMBER(Student­­Performance[[#This Row],[Math Score]]),Student­­Performance[[#This Row],[Math Score]],0)</f>
        <v>90</v>
      </c>
      <c r="O237" s="4">
        <f>IF(ISNUMBER(Student­­Performance[[#This Row],[Reading Score]]),Student­­Performance[[#This Row],[Reading Score]],0)</f>
        <v>75</v>
      </c>
      <c r="P237" s="4">
        <f>IF(ISNUMBER(Student­­Performance[[#This Row],[Writing Score]]),Student­­Performance[[#This Row],[Writing Score]],0)</f>
        <v>69</v>
      </c>
      <c r="Q237" s="4" t="str">
        <f>IF(Student­­Performance[[#This Row],[Math Score]]&gt;=50,"Pass","Fail")</f>
        <v>Pass</v>
      </c>
      <c r="R237" s="4" t="str">
        <f>IF(Student­­Performance[[#This Row],[Reading Score]]&gt;=50,"Pass","Fail")</f>
        <v>Pass</v>
      </c>
      <c r="S237" s="4" t="str">
        <f>IF(Student­­Performance[[#This Row],[Writing Score]]&gt;=50,"Pass","Fail")</f>
        <v>Pass</v>
      </c>
      <c r="T23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234</v>
      </c>
      <c r="U237" s="4" cm="1">
        <f t="array" ref="U237">IF(COUNT(F237:H237)=0,"", MAX(IF(ISNUMBER(F237:H237),F237:H237)) - MIN(IF(ISNUMBER(F237:H237),F237:H237)))</f>
        <v>21</v>
      </c>
      <c r="V237" s="4" t="str">
        <f>IF(U237="","",IF(U237&gt;25,"Outlier","Normal"))</f>
        <v>Normal</v>
      </c>
    </row>
    <row r="238" spans="1:22" x14ac:dyDescent="0.3">
      <c r="A238" s="1" t="s">
        <v>17</v>
      </c>
      <c r="B238" s="1" t="s">
        <v>21</v>
      </c>
      <c r="C238" s="1" t="s">
        <v>86</v>
      </c>
      <c r="D238" s="1" t="s">
        <v>20</v>
      </c>
      <c r="E238" s="1" t="s">
        <v>12</v>
      </c>
      <c r="F238" s="4">
        <v>81</v>
      </c>
      <c r="G238" s="4">
        <v>75</v>
      </c>
      <c r="H238" s="4">
        <v>78</v>
      </c>
      <c r="I238" s="4">
        <f>AVERAGE(Student­­Performance[[#This Row],[Math Score]],Student­­Performance[[#This Row],[Reading Score]],Student­­Performance[[#This Row],[Writing Score]])</f>
        <v>78</v>
      </c>
      <c r="J238" s="10" t="str">
        <f>IF(Student­­Performance[[#This Row],[Average Score]]&gt;=50,"Pass","Fail")</f>
        <v>Pass</v>
      </c>
      <c r="K23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23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23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238" s="4">
        <f>IF(ISNUMBER(Student­­Performance[[#This Row],[Math Score]]),Student­­Performance[[#This Row],[Math Score]],0)</f>
        <v>81</v>
      </c>
      <c r="O238" s="4">
        <f>IF(ISNUMBER(Student­­Performance[[#This Row],[Reading Score]]),Student­­Performance[[#This Row],[Reading Score]],0)</f>
        <v>75</v>
      </c>
      <c r="P238" s="4">
        <f>IF(ISNUMBER(Student­­Performance[[#This Row],[Writing Score]]),Student­­Performance[[#This Row],[Writing Score]],0)</f>
        <v>78</v>
      </c>
      <c r="Q238" s="4" t="str">
        <f>IF(Student­­Performance[[#This Row],[Math Score]]&gt;=50,"Pass","Fail")</f>
        <v>Pass</v>
      </c>
      <c r="R238" s="4" t="str">
        <f>IF(Student­­Performance[[#This Row],[Reading Score]]&gt;=50,"Pass","Fail")</f>
        <v>Pass</v>
      </c>
      <c r="S238" s="4" t="str">
        <f>IF(Student­­Performance[[#This Row],[Writing Score]]&gt;=50,"Pass","Fail")</f>
        <v>Pass</v>
      </c>
      <c r="T23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234</v>
      </c>
      <c r="U238" s="4" cm="1">
        <f t="array" ref="U238">IF(COUNT(F238:H238)=0,"", MAX(IF(ISNUMBER(F238:H238),F238:H238)) - MIN(IF(ISNUMBER(F238:H238),F238:H238)))</f>
        <v>6</v>
      </c>
      <c r="V238" s="4" t="str">
        <f>IF(U238="","",IF(U238&gt;25,"Outlier","Normal"))</f>
        <v>Normal</v>
      </c>
    </row>
    <row r="239" spans="1:22" x14ac:dyDescent="0.3">
      <c r="A239" s="1" t="s">
        <v>8</v>
      </c>
      <c r="B239" s="1" t="s">
        <v>9</v>
      </c>
      <c r="C239" s="1" t="s">
        <v>83</v>
      </c>
      <c r="D239" s="1" t="s">
        <v>20</v>
      </c>
      <c r="E239" s="1" t="s">
        <v>12</v>
      </c>
      <c r="F239" s="4">
        <v>78</v>
      </c>
      <c r="G239" s="4">
        <v>79</v>
      </c>
      <c r="H239" s="4">
        <v>76</v>
      </c>
      <c r="I239" s="4">
        <f>AVERAGE(Student­­Performance[[#This Row],[Math Score]],Student­­Performance[[#This Row],[Reading Score]],Student­­Performance[[#This Row],[Writing Score]])</f>
        <v>77.666666666666671</v>
      </c>
      <c r="J239" s="10" t="str">
        <f>IF(Student­­Performance[[#This Row],[Average Score]]&gt;=50,"Pass","Fail")</f>
        <v>Pass</v>
      </c>
      <c r="K23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23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23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239" s="4">
        <f>IF(ISNUMBER(Student­­Performance[[#This Row],[Math Score]]),Student­­Performance[[#This Row],[Math Score]],0)</f>
        <v>78</v>
      </c>
      <c r="O239" s="4">
        <f>IF(ISNUMBER(Student­­Performance[[#This Row],[Reading Score]]),Student­­Performance[[#This Row],[Reading Score]],0)</f>
        <v>79</v>
      </c>
      <c r="P239" s="4">
        <f>IF(ISNUMBER(Student­­Performance[[#This Row],[Writing Score]]),Student­­Performance[[#This Row],[Writing Score]],0)</f>
        <v>76</v>
      </c>
      <c r="Q239" s="4" t="str">
        <f>IF(Student­­Performance[[#This Row],[Math Score]]&gt;=50,"Pass","Fail")</f>
        <v>Pass</v>
      </c>
      <c r="R239" s="4" t="str">
        <f>IF(Student­­Performance[[#This Row],[Reading Score]]&gt;=50,"Pass","Fail")</f>
        <v>Pass</v>
      </c>
      <c r="S239" s="4" t="str">
        <f>IF(Student­­Performance[[#This Row],[Writing Score]]&gt;=50,"Pass","Fail")</f>
        <v>Pass</v>
      </c>
      <c r="T23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233</v>
      </c>
      <c r="U239" s="4" cm="1">
        <f t="array" ref="U239">IF(COUNT(F239:H239)=0,"", MAX(IF(ISNUMBER(F239:H239),F239:H239)) - MIN(IF(ISNUMBER(F239:H239),F239:H239)))</f>
        <v>3</v>
      </c>
      <c r="V239" s="4" t="str">
        <f>IF(U239="","",IF(U239&gt;25,"Outlier","Normal"))</f>
        <v>Normal</v>
      </c>
    </row>
    <row r="240" spans="1:22" x14ac:dyDescent="0.3">
      <c r="A240" s="1" t="s">
        <v>17</v>
      </c>
      <c r="B240" s="1" t="s">
        <v>13</v>
      </c>
      <c r="C240" s="1" t="s">
        <v>86</v>
      </c>
      <c r="D240" s="1" t="s">
        <v>11</v>
      </c>
      <c r="E240" s="1" t="s">
        <v>12</v>
      </c>
      <c r="F240" s="4">
        <v>83</v>
      </c>
      <c r="G240" s="4">
        <v>72</v>
      </c>
      <c r="H240" s="4">
        <v>78</v>
      </c>
      <c r="I240" s="4">
        <f>AVERAGE(Student­­Performance[[#This Row],[Math Score]],Student­­Performance[[#This Row],[Reading Score]],Student­­Performance[[#This Row],[Writing Score]])</f>
        <v>77.666666666666671</v>
      </c>
      <c r="J240" s="10" t="str">
        <f>IF(Student­­Performance[[#This Row],[Average Score]]&gt;=50,"Pass","Fail")</f>
        <v>Pass</v>
      </c>
      <c r="K24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-11</v>
      </c>
      <c r="L24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24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-5</v>
      </c>
      <c r="N240" s="4">
        <f>IF(ISNUMBER(Student­­Performance[[#This Row],[Math Score]]),Student­­Performance[[#This Row],[Math Score]],0)</f>
        <v>83</v>
      </c>
      <c r="O240" s="4">
        <f>IF(ISNUMBER(Student­­Performance[[#This Row],[Reading Score]]),Student­­Performance[[#This Row],[Reading Score]],0)</f>
        <v>72</v>
      </c>
      <c r="P240" s="4">
        <f>IF(ISNUMBER(Student­­Performance[[#This Row],[Writing Score]]),Student­­Performance[[#This Row],[Writing Score]],0)</f>
        <v>78</v>
      </c>
      <c r="Q240" s="4" t="str">
        <f>IF(Student­­Performance[[#This Row],[Math Score]]&gt;=50,"Pass","Fail")</f>
        <v>Pass</v>
      </c>
      <c r="R240" s="4" t="str">
        <f>IF(Student­­Performance[[#This Row],[Reading Score]]&gt;=50,"Pass","Fail")</f>
        <v>Pass</v>
      </c>
      <c r="S240" s="4" t="str">
        <f>IF(Student­­Performance[[#This Row],[Writing Score]]&gt;=50,"Pass","Fail")</f>
        <v>Pass</v>
      </c>
      <c r="T24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233</v>
      </c>
      <c r="U240" s="4" cm="1">
        <f t="array" ref="U240">IF(COUNT(F240:H240)=0,"", MAX(IF(ISNUMBER(F240:H240),F240:H240)) - MIN(IF(ISNUMBER(F240:H240),F240:H240)))</f>
        <v>11</v>
      </c>
      <c r="V240" s="4" t="str">
        <f>IF(U240="","",IF(U240&gt;25,"Outlier","Normal"))</f>
        <v>Normal</v>
      </c>
    </row>
    <row r="241" spans="1:22" x14ac:dyDescent="0.3">
      <c r="A241" s="1" t="s">
        <v>8</v>
      </c>
      <c r="B241" s="1" t="s">
        <v>26</v>
      </c>
      <c r="C241" s="1" t="s">
        <v>87</v>
      </c>
      <c r="D241" s="1" t="s">
        <v>11</v>
      </c>
      <c r="E241" s="1" t="s">
        <v>15</v>
      </c>
      <c r="F241" s="4">
        <v>74</v>
      </c>
      <c r="G241" s="4">
        <v>79</v>
      </c>
      <c r="H241" s="4">
        <v>80</v>
      </c>
      <c r="I241" s="4">
        <f>AVERAGE(Student­­Performance[[#This Row],[Math Score]],Student­­Performance[[#This Row],[Reading Score]],Student­­Performance[[#This Row],[Writing Score]])</f>
        <v>77.666666666666671</v>
      </c>
      <c r="J241" s="10" t="str">
        <f>IF(Student­­Performance[[#This Row],[Average Score]]&gt;=50,"Pass","Fail")</f>
        <v>Pass</v>
      </c>
      <c r="K24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24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24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241" s="4">
        <f>IF(ISNUMBER(Student­­Performance[[#This Row],[Math Score]]),Student­­Performance[[#This Row],[Math Score]],0)</f>
        <v>74</v>
      </c>
      <c r="O241" s="4">
        <f>IF(ISNUMBER(Student­­Performance[[#This Row],[Reading Score]]),Student­­Performance[[#This Row],[Reading Score]],0)</f>
        <v>79</v>
      </c>
      <c r="P241" s="4">
        <f>IF(ISNUMBER(Student­­Performance[[#This Row],[Writing Score]]),Student­­Performance[[#This Row],[Writing Score]],0)</f>
        <v>80</v>
      </c>
      <c r="Q241" s="4" t="str">
        <f>IF(Student­­Performance[[#This Row],[Math Score]]&gt;=50,"Pass","Fail")</f>
        <v>Pass</v>
      </c>
      <c r="R241" s="4" t="str">
        <f>IF(Student­­Performance[[#This Row],[Reading Score]]&gt;=50,"Pass","Fail")</f>
        <v>Pass</v>
      </c>
      <c r="S241" s="4" t="str">
        <f>IF(Student­­Performance[[#This Row],[Writing Score]]&gt;=50,"Pass","Fail")</f>
        <v>Pass</v>
      </c>
      <c r="T24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233</v>
      </c>
      <c r="U241" s="4" cm="1">
        <f t="array" ref="U241">IF(COUNT(F241:H241)=0,"", MAX(IF(ISNUMBER(F241:H241),F241:H241)) - MIN(IF(ISNUMBER(F241:H241),F241:H241)))</f>
        <v>6</v>
      </c>
      <c r="V241" s="4" t="str">
        <f>IF(U241="","",IF(U241&gt;25,"Outlier","Normal"))</f>
        <v>Normal</v>
      </c>
    </row>
    <row r="242" spans="1:22" x14ac:dyDescent="0.3">
      <c r="A242" s="1" t="s">
        <v>8</v>
      </c>
      <c r="B242" s="1" t="s">
        <v>13</v>
      </c>
      <c r="C242" s="1" t="s">
        <v>86</v>
      </c>
      <c r="D242" s="1" t="s">
        <v>11</v>
      </c>
      <c r="E242" s="1" t="s">
        <v>15</v>
      </c>
      <c r="F242" s="4">
        <v>65</v>
      </c>
      <c r="G242" s="4">
        <v>84</v>
      </c>
      <c r="H242" s="4">
        <v>84</v>
      </c>
      <c r="I242" s="4">
        <f>AVERAGE(Student­­Performance[[#This Row],[Math Score]],Student­­Performance[[#This Row],[Reading Score]],Student­­Performance[[#This Row],[Writing Score]])</f>
        <v>77.666666666666671</v>
      </c>
      <c r="J242" s="10" t="str">
        <f>IF(Student­­Performance[[#This Row],[Average Score]]&gt;=50,"Pass","Fail")</f>
        <v>Pass</v>
      </c>
      <c r="K24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19</v>
      </c>
      <c r="L24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24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19</v>
      </c>
      <c r="N242" s="4">
        <f>IF(ISNUMBER(Student­­Performance[[#This Row],[Math Score]]),Student­­Performance[[#This Row],[Math Score]],0)</f>
        <v>65</v>
      </c>
      <c r="O242" s="4">
        <f>IF(ISNUMBER(Student­­Performance[[#This Row],[Reading Score]]),Student­­Performance[[#This Row],[Reading Score]],0)</f>
        <v>84</v>
      </c>
      <c r="P242" s="4">
        <f>IF(ISNUMBER(Student­­Performance[[#This Row],[Writing Score]]),Student­­Performance[[#This Row],[Writing Score]],0)</f>
        <v>84</v>
      </c>
      <c r="Q242" s="4" t="str">
        <f>IF(Student­­Performance[[#This Row],[Math Score]]&gt;=50,"Pass","Fail")</f>
        <v>Pass</v>
      </c>
      <c r="R242" s="4" t="str">
        <f>IF(Student­­Performance[[#This Row],[Reading Score]]&gt;=50,"Pass","Fail")</f>
        <v>Pass</v>
      </c>
      <c r="S242" s="4" t="str">
        <f>IF(Student­­Performance[[#This Row],[Writing Score]]&gt;=50,"Pass","Fail")</f>
        <v>Pass</v>
      </c>
      <c r="T24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233</v>
      </c>
      <c r="U242" s="4" cm="1">
        <f t="array" ref="U242">IF(COUNT(F242:H242)=0,"", MAX(IF(ISNUMBER(F242:H242),F242:H242)) - MIN(IF(ISNUMBER(F242:H242),F242:H242)))</f>
        <v>19</v>
      </c>
      <c r="V242" s="4" t="str">
        <f>IF(U242="","",IF(U242&gt;25,"Outlier","Normal"))</f>
        <v>Normal</v>
      </c>
    </row>
    <row r="243" spans="1:22" x14ac:dyDescent="0.3">
      <c r="A243" s="1" t="s">
        <v>8</v>
      </c>
      <c r="B243" s="1" t="s">
        <v>18</v>
      </c>
      <c r="C243" s="1" t="s">
        <v>84</v>
      </c>
      <c r="D243" s="1" t="s">
        <v>11</v>
      </c>
      <c r="E243" s="1" t="s">
        <v>15</v>
      </c>
      <c r="F243" s="4">
        <v>72</v>
      </c>
      <c r="G243" s="4">
        <v>79</v>
      </c>
      <c r="H243" s="4">
        <v>82</v>
      </c>
      <c r="I243" s="4">
        <f>AVERAGE(Student­­Performance[[#This Row],[Math Score]],Student­­Performance[[#This Row],[Reading Score]],Student­­Performance[[#This Row],[Writing Score]])</f>
        <v>77.666666666666671</v>
      </c>
      <c r="J243" s="10" t="str">
        <f>IF(Student­­Performance[[#This Row],[Average Score]]&gt;=50,"Pass","Fail")</f>
        <v>Pass</v>
      </c>
      <c r="K24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24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24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243" s="4">
        <f>IF(ISNUMBER(Student­­Performance[[#This Row],[Math Score]]),Student­­Performance[[#This Row],[Math Score]],0)</f>
        <v>72</v>
      </c>
      <c r="O243" s="4">
        <f>IF(ISNUMBER(Student­­Performance[[#This Row],[Reading Score]]),Student­­Performance[[#This Row],[Reading Score]],0)</f>
        <v>79</v>
      </c>
      <c r="P243" s="4">
        <f>IF(ISNUMBER(Student­­Performance[[#This Row],[Writing Score]]),Student­­Performance[[#This Row],[Writing Score]],0)</f>
        <v>82</v>
      </c>
      <c r="Q243" s="4" t="str">
        <f>IF(Student­­Performance[[#This Row],[Math Score]]&gt;=50,"Pass","Fail")</f>
        <v>Pass</v>
      </c>
      <c r="R243" s="4" t="str">
        <f>IF(Student­­Performance[[#This Row],[Reading Score]]&gt;=50,"Pass","Fail")</f>
        <v>Pass</v>
      </c>
      <c r="S243" s="4" t="str">
        <f>IF(Student­­Performance[[#This Row],[Writing Score]]&gt;=50,"Pass","Fail")</f>
        <v>Pass</v>
      </c>
      <c r="T24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233</v>
      </c>
      <c r="U243" s="4" cm="1">
        <f t="array" ref="U243">IF(COUNT(F243:H243)=0,"", MAX(IF(ISNUMBER(F243:H243),F243:H243)) - MIN(IF(ISNUMBER(F243:H243),F243:H243)))</f>
        <v>10</v>
      </c>
      <c r="V243" s="4" t="str">
        <f>IF(U243="","",IF(U243&gt;25,"Outlier","Normal"))</f>
        <v>Normal</v>
      </c>
    </row>
    <row r="244" spans="1:22" x14ac:dyDescent="0.3">
      <c r="A244" s="1" t="s">
        <v>8</v>
      </c>
      <c r="B244" s="1" t="s">
        <v>9</v>
      </c>
      <c r="C244" s="1" t="s">
        <v>86</v>
      </c>
      <c r="D244" s="1" t="s">
        <v>11</v>
      </c>
      <c r="E244" s="1" t="s">
        <v>12</v>
      </c>
      <c r="F244" s="4">
        <v>71</v>
      </c>
      <c r="G244" s="4">
        <v>83</v>
      </c>
      <c r="H244" s="4">
        <v>78</v>
      </c>
      <c r="I244" s="4">
        <f>AVERAGE(Student­­Performance[[#This Row],[Math Score]],Student­­Performance[[#This Row],[Reading Score]],Student­­Performance[[#This Row],[Writing Score]])</f>
        <v>77.333333333333329</v>
      </c>
      <c r="J244" s="10" t="str">
        <f>IF(Student­­Performance[[#This Row],[Average Score]]&gt;=50,"Pass","Fail")</f>
        <v>Pass</v>
      </c>
      <c r="K24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24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24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244" s="4">
        <f>IF(ISNUMBER(Student­­Performance[[#This Row],[Math Score]]),Student­­Performance[[#This Row],[Math Score]],0)</f>
        <v>71</v>
      </c>
      <c r="O244" s="4">
        <f>IF(ISNUMBER(Student­­Performance[[#This Row],[Reading Score]]),Student­­Performance[[#This Row],[Reading Score]],0)</f>
        <v>83</v>
      </c>
      <c r="P244" s="4">
        <f>IF(ISNUMBER(Student­­Performance[[#This Row],[Writing Score]]),Student­­Performance[[#This Row],[Writing Score]],0)</f>
        <v>78</v>
      </c>
      <c r="Q244" s="4" t="str">
        <f>IF(Student­­Performance[[#This Row],[Math Score]]&gt;=50,"Pass","Fail")</f>
        <v>Pass</v>
      </c>
      <c r="R244" s="4" t="str">
        <f>IF(Student­­Performance[[#This Row],[Reading Score]]&gt;=50,"Pass","Fail")</f>
        <v>Pass</v>
      </c>
      <c r="S244" s="4" t="str">
        <f>IF(Student­­Performance[[#This Row],[Writing Score]]&gt;=50,"Pass","Fail")</f>
        <v>Pass</v>
      </c>
      <c r="T24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232</v>
      </c>
      <c r="U244" s="4" cm="1">
        <f t="array" ref="U244">IF(COUNT(F244:H244)=0,"", MAX(IF(ISNUMBER(F244:H244),F244:H244)) - MIN(IF(ISNUMBER(F244:H244),F244:H244)))</f>
        <v>12</v>
      </c>
      <c r="V244" s="4" t="str">
        <f>IF(U244="","",IF(U244&gt;25,"Outlier","Normal"))</f>
        <v>Normal</v>
      </c>
    </row>
    <row r="245" spans="1:22" x14ac:dyDescent="0.3">
      <c r="A245" s="1" t="s">
        <v>17</v>
      </c>
      <c r="B245" s="1" t="s">
        <v>21</v>
      </c>
      <c r="C245" s="1" t="s">
        <v>86</v>
      </c>
      <c r="D245" s="1" t="s">
        <v>11</v>
      </c>
      <c r="E245" s="1" t="s">
        <v>12</v>
      </c>
      <c r="F245" s="4">
        <v>80</v>
      </c>
      <c r="G245" s="4">
        <v>75</v>
      </c>
      <c r="H245" s="4">
        <v>77</v>
      </c>
      <c r="I245" s="4">
        <f>AVERAGE(Student­­Performance[[#This Row],[Math Score]],Student­­Performance[[#This Row],[Reading Score]],Student­­Performance[[#This Row],[Writing Score]])</f>
        <v>77.333333333333329</v>
      </c>
      <c r="J245" s="10" t="str">
        <f>IF(Student­­Performance[[#This Row],[Average Score]]&gt;=50,"Pass","Fail")</f>
        <v>Pass</v>
      </c>
      <c r="K24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24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24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245" s="4">
        <f>IF(ISNUMBER(Student­­Performance[[#This Row],[Math Score]]),Student­­Performance[[#This Row],[Math Score]],0)</f>
        <v>80</v>
      </c>
      <c r="O245" s="4">
        <f>IF(ISNUMBER(Student­­Performance[[#This Row],[Reading Score]]),Student­­Performance[[#This Row],[Reading Score]],0)</f>
        <v>75</v>
      </c>
      <c r="P245" s="4">
        <f>IF(ISNUMBER(Student­­Performance[[#This Row],[Writing Score]]),Student­­Performance[[#This Row],[Writing Score]],0)</f>
        <v>77</v>
      </c>
      <c r="Q245" s="4" t="str">
        <f>IF(Student­­Performance[[#This Row],[Math Score]]&gt;=50,"Pass","Fail")</f>
        <v>Pass</v>
      </c>
      <c r="R245" s="4" t="str">
        <f>IF(Student­­Performance[[#This Row],[Reading Score]]&gt;=50,"Pass","Fail")</f>
        <v>Pass</v>
      </c>
      <c r="S245" s="4" t="str">
        <f>IF(Student­­Performance[[#This Row],[Writing Score]]&gt;=50,"Pass","Fail")</f>
        <v>Pass</v>
      </c>
      <c r="T24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232</v>
      </c>
      <c r="U245" s="4" cm="1">
        <f t="array" ref="U245">IF(COUNT(F245:H245)=0,"", MAX(IF(ISNUMBER(F245:H245),F245:H245)) - MIN(IF(ISNUMBER(F245:H245),F245:H245)))</f>
        <v>5</v>
      </c>
      <c r="V245" s="4" t="str">
        <f>IF(U245="","",IF(U245&gt;25,"Outlier","Normal"))</f>
        <v>Normal</v>
      </c>
    </row>
    <row r="246" spans="1:22" x14ac:dyDescent="0.3">
      <c r="A246" s="1" t="s">
        <v>17</v>
      </c>
      <c r="B246" s="1" t="s">
        <v>13</v>
      </c>
      <c r="C246" s="1" t="s">
        <v>86</v>
      </c>
      <c r="D246" s="1" t="s">
        <v>11</v>
      </c>
      <c r="E246" s="1" t="s">
        <v>12</v>
      </c>
      <c r="F246" s="4">
        <v>85</v>
      </c>
      <c r="G246" s="4">
        <v>76</v>
      </c>
      <c r="H246" s="4">
        <v>71</v>
      </c>
      <c r="I246" s="4">
        <f>AVERAGE(Student­­Performance[[#This Row],[Math Score]],Student­­Performance[[#This Row],[Reading Score]],Student­­Performance[[#This Row],[Writing Score]])</f>
        <v>77.333333333333329</v>
      </c>
      <c r="J246" s="10" t="str">
        <f>IF(Student­­Performance[[#This Row],[Average Score]]&gt;=50,"Pass","Fail")</f>
        <v>Pass</v>
      </c>
      <c r="K24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-9</v>
      </c>
      <c r="L24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24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-14</v>
      </c>
      <c r="N246" s="4">
        <f>IF(ISNUMBER(Student­­Performance[[#This Row],[Math Score]]),Student­­Performance[[#This Row],[Math Score]],0)</f>
        <v>85</v>
      </c>
      <c r="O246" s="4">
        <f>IF(ISNUMBER(Student­­Performance[[#This Row],[Reading Score]]),Student­­Performance[[#This Row],[Reading Score]],0)</f>
        <v>76</v>
      </c>
      <c r="P246" s="4">
        <f>IF(ISNUMBER(Student­­Performance[[#This Row],[Writing Score]]),Student­­Performance[[#This Row],[Writing Score]],0)</f>
        <v>71</v>
      </c>
      <c r="Q246" s="4" t="str">
        <f>IF(Student­­Performance[[#This Row],[Math Score]]&gt;=50,"Pass","Fail")</f>
        <v>Pass</v>
      </c>
      <c r="R246" s="4" t="str">
        <f>IF(Student­­Performance[[#This Row],[Reading Score]]&gt;=50,"Pass","Fail")</f>
        <v>Pass</v>
      </c>
      <c r="S246" s="4" t="str">
        <f>IF(Student­­Performance[[#This Row],[Writing Score]]&gt;=50,"Pass","Fail")</f>
        <v>Pass</v>
      </c>
      <c r="T24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232</v>
      </c>
      <c r="U246" s="4" cm="1">
        <f t="array" ref="U246">IF(COUNT(F246:H246)=0,"", MAX(IF(ISNUMBER(F246:H246),F246:H246)) - MIN(IF(ISNUMBER(F246:H246),F246:H246)))</f>
        <v>14</v>
      </c>
      <c r="V246" s="4" t="str">
        <f>IF(U246="","",IF(U246&gt;25,"Outlier","Normal"))</f>
        <v>Normal</v>
      </c>
    </row>
    <row r="247" spans="1:22" x14ac:dyDescent="0.3">
      <c r="A247" s="1" t="s">
        <v>17</v>
      </c>
      <c r="B247" s="1" t="s">
        <v>21</v>
      </c>
      <c r="C247" s="1" t="s">
        <v>85</v>
      </c>
      <c r="D247" s="1" t="s">
        <v>11</v>
      </c>
      <c r="E247" s="1" t="s">
        <v>12</v>
      </c>
      <c r="F247" s="4">
        <v>80</v>
      </c>
      <c r="G247" s="4">
        <v>80</v>
      </c>
      <c r="H247" s="4">
        <v>72</v>
      </c>
      <c r="I247" s="4">
        <f>AVERAGE(Student­­Performance[[#This Row],[Math Score]],Student­­Performance[[#This Row],[Reading Score]],Student­­Performance[[#This Row],[Writing Score]])</f>
        <v>77.333333333333329</v>
      </c>
      <c r="J247" s="10" t="str">
        <f>IF(Student­­Performance[[#This Row],[Average Score]]&gt;=50,"Pass","Fail")</f>
        <v>Pass</v>
      </c>
      <c r="K24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24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-8</v>
      </c>
      <c r="M24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247" s="4">
        <f>IF(ISNUMBER(Student­­Performance[[#This Row],[Math Score]]),Student­­Performance[[#This Row],[Math Score]],0)</f>
        <v>80</v>
      </c>
      <c r="O247" s="4">
        <f>IF(ISNUMBER(Student­­Performance[[#This Row],[Reading Score]]),Student­­Performance[[#This Row],[Reading Score]],0)</f>
        <v>80</v>
      </c>
      <c r="P247" s="4">
        <f>IF(ISNUMBER(Student­­Performance[[#This Row],[Writing Score]]),Student­­Performance[[#This Row],[Writing Score]],0)</f>
        <v>72</v>
      </c>
      <c r="Q247" s="4" t="str">
        <f>IF(Student­­Performance[[#This Row],[Math Score]]&gt;=50,"Pass","Fail")</f>
        <v>Pass</v>
      </c>
      <c r="R247" s="4" t="str">
        <f>IF(Student­­Performance[[#This Row],[Reading Score]]&gt;=50,"Pass","Fail")</f>
        <v>Pass</v>
      </c>
      <c r="S247" s="4" t="str">
        <f>IF(Student­­Performance[[#This Row],[Writing Score]]&gt;=50,"Pass","Fail")</f>
        <v>Pass</v>
      </c>
      <c r="T24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232</v>
      </c>
      <c r="U247" s="4" cm="1">
        <f t="array" ref="U247">IF(COUNT(F247:H247)=0,"", MAX(IF(ISNUMBER(F247:H247),F247:H247)) - MIN(IF(ISNUMBER(F247:H247),F247:H247)))</f>
        <v>8</v>
      </c>
      <c r="V247" s="4" t="str">
        <f>IF(U247="","",IF(U247&gt;25,"Outlier","Normal"))</f>
        <v>Normal</v>
      </c>
    </row>
    <row r="248" spans="1:22" x14ac:dyDescent="0.3">
      <c r="A248" s="1" t="s">
        <v>8</v>
      </c>
      <c r="B248" s="1" t="s">
        <v>13</v>
      </c>
      <c r="C248" s="1" t="s">
        <v>86</v>
      </c>
      <c r="D248" s="1" t="s">
        <v>11</v>
      </c>
      <c r="E248" s="1" t="s">
        <v>15</v>
      </c>
      <c r="F248" s="4">
        <v>67</v>
      </c>
      <c r="G248" s="4">
        <v>84</v>
      </c>
      <c r="H248" s="4">
        <v>81</v>
      </c>
      <c r="I248" s="4">
        <f>AVERAGE(Student­­Performance[[#This Row],[Math Score]],Student­­Performance[[#This Row],[Reading Score]],Student­­Performance[[#This Row],[Writing Score]])</f>
        <v>77.333333333333329</v>
      </c>
      <c r="J248" s="10" t="str">
        <f>IF(Student­­Performance[[#This Row],[Average Score]]&gt;=50,"Pass","Fail")</f>
        <v>Pass</v>
      </c>
      <c r="K24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17</v>
      </c>
      <c r="L24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24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14</v>
      </c>
      <c r="N248" s="4">
        <f>IF(ISNUMBER(Student­­Performance[[#This Row],[Math Score]]),Student­­Performance[[#This Row],[Math Score]],0)</f>
        <v>67</v>
      </c>
      <c r="O248" s="4">
        <f>IF(ISNUMBER(Student­­Performance[[#This Row],[Reading Score]]),Student­­Performance[[#This Row],[Reading Score]],0)</f>
        <v>84</v>
      </c>
      <c r="P248" s="4">
        <f>IF(ISNUMBER(Student­­Performance[[#This Row],[Writing Score]]),Student­­Performance[[#This Row],[Writing Score]],0)</f>
        <v>81</v>
      </c>
      <c r="Q248" s="4" t="str">
        <f>IF(Student­­Performance[[#This Row],[Math Score]]&gt;=50,"Pass","Fail")</f>
        <v>Pass</v>
      </c>
      <c r="R248" s="4" t="str">
        <f>IF(Student­­Performance[[#This Row],[Reading Score]]&gt;=50,"Pass","Fail")</f>
        <v>Pass</v>
      </c>
      <c r="S248" s="4" t="str">
        <f>IF(Student­­Performance[[#This Row],[Writing Score]]&gt;=50,"Pass","Fail")</f>
        <v>Pass</v>
      </c>
      <c r="T24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232</v>
      </c>
      <c r="U248" s="4" cm="1">
        <f t="array" ref="U248">IF(COUNT(F248:H248)=0,"", MAX(IF(ISNUMBER(F248:H248),F248:H248)) - MIN(IF(ISNUMBER(F248:H248),F248:H248)))</f>
        <v>17</v>
      </c>
      <c r="V248" s="4" t="str">
        <f>IF(U248="","",IF(U248&gt;25,"Outlier","Normal"))</f>
        <v>Normal</v>
      </c>
    </row>
    <row r="249" spans="1:22" x14ac:dyDescent="0.3">
      <c r="A249" s="1" t="s">
        <v>8</v>
      </c>
      <c r="B249" s="1" t="s">
        <v>13</v>
      </c>
      <c r="C249" s="1" t="s">
        <v>86</v>
      </c>
      <c r="D249" s="1" t="s">
        <v>11</v>
      </c>
      <c r="E249" s="1" t="s">
        <v>15</v>
      </c>
      <c r="F249" s="4">
        <v>74</v>
      </c>
      <c r="G249" s="4">
        <v>75</v>
      </c>
      <c r="H249" s="4">
        <v>83</v>
      </c>
      <c r="I249" s="4">
        <f>AVERAGE(Student­­Performance[[#This Row],[Math Score]],Student­­Performance[[#This Row],[Reading Score]],Student­­Performance[[#This Row],[Writing Score]])</f>
        <v>77.333333333333329</v>
      </c>
      <c r="J249" s="10" t="str">
        <f>IF(Student­­Performance[[#This Row],[Average Score]]&gt;=50,"Pass","Fail")</f>
        <v>Pass</v>
      </c>
      <c r="K24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24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8</v>
      </c>
      <c r="M24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249" s="4">
        <f>IF(ISNUMBER(Student­­Performance[[#This Row],[Math Score]]),Student­­Performance[[#This Row],[Math Score]],0)</f>
        <v>74</v>
      </c>
      <c r="O249" s="4">
        <f>IF(ISNUMBER(Student­­Performance[[#This Row],[Reading Score]]),Student­­Performance[[#This Row],[Reading Score]],0)</f>
        <v>75</v>
      </c>
      <c r="P249" s="4">
        <f>IF(ISNUMBER(Student­­Performance[[#This Row],[Writing Score]]),Student­­Performance[[#This Row],[Writing Score]],0)</f>
        <v>83</v>
      </c>
      <c r="Q249" s="4" t="str">
        <f>IF(Student­­Performance[[#This Row],[Math Score]]&gt;=50,"Pass","Fail")</f>
        <v>Pass</v>
      </c>
      <c r="R249" s="4" t="str">
        <f>IF(Student­­Performance[[#This Row],[Reading Score]]&gt;=50,"Pass","Fail")</f>
        <v>Pass</v>
      </c>
      <c r="S249" s="4" t="str">
        <f>IF(Student­­Performance[[#This Row],[Writing Score]]&gt;=50,"Pass","Fail")</f>
        <v>Pass</v>
      </c>
      <c r="T24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232</v>
      </c>
      <c r="U249" s="4" cm="1">
        <f t="array" ref="U249">IF(COUNT(F249:H249)=0,"", MAX(IF(ISNUMBER(F249:H249),F249:H249)) - MIN(IF(ISNUMBER(F249:H249),F249:H249)))</f>
        <v>9</v>
      </c>
      <c r="V249" s="4" t="str">
        <f>IF(U249="","",IF(U249&gt;25,"Outlier","Normal"))</f>
        <v>Normal</v>
      </c>
    </row>
    <row r="250" spans="1:22" x14ac:dyDescent="0.3">
      <c r="A250" s="1" t="s">
        <v>8</v>
      </c>
      <c r="B250" s="1" t="s">
        <v>13</v>
      </c>
      <c r="C250" s="1" t="s">
        <v>84</v>
      </c>
      <c r="D250" s="1" t="s">
        <v>11</v>
      </c>
      <c r="E250" s="1" t="s">
        <v>12</v>
      </c>
      <c r="F250" s="4">
        <v>71</v>
      </c>
      <c r="G250" s="4">
        <v>81</v>
      </c>
      <c r="H250" s="4">
        <v>80</v>
      </c>
      <c r="I250" s="4">
        <f>AVERAGE(Student­­Performance[[#This Row],[Math Score]],Student­­Performance[[#This Row],[Reading Score]],Student­­Performance[[#This Row],[Writing Score]])</f>
        <v>77.333333333333329</v>
      </c>
      <c r="J250" s="10" t="str">
        <f>IF(Student­­Performance[[#This Row],[Average Score]]&gt;=50,"Pass","Fail")</f>
        <v>Pass</v>
      </c>
      <c r="K25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25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25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250" s="4">
        <f>IF(ISNUMBER(Student­­Performance[[#This Row],[Math Score]]),Student­­Performance[[#This Row],[Math Score]],0)</f>
        <v>71</v>
      </c>
      <c r="O250" s="4">
        <f>IF(ISNUMBER(Student­­Performance[[#This Row],[Reading Score]]),Student­­Performance[[#This Row],[Reading Score]],0)</f>
        <v>81</v>
      </c>
      <c r="P250" s="4">
        <f>IF(ISNUMBER(Student­­Performance[[#This Row],[Writing Score]]),Student­­Performance[[#This Row],[Writing Score]],0)</f>
        <v>80</v>
      </c>
      <c r="Q250" s="4" t="str">
        <f>IF(Student­­Performance[[#This Row],[Math Score]]&gt;=50,"Pass","Fail")</f>
        <v>Pass</v>
      </c>
      <c r="R250" s="4" t="str">
        <f>IF(Student­­Performance[[#This Row],[Reading Score]]&gt;=50,"Pass","Fail")</f>
        <v>Pass</v>
      </c>
      <c r="S250" s="4" t="str">
        <f>IF(Student­­Performance[[#This Row],[Writing Score]]&gt;=50,"Pass","Fail")</f>
        <v>Pass</v>
      </c>
      <c r="T25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232</v>
      </c>
      <c r="U250" s="4" cm="1">
        <f t="array" ref="U250">IF(COUNT(F250:H250)=0,"", MAX(IF(ISNUMBER(F250:H250),F250:H250)) - MIN(IF(ISNUMBER(F250:H250),F250:H250)))</f>
        <v>10</v>
      </c>
      <c r="V250" s="4" t="str">
        <f>IF(U250="","",IF(U250&gt;25,"Outlier","Normal"))</f>
        <v>Normal</v>
      </c>
    </row>
    <row r="251" spans="1:22" x14ac:dyDescent="0.3">
      <c r="A251" s="1" t="s">
        <v>17</v>
      </c>
      <c r="B251" s="1" t="s">
        <v>26</v>
      </c>
      <c r="C251" s="1" t="s">
        <v>84</v>
      </c>
      <c r="D251" s="1" t="s">
        <v>11</v>
      </c>
      <c r="E251" s="1" t="s">
        <v>12</v>
      </c>
      <c r="F251" s="4">
        <v>84</v>
      </c>
      <c r="G251" s="4">
        <v>77</v>
      </c>
      <c r="H251" s="4">
        <v>71</v>
      </c>
      <c r="I251" s="4">
        <f>AVERAGE(Student­­Performance[[#This Row],[Math Score]],Student­­Performance[[#This Row],[Reading Score]],Student­­Performance[[#This Row],[Writing Score]])</f>
        <v>77.333333333333329</v>
      </c>
      <c r="J251" s="10" t="str">
        <f>IF(Student­­Performance[[#This Row],[Average Score]]&gt;=50,"Pass","Fail")</f>
        <v>Pass</v>
      </c>
      <c r="K25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-7</v>
      </c>
      <c r="L25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25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-13</v>
      </c>
      <c r="N251" s="4">
        <f>IF(ISNUMBER(Student­­Performance[[#This Row],[Math Score]]),Student­­Performance[[#This Row],[Math Score]],0)</f>
        <v>84</v>
      </c>
      <c r="O251" s="4">
        <f>IF(ISNUMBER(Student­­Performance[[#This Row],[Reading Score]]),Student­­Performance[[#This Row],[Reading Score]],0)</f>
        <v>77</v>
      </c>
      <c r="P251" s="4">
        <f>IF(ISNUMBER(Student­­Performance[[#This Row],[Writing Score]]),Student­­Performance[[#This Row],[Writing Score]],0)</f>
        <v>71</v>
      </c>
      <c r="Q251" s="4" t="str">
        <f>IF(Student­­Performance[[#This Row],[Math Score]]&gt;=50,"Pass","Fail")</f>
        <v>Pass</v>
      </c>
      <c r="R251" s="4" t="str">
        <f>IF(Student­­Performance[[#This Row],[Reading Score]]&gt;=50,"Pass","Fail")</f>
        <v>Pass</v>
      </c>
      <c r="S251" s="4" t="str">
        <f>IF(Student­­Performance[[#This Row],[Writing Score]]&gt;=50,"Pass","Fail")</f>
        <v>Pass</v>
      </c>
      <c r="T25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232</v>
      </c>
      <c r="U251" s="4" cm="1">
        <f t="array" ref="U251">IF(COUNT(F251:H251)=0,"", MAX(IF(ISNUMBER(F251:H251),F251:H251)) - MIN(IF(ISNUMBER(F251:H251),F251:H251)))</f>
        <v>13</v>
      </c>
      <c r="V251" s="4" t="str">
        <f>IF(U251="","",IF(U251&gt;25,"Outlier","Normal"))</f>
        <v>Normal</v>
      </c>
    </row>
    <row r="252" spans="1:22" x14ac:dyDescent="0.3">
      <c r="A252" s="1" t="s">
        <v>8</v>
      </c>
      <c r="B252" s="1" t="s">
        <v>9</v>
      </c>
      <c r="C252" s="1" t="s">
        <v>86</v>
      </c>
      <c r="D252" s="1" t="s">
        <v>11</v>
      </c>
      <c r="E252" s="1" t="s">
        <v>12</v>
      </c>
      <c r="F252" s="4">
        <v>73</v>
      </c>
      <c r="G252" s="4">
        <v>83</v>
      </c>
      <c r="H252" s="4">
        <v>76</v>
      </c>
      <c r="I252" s="4">
        <f>AVERAGE(Student­­Performance[[#This Row],[Math Score]],Student­­Performance[[#This Row],[Reading Score]],Student­­Performance[[#This Row],[Writing Score]])</f>
        <v>77.333333333333329</v>
      </c>
      <c r="J252" s="10" t="str">
        <f>IF(Student­­Performance[[#This Row],[Average Score]]&gt;=50,"Pass","Fail")</f>
        <v>Pass</v>
      </c>
      <c r="K25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25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25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252" s="4">
        <f>IF(ISNUMBER(Student­­Performance[[#This Row],[Math Score]]),Student­­Performance[[#This Row],[Math Score]],0)</f>
        <v>73</v>
      </c>
      <c r="O252" s="4">
        <f>IF(ISNUMBER(Student­­Performance[[#This Row],[Reading Score]]),Student­­Performance[[#This Row],[Reading Score]],0)</f>
        <v>83</v>
      </c>
      <c r="P252" s="4">
        <f>IF(ISNUMBER(Student­­Performance[[#This Row],[Writing Score]]),Student­­Performance[[#This Row],[Writing Score]],0)</f>
        <v>76</v>
      </c>
      <c r="Q252" s="4" t="str">
        <f>IF(Student­­Performance[[#This Row],[Math Score]]&gt;=50,"Pass","Fail")</f>
        <v>Pass</v>
      </c>
      <c r="R252" s="4" t="str">
        <f>IF(Student­­Performance[[#This Row],[Reading Score]]&gt;=50,"Pass","Fail")</f>
        <v>Pass</v>
      </c>
      <c r="S252" s="4" t="str">
        <f>IF(Student­­Performance[[#This Row],[Writing Score]]&gt;=50,"Pass","Fail")</f>
        <v>Pass</v>
      </c>
      <c r="T25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232</v>
      </c>
      <c r="U252" s="4" cm="1">
        <f t="array" ref="U252">IF(COUNT(F252:H252)=0,"", MAX(IF(ISNUMBER(F252:H252),F252:H252)) - MIN(IF(ISNUMBER(F252:H252),F252:H252)))</f>
        <v>10</v>
      </c>
      <c r="V252" s="4" t="str">
        <f>IF(U252="","",IF(U252&gt;25,"Outlier","Normal"))</f>
        <v>Normal</v>
      </c>
    </row>
    <row r="253" spans="1:22" x14ac:dyDescent="0.3">
      <c r="A253" s="1" t="s">
        <v>8</v>
      </c>
      <c r="B253" s="1" t="s">
        <v>13</v>
      </c>
      <c r="C253" s="1" t="s">
        <v>83</v>
      </c>
      <c r="D253" s="1" t="s">
        <v>20</v>
      </c>
      <c r="E253" s="1" t="s">
        <v>15</v>
      </c>
      <c r="F253" s="4">
        <v>66</v>
      </c>
      <c r="G253" s="4">
        <v>83</v>
      </c>
      <c r="H253" s="4">
        <v>83</v>
      </c>
      <c r="I253" s="4">
        <f>AVERAGE(Student­­Performance[[#This Row],[Math Score]],Student­­Performance[[#This Row],[Reading Score]],Student­­Performance[[#This Row],[Writing Score]])</f>
        <v>77.333333333333329</v>
      </c>
      <c r="J253" s="10" t="str">
        <f>IF(Student­­Performance[[#This Row],[Average Score]]&gt;=50,"Pass","Fail")</f>
        <v>Pass</v>
      </c>
      <c r="K25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17</v>
      </c>
      <c r="L25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25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17</v>
      </c>
      <c r="N253" s="4">
        <f>IF(ISNUMBER(Student­­Performance[[#This Row],[Math Score]]),Student­­Performance[[#This Row],[Math Score]],0)</f>
        <v>66</v>
      </c>
      <c r="O253" s="4">
        <f>IF(ISNUMBER(Student­­Performance[[#This Row],[Reading Score]]),Student­­Performance[[#This Row],[Reading Score]],0)</f>
        <v>83</v>
      </c>
      <c r="P253" s="4">
        <f>IF(ISNUMBER(Student­­Performance[[#This Row],[Writing Score]]),Student­­Performance[[#This Row],[Writing Score]],0)</f>
        <v>83</v>
      </c>
      <c r="Q253" s="4" t="str">
        <f>IF(Student­­Performance[[#This Row],[Math Score]]&gt;=50,"Pass","Fail")</f>
        <v>Pass</v>
      </c>
      <c r="R253" s="4" t="str">
        <f>IF(Student­­Performance[[#This Row],[Reading Score]]&gt;=50,"Pass","Fail")</f>
        <v>Pass</v>
      </c>
      <c r="S253" s="4" t="str">
        <f>IF(Student­­Performance[[#This Row],[Writing Score]]&gt;=50,"Pass","Fail")</f>
        <v>Pass</v>
      </c>
      <c r="T25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232</v>
      </c>
      <c r="U253" s="4" cm="1">
        <f t="array" ref="U253">IF(COUNT(F253:H253)=0,"", MAX(IF(ISNUMBER(F253:H253),F253:H253)) - MIN(IF(ISNUMBER(F253:H253),F253:H253)))</f>
        <v>17</v>
      </c>
      <c r="V253" s="4" t="str">
        <f>IF(U253="","",IF(U253&gt;25,"Outlier","Normal"))</f>
        <v>Normal</v>
      </c>
    </row>
    <row r="254" spans="1:22" x14ac:dyDescent="0.3">
      <c r="A254" s="1" t="s">
        <v>8</v>
      </c>
      <c r="B254" s="1" t="s">
        <v>9</v>
      </c>
      <c r="C254" s="1" t="s">
        <v>88</v>
      </c>
      <c r="D254" s="1" t="s">
        <v>20</v>
      </c>
      <c r="E254" s="1" t="s">
        <v>12</v>
      </c>
      <c r="F254" s="4">
        <v>72</v>
      </c>
      <c r="G254" s="4">
        <v>81</v>
      </c>
      <c r="H254" s="4">
        <v>79</v>
      </c>
      <c r="I254" s="4">
        <f>AVERAGE(Student­­Performance[[#This Row],[Math Score]],Student­­Performance[[#This Row],[Reading Score]],Student­­Performance[[#This Row],[Writing Score]])</f>
        <v>77.333333333333329</v>
      </c>
      <c r="J254" s="10" t="str">
        <f>IF(Student­­Performance[[#This Row],[Average Score]]&gt;=50,"Pass","Fail")</f>
        <v>Pass</v>
      </c>
      <c r="K25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25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25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254" s="4">
        <f>IF(ISNUMBER(Student­­Performance[[#This Row],[Math Score]]),Student­­Performance[[#This Row],[Math Score]],0)</f>
        <v>72</v>
      </c>
      <c r="O254" s="4">
        <f>IF(ISNUMBER(Student­­Performance[[#This Row],[Reading Score]]),Student­­Performance[[#This Row],[Reading Score]],0)</f>
        <v>81</v>
      </c>
      <c r="P254" s="4">
        <f>IF(ISNUMBER(Student­­Performance[[#This Row],[Writing Score]]),Student­­Performance[[#This Row],[Writing Score]],0)</f>
        <v>79</v>
      </c>
      <c r="Q254" s="4" t="str">
        <f>IF(Student­­Performance[[#This Row],[Math Score]]&gt;=50,"Pass","Fail")</f>
        <v>Pass</v>
      </c>
      <c r="R254" s="4" t="str">
        <f>IF(Student­­Performance[[#This Row],[Reading Score]]&gt;=50,"Pass","Fail")</f>
        <v>Pass</v>
      </c>
      <c r="S254" s="4" t="str">
        <f>IF(Student­­Performance[[#This Row],[Writing Score]]&gt;=50,"Pass","Fail")</f>
        <v>Pass</v>
      </c>
      <c r="T25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232</v>
      </c>
      <c r="U254" s="4" cm="1">
        <f t="array" ref="U254">IF(COUNT(F254:H254)=0,"", MAX(IF(ISNUMBER(F254:H254),F254:H254)) - MIN(IF(ISNUMBER(F254:H254),F254:H254)))</f>
        <v>9</v>
      </c>
      <c r="V254" s="4" t="str">
        <f>IF(U254="","",IF(U254&gt;25,"Outlier","Normal"))</f>
        <v>Normal</v>
      </c>
    </row>
    <row r="255" spans="1:22" x14ac:dyDescent="0.3">
      <c r="A255" s="1" t="s">
        <v>17</v>
      </c>
      <c r="B255" s="1" t="s">
        <v>13</v>
      </c>
      <c r="C255" s="1" t="s">
        <v>86</v>
      </c>
      <c r="D255" s="1" t="s">
        <v>20</v>
      </c>
      <c r="E255" s="1" t="s">
        <v>12</v>
      </c>
      <c r="F255" s="4">
        <v>87</v>
      </c>
      <c r="G255" s="4">
        <v>73</v>
      </c>
      <c r="H255" s="4">
        <v>72</v>
      </c>
      <c r="I255" s="4">
        <f>AVERAGE(Student­­Performance[[#This Row],[Math Score]],Student­­Performance[[#This Row],[Reading Score]],Student­­Performance[[#This Row],[Writing Score]])</f>
        <v>77.333333333333329</v>
      </c>
      <c r="J255" s="10" t="str">
        <f>IF(Student­­Performance[[#This Row],[Average Score]]&gt;=50,"Pass","Fail")</f>
        <v>Pass</v>
      </c>
      <c r="K25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-14</v>
      </c>
      <c r="L25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25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-15</v>
      </c>
      <c r="N255" s="4">
        <f>IF(ISNUMBER(Student­­Performance[[#This Row],[Math Score]]),Student­­Performance[[#This Row],[Math Score]],0)</f>
        <v>87</v>
      </c>
      <c r="O255" s="4">
        <f>IF(ISNUMBER(Student­­Performance[[#This Row],[Reading Score]]),Student­­Performance[[#This Row],[Reading Score]],0)</f>
        <v>73</v>
      </c>
      <c r="P255" s="4">
        <f>IF(ISNUMBER(Student­­Performance[[#This Row],[Writing Score]]),Student­­Performance[[#This Row],[Writing Score]],0)</f>
        <v>72</v>
      </c>
      <c r="Q255" s="4" t="str">
        <f>IF(Student­­Performance[[#This Row],[Math Score]]&gt;=50,"Pass","Fail")</f>
        <v>Pass</v>
      </c>
      <c r="R255" s="4" t="str">
        <f>IF(Student­­Performance[[#This Row],[Reading Score]]&gt;=50,"Pass","Fail")</f>
        <v>Pass</v>
      </c>
      <c r="S255" s="4" t="str">
        <f>IF(Student­­Performance[[#This Row],[Writing Score]]&gt;=50,"Pass","Fail")</f>
        <v>Pass</v>
      </c>
      <c r="T25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232</v>
      </c>
      <c r="U255" s="4" cm="1">
        <f t="array" ref="U255">IF(COUNT(F255:H255)=0,"", MAX(IF(ISNUMBER(F255:H255),F255:H255)) - MIN(IF(ISNUMBER(F255:H255),F255:H255)))</f>
        <v>15</v>
      </c>
      <c r="V255" s="4" t="str">
        <f>IF(U255="","",IF(U255&gt;25,"Outlier","Normal"))</f>
        <v>Normal</v>
      </c>
    </row>
    <row r="256" spans="1:22" x14ac:dyDescent="0.3">
      <c r="A256" s="1" t="s">
        <v>17</v>
      </c>
      <c r="B256" s="1" t="s">
        <v>26</v>
      </c>
      <c r="C256" s="1" t="s">
        <v>88</v>
      </c>
      <c r="D256" s="1" t="s">
        <v>11</v>
      </c>
      <c r="E256" s="1" t="s">
        <v>15</v>
      </c>
      <c r="F256" s="4">
        <v>81</v>
      </c>
      <c r="G256" s="4">
        <v>75</v>
      </c>
      <c r="H256" s="4">
        <v>76</v>
      </c>
      <c r="I256" s="4">
        <f>AVERAGE(Student­­Performance[[#This Row],[Math Score]],Student­­Performance[[#This Row],[Reading Score]],Student­­Performance[[#This Row],[Writing Score]])</f>
        <v>77.333333333333329</v>
      </c>
      <c r="J256" s="10" t="str">
        <f>IF(Student­­Performance[[#This Row],[Average Score]]&gt;=50,"Pass","Fail")</f>
        <v>Pass</v>
      </c>
      <c r="K25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25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25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-5</v>
      </c>
      <c r="N256" s="4">
        <f>IF(ISNUMBER(Student­­Performance[[#This Row],[Math Score]]),Student­­Performance[[#This Row],[Math Score]],0)</f>
        <v>81</v>
      </c>
      <c r="O256" s="4">
        <f>IF(ISNUMBER(Student­­Performance[[#This Row],[Reading Score]]),Student­­Performance[[#This Row],[Reading Score]],0)</f>
        <v>75</v>
      </c>
      <c r="P256" s="4">
        <f>IF(ISNUMBER(Student­­Performance[[#This Row],[Writing Score]]),Student­­Performance[[#This Row],[Writing Score]],0)</f>
        <v>76</v>
      </c>
      <c r="Q256" s="4" t="str">
        <f>IF(Student­­Performance[[#This Row],[Math Score]]&gt;=50,"Pass","Fail")</f>
        <v>Pass</v>
      </c>
      <c r="R256" s="4" t="str">
        <f>IF(Student­­Performance[[#This Row],[Reading Score]]&gt;=50,"Pass","Fail")</f>
        <v>Pass</v>
      </c>
      <c r="S256" s="4" t="str">
        <f>IF(Student­­Performance[[#This Row],[Writing Score]]&gt;=50,"Pass","Fail")</f>
        <v>Pass</v>
      </c>
      <c r="T25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232</v>
      </c>
      <c r="U256" s="4" cm="1">
        <f t="array" ref="U256">IF(COUNT(F256:H256)=0,"", MAX(IF(ISNUMBER(F256:H256),F256:H256)) - MIN(IF(ISNUMBER(F256:H256),F256:H256)))</f>
        <v>6</v>
      </c>
      <c r="V256" s="4" t="str">
        <f>IF(U256="","",IF(U256&gt;25,"Outlier","Normal"))</f>
        <v>Normal</v>
      </c>
    </row>
    <row r="257" spans="1:22" x14ac:dyDescent="0.3">
      <c r="A257" s="1" t="s">
        <v>17</v>
      </c>
      <c r="B257" s="1" t="s">
        <v>26</v>
      </c>
      <c r="C257" s="1" t="s">
        <v>84</v>
      </c>
      <c r="D257" s="1" t="s">
        <v>20</v>
      </c>
      <c r="E257" s="1" t="s">
        <v>15</v>
      </c>
      <c r="F257" s="4">
        <v>87</v>
      </c>
      <c r="G257" s="4">
        <v>74</v>
      </c>
      <c r="H257" s="4">
        <v>70</v>
      </c>
      <c r="I257" s="4">
        <f>AVERAGE(Student­­Performance[[#This Row],[Math Score]],Student­­Performance[[#This Row],[Reading Score]],Student­­Performance[[#This Row],[Writing Score]])</f>
        <v>77</v>
      </c>
      <c r="J257" s="10" t="str">
        <f>IF(Student­­Performance[[#This Row],[Average Score]]&gt;=50,"Pass","Fail")</f>
        <v>Pass</v>
      </c>
      <c r="K25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-13</v>
      </c>
      <c r="L25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25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-17</v>
      </c>
      <c r="N257" s="4">
        <f>IF(ISNUMBER(Student­­Performance[[#This Row],[Math Score]]),Student­­Performance[[#This Row],[Math Score]],0)</f>
        <v>87</v>
      </c>
      <c r="O257" s="4">
        <f>IF(ISNUMBER(Student­­Performance[[#This Row],[Reading Score]]),Student­­Performance[[#This Row],[Reading Score]],0)</f>
        <v>74</v>
      </c>
      <c r="P257" s="4">
        <f>IF(ISNUMBER(Student­­Performance[[#This Row],[Writing Score]]),Student­­Performance[[#This Row],[Writing Score]],0)</f>
        <v>70</v>
      </c>
      <c r="Q257" s="4" t="str">
        <f>IF(Student­­Performance[[#This Row],[Math Score]]&gt;=50,"Pass","Fail")</f>
        <v>Pass</v>
      </c>
      <c r="R257" s="4" t="str">
        <f>IF(Student­­Performance[[#This Row],[Reading Score]]&gt;=50,"Pass","Fail")</f>
        <v>Pass</v>
      </c>
      <c r="S257" s="4" t="str">
        <f>IF(Student­­Performance[[#This Row],[Writing Score]]&gt;=50,"Pass","Fail")</f>
        <v>Pass</v>
      </c>
      <c r="T25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231</v>
      </c>
      <c r="U257" s="4" cm="1">
        <f t="array" ref="U257">IF(COUNT(F257:H257)=0,"", MAX(IF(ISNUMBER(F257:H257),F257:H257)) - MIN(IF(ISNUMBER(F257:H257),F257:H257)))</f>
        <v>17</v>
      </c>
      <c r="V257" s="4" t="str">
        <f>IF(U257="","",IF(U257&gt;25,"Outlier","Normal"))</f>
        <v>Normal</v>
      </c>
    </row>
    <row r="258" spans="1:22" x14ac:dyDescent="0.3">
      <c r="A258" s="1" t="s">
        <v>8</v>
      </c>
      <c r="B258" s="1" t="s">
        <v>9</v>
      </c>
      <c r="C258" s="1" t="s">
        <v>84</v>
      </c>
      <c r="D258" s="1" t="s">
        <v>20</v>
      </c>
      <c r="E258" s="1" t="s">
        <v>12</v>
      </c>
      <c r="F258" s="4">
        <v>74</v>
      </c>
      <c r="G258" s="4">
        <v>81</v>
      </c>
      <c r="H258" s="4">
        <v>76</v>
      </c>
      <c r="I258" s="4">
        <f>AVERAGE(Student­­Performance[[#This Row],[Math Score]],Student­­Performance[[#This Row],[Reading Score]],Student­­Performance[[#This Row],[Writing Score]])</f>
        <v>77</v>
      </c>
      <c r="J258" s="10" t="str">
        <f>IF(Student­­Performance[[#This Row],[Average Score]]&gt;=50,"Pass","Fail")</f>
        <v>Pass</v>
      </c>
      <c r="K25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25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25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258" s="4">
        <f>IF(ISNUMBER(Student­­Performance[[#This Row],[Math Score]]),Student­­Performance[[#This Row],[Math Score]],0)</f>
        <v>74</v>
      </c>
      <c r="O258" s="4">
        <f>IF(ISNUMBER(Student­­Performance[[#This Row],[Reading Score]]),Student­­Performance[[#This Row],[Reading Score]],0)</f>
        <v>81</v>
      </c>
      <c r="P258" s="4">
        <f>IF(ISNUMBER(Student­­Performance[[#This Row],[Writing Score]]),Student­­Performance[[#This Row],[Writing Score]],0)</f>
        <v>76</v>
      </c>
      <c r="Q258" s="4" t="str">
        <f>IF(Student­­Performance[[#This Row],[Math Score]]&gt;=50,"Pass","Fail")</f>
        <v>Pass</v>
      </c>
      <c r="R258" s="4" t="str">
        <f>IF(Student­­Performance[[#This Row],[Reading Score]]&gt;=50,"Pass","Fail")</f>
        <v>Pass</v>
      </c>
      <c r="S258" s="4" t="str">
        <f>IF(Student­­Performance[[#This Row],[Writing Score]]&gt;=50,"Pass","Fail")</f>
        <v>Pass</v>
      </c>
      <c r="T25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231</v>
      </c>
      <c r="U258" s="4" cm="1">
        <f t="array" ref="U258">IF(COUNT(F258:H258)=0,"", MAX(IF(ISNUMBER(F258:H258),F258:H258)) - MIN(IF(ISNUMBER(F258:H258),F258:H258)))</f>
        <v>7</v>
      </c>
      <c r="V258" s="4" t="str">
        <f>IF(U258="","",IF(U258&gt;25,"Outlier","Normal"))</f>
        <v>Normal</v>
      </c>
    </row>
    <row r="259" spans="1:22" x14ac:dyDescent="0.3">
      <c r="A259" s="1" t="s">
        <v>8</v>
      </c>
      <c r="B259" s="1" t="s">
        <v>13</v>
      </c>
      <c r="C259" s="1" t="s">
        <v>88</v>
      </c>
      <c r="D259" s="1" t="s">
        <v>20</v>
      </c>
      <c r="E259" s="1" t="s">
        <v>12</v>
      </c>
      <c r="F259" s="4">
        <v>65</v>
      </c>
      <c r="G259" s="4">
        <v>86</v>
      </c>
      <c r="H259" s="4">
        <v>80</v>
      </c>
      <c r="I259" s="4">
        <f>AVERAGE(Student­­Performance[[#This Row],[Math Score]],Student­­Performance[[#This Row],[Reading Score]],Student­­Performance[[#This Row],[Writing Score]])</f>
        <v>77</v>
      </c>
      <c r="J259" s="10" t="str">
        <f>IF(Student­­Performance[[#This Row],[Average Score]]&gt;=50,"Pass","Fail")</f>
        <v>Pass</v>
      </c>
      <c r="K25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21</v>
      </c>
      <c r="L25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25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15</v>
      </c>
      <c r="N259" s="4">
        <f>IF(ISNUMBER(Student­­Performance[[#This Row],[Math Score]]),Student­­Performance[[#This Row],[Math Score]],0)</f>
        <v>65</v>
      </c>
      <c r="O259" s="4">
        <f>IF(ISNUMBER(Student­­Performance[[#This Row],[Reading Score]]),Student­­Performance[[#This Row],[Reading Score]],0)</f>
        <v>86</v>
      </c>
      <c r="P259" s="4">
        <f>IF(ISNUMBER(Student­­Performance[[#This Row],[Writing Score]]),Student­­Performance[[#This Row],[Writing Score]],0)</f>
        <v>80</v>
      </c>
      <c r="Q259" s="4" t="str">
        <f>IF(Student­­Performance[[#This Row],[Math Score]]&gt;=50,"Pass","Fail")</f>
        <v>Pass</v>
      </c>
      <c r="R259" s="4" t="str">
        <f>IF(Student­­Performance[[#This Row],[Reading Score]]&gt;=50,"Pass","Fail")</f>
        <v>Pass</v>
      </c>
      <c r="S259" s="4" t="str">
        <f>IF(Student­­Performance[[#This Row],[Writing Score]]&gt;=50,"Pass","Fail")</f>
        <v>Pass</v>
      </c>
      <c r="T25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231</v>
      </c>
      <c r="U259" s="4" cm="1">
        <f t="array" ref="U259">IF(COUNT(F259:H259)=0,"", MAX(IF(ISNUMBER(F259:H259),F259:H259)) - MIN(IF(ISNUMBER(F259:H259),F259:H259)))</f>
        <v>21</v>
      </c>
      <c r="V259" s="4" t="str">
        <f>IF(U259="","",IF(U259&gt;25,"Outlier","Normal"))</f>
        <v>Normal</v>
      </c>
    </row>
    <row r="260" spans="1:22" x14ac:dyDescent="0.3">
      <c r="A260" s="1" t="s">
        <v>8</v>
      </c>
      <c r="B260" s="1" t="s">
        <v>18</v>
      </c>
      <c r="C260" s="1" t="s">
        <v>88</v>
      </c>
      <c r="D260" s="1" t="s">
        <v>11</v>
      </c>
      <c r="E260" s="1" t="s">
        <v>12</v>
      </c>
      <c r="F260" s="4">
        <v>71</v>
      </c>
      <c r="G260" s="4">
        <v>83</v>
      </c>
      <c r="H260" s="4">
        <v>77</v>
      </c>
      <c r="I260" s="4">
        <f>AVERAGE(Student­­Performance[[#This Row],[Math Score]],Student­­Performance[[#This Row],[Reading Score]],Student­­Performance[[#This Row],[Writing Score]])</f>
        <v>77</v>
      </c>
      <c r="J260" s="10" t="str">
        <f>IF(Student­­Performance[[#This Row],[Average Score]]&gt;=50,"Pass","Fail")</f>
        <v>Pass</v>
      </c>
      <c r="K26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26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26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260" s="4">
        <f>IF(ISNUMBER(Student­­Performance[[#This Row],[Math Score]]),Student­­Performance[[#This Row],[Math Score]],0)</f>
        <v>71</v>
      </c>
      <c r="O260" s="4">
        <f>IF(ISNUMBER(Student­­Performance[[#This Row],[Reading Score]]),Student­­Performance[[#This Row],[Reading Score]],0)</f>
        <v>83</v>
      </c>
      <c r="P260" s="4">
        <f>IF(ISNUMBER(Student­­Performance[[#This Row],[Writing Score]]),Student­­Performance[[#This Row],[Writing Score]],0)</f>
        <v>77</v>
      </c>
      <c r="Q260" s="4" t="str">
        <f>IF(Student­­Performance[[#This Row],[Math Score]]&gt;=50,"Pass","Fail")</f>
        <v>Pass</v>
      </c>
      <c r="R260" s="4" t="str">
        <f>IF(Student­­Performance[[#This Row],[Reading Score]]&gt;=50,"Pass","Fail")</f>
        <v>Pass</v>
      </c>
      <c r="S260" s="4" t="str">
        <f>IF(Student­­Performance[[#This Row],[Writing Score]]&gt;=50,"Pass","Fail")</f>
        <v>Pass</v>
      </c>
      <c r="T26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231</v>
      </c>
      <c r="U260" s="4" cm="1">
        <f t="array" ref="U260">IF(COUNT(F260:H260)=0,"", MAX(IF(ISNUMBER(F260:H260),F260:H260)) - MIN(IF(ISNUMBER(F260:H260),F260:H260)))</f>
        <v>12</v>
      </c>
      <c r="V260" s="4" t="str">
        <f>IF(U260="","",IF(U260&gt;25,"Outlier","Normal"))</f>
        <v>Normal</v>
      </c>
    </row>
    <row r="261" spans="1:22" x14ac:dyDescent="0.3">
      <c r="A261" s="1" t="s">
        <v>17</v>
      </c>
      <c r="B261" s="1" t="s">
        <v>13</v>
      </c>
      <c r="C261" s="1" t="s">
        <v>85</v>
      </c>
      <c r="D261" s="1" t="s">
        <v>20</v>
      </c>
      <c r="E261" s="1" t="s">
        <v>12</v>
      </c>
      <c r="F261" s="4">
        <v>79</v>
      </c>
      <c r="G261" s="4">
        <v>81</v>
      </c>
      <c r="H261" s="4">
        <v>71</v>
      </c>
      <c r="I261" s="4">
        <f>AVERAGE(Student­­Performance[[#This Row],[Math Score]],Student­­Performance[[#This Row],[Reading Score]],Student­­Performance[[#This Row],[Writing Score]])</f>
        <v>77</v>
      </c>
      <c r="J261" s="10" t="str">
        <f>IF(Student­­Performance[[#This Row],[Average Score]]&gt;=50,"Pass","Fail")</f>
        <v>Pass</v>
      </c>
      <c r="K26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26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-10</v>
      </c>
      <c r="M26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261" s="4">
        <f>IF(ISNUMBER(Student­­Performance[[#This Row],[Math Score]]),Student­­Performance[[#This Row],[Math Score]],0)</f>
        <v>79</v>
      </c>
      <c r="O261" s="4">
        <f>IF(ISNUMBER(Student­­Performance[[#This Row],[Reading Score]]),Student­­Performance[[#This Row],[Reading Score]],0)</f>
        <v>81</v>
      </c>
      <c r="P261" s="4">
        <f>IF(ISNUMBER(Student­­Performance[[#This Row],[Writing Score]]),Student­­Performance[[#This Row],[Writing Score]],0)</f>
        <v>71</v>
      </c>
      <c r="Q261" s="4" t="str">
        <f>IF(Student­­Performance[[#This Row],[Math Score]]&gt;=50,"Pass","Fail")</f>
        <v>Pass</v>
      </c>
      <c r="R261" s="4" t="str">
        <f>IF(Student­­Performance[[#This Row],[Reading Score]]&gt;=50,"Pass","Fail")</f>
        <v>Pass</v>
      </c>
      <c r="S261" s="4" t="str">
        <f>IF(Student­­Performance[[#This Row],[Writing Score]]&gt;=50,"Pass","Fail")</f>
        <v>Pass</v>
      </c>
      <c r="T26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231</v>
      </c>
      <c r="U261" s="4" cm="1">
        <f t="array" ref="U261">IF(COUNT(F261:H261)=0,"", MAX(IF(ISNUMBER(F261:H261),F261:H261)) - MIN(IF(ISNUMBER(F261:H261),F261:H261)))</f>
        <v>10</v>
      </c>
      <c r="V261" s="4" t="str">
        <f>IF(U261="","",IF(U261&gt;25,"Outlier","Normal"))</f>
        <v>Normal</v>
      </c>
    </row>
    <row r="262" spans="1:22" x14ac:dyDescent="0.3">
      <c r="A262" s="1" t="s">
        <v>8</v>
      </c>
      <c r="B262" s="1" t="s">
        <v>9</v>
      </c>
      <c r="C262" s="1" t="s">
        <v>88</v>
      </c>
      <c r="D262" s="1" t="s">
        <v>11</v>
      </c>
      <c r="E262" s="1" t="s">
        <v>12</v>
      </c>
      <c r="F262" s="4">
        <v>73</v>
      </c>
      <c r="G262" s="4">
        <v>79</v>
      </c>
      <c r="H262" s="4">
        <v>79</v>
      </c>
      <c r="I262" s="4">
        <f>AVERAGE(Student­­Performance[[#This Row],[Math Score]],Student­­Performance[[#This Row],[Reading Score]],Student­­Performance[[#This Row],[Writing Score]])</f>
        <v>77</v>
      </c>
      <c r="J262" s="10" t="str">
        <f>IF(Student­­Performance[[#This Row],[Average Score]]&gt;=50,"Pass","Fail")</f>
        <v>Pass</v>
      </c>
      <c r="K26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26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26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262" s="4">
        <f>IF(ISNUMBER(Student­­Performance[[#This Row],[Math Score]]),Student­­Performance[[#This Row],[Math Score]],0)</f>
        <v>73</v>
      </c>
      <c r="O262" s="4">
        <f>IF(ISNUMBER(Student­­Performance[[#This Row],[Reading Score]]),Student­­Performance[[#This Row],[Reading Score]],0)</f>
        <v>79</v>
      </c>
      <c r="P262" s="4">
        <f>IF(ISNUMBER(Student­­Performance[[#This Row],[Writing Score]]),Student­­Performance[[#This Row],[Writing Score]],0)</f>
        <v>79</v>
      </c>
      <c r="Q262" s="4" t="str">
        <f>IF(Student­­Performance[[#This Row],[Math Score]]&gt;=50,"Pass","Fail")</f>
        <v>Pass</v>
      </c>
      <c r="R262" s="4" t="str">
        <f>IF(Student­­Performance[[#This Row],[Reading Score]]&gt;=50,"Pass","Fail")</f>
        <v>Pass</v>
      </c>
      <c r="S262" s="4" t="str">
        <f>IF(Student­­Performance[[#This Row],[Writing Score]]&gt;=50,"Pass","Fail")</f>
        <v>Pass</v>
      </c>
      <c r="T26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231</v>
      </c>
      <c r="U262" s="4" cm="1">
        <f t="array" ref="U262">IF(COUNT(F262:H262)=0,"", MAX(IF(ISNUMBER(F262:H262),F262:H262)) - MIN(IF(ISNUMBER(F262:H262),F262:H262)))</f>
        <v>6</v>
      </c>
      <c r="V262" s="4" t="str">
        <f>IF(U262="","",IF(U262&gt;25,"Outlier","Normal"))</f>
        <v>Normal</v>
      </c>
    </row>
    <row r="263" spans="1:22" x14ac:dyDescent="0.3">
      <c r="A263" s="1" t="s">
        <v>17</v>
      </c>
      <c r="B263" s="1" t="s">
        <v>13</v>
      </c>
      <c r="C263" s="1" t="s">
        <v>85</v>
      </c>
      <c r="D263" s="1" t="s">
        <v>20</v>
      </c>
      <c r="E263" s="1" t="s">
        <v>15</v>
      </c>
      <c r="F263" s="4">
        <v>79</v>
      </c>
      <c r="G263" s="4">
        <v>77</v>
      </c>
      <c r="H263" s="4">
        <v>75</v>
      </c>
      <c r="I263" s="4">
        <f>AVERAGE(Student­­Performance[[#This Row],[Math Score]],Student­­Performance[[#This Row],[Reading Score]],Student­­Performance[[#This Row],[Writing Score]])</f>
        <v>77</v>
      </c>
      <c r="J263" s="10" t="str">
        <f>IF(Student­­Performance[[#This Row],[Average Score]]&gt;=50,"Pass","Fail")</f>
        <v>Pass</v>
      </c>
      <c r="K26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</v>
      </c>
      <c r="L26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26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263" s="4">
        <f>IF(ISNUMBER(Student­­Performance[[#This Row],[Math Score]]),Student­­Performance[[#This Row],[Math Score]],0)</f>
        <v>79</v>
      </c>
      <c r="O263" s="4">
        <f>IF(ISNUMBER(Student­­Performance[[#This Row],[Reading Score]]),Student­­Performance[[#This Row],[Reading Score]],0)</f>
        <v>77</v>
      </c>
      <c r="P263" s="4">
        <f>IF(ISNUMBER(Student­­Performance[[#This Row],[Writing Score]]),Student­­Performance[[#This Row],[Writing Score]],0)</f>
        <v>75</v>
      </c>
      <c r="Q263" s="4" t="str">
        <f>IF(Student­­Performance[[#This Row],[Math Score]]&gt;=50,"Pass","Fail")</f>
        <v>Pass</v>
      </c>
      <c r="R263" s="4" t="str">
        <f>IF(Student­­Performance[[#This Row],[Reading Score]]&gt;=50,"Pass","Fail")</f>
        <v>Pass</v>
      </c>
      <c r="S263" s="4" t="str">
        <f>IF(Student­­Performance[[#This Row],[Writing Score]]&gt;=50,"Pass","Fail")</f>
        <v>Pass</v>
      </c>
      <c r="T26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231</v>
      </c>
      <c r="U263" s="4" cm="1">
        <f t="array" ref="U263">IF(COUNT(F263:H263)=0,"", MAX(IF(ISNUMBER(F263:H263),F263:H263)) - MIN(IF(ISNUMBER(F263:H263),F263:H263)))</f>
        <v>4</v>
      </c>
      <c r="V263" s="4" t="str">
        <f>IF(U263="","",IF(U263&gt;25,"Outlier","Normal"))</f>
        <v>Normal</v>
      </c>
    </row>
    <row r="264" spans="1:22" x14ac:dyDescent="0.3">
      <c r="A264" s="1" t="s">
        <v>8</v>
      </c>
      <c r="B264" s="1" t="s">
        <v>13</v>
      </c>
      <c r="C264" s="1" t="s">
        <v>88</v>
      </c>
      <c r="D264" s="1" t="s">
        <v>11</v>
      </c>
      <c r="E264" s="1" t="s">
        <v>12</v>
      </c>
      <c r="F264" s="4">
        <v>74</v>
      </c>
      <c r="G264" s="4">
        <v>75</v>
      </c>
      <c r="H264" s="4">
        <v>82</v>
      </c>
      <c r="I264" s="4">
        <f>AVERAGE(Student­­Performance[[#This Row],[Math Score]],Student­­Performance[[#This Row],[Reading Score]],Student­­Performance[[#This Row],[Writing Score]])</f>
        <v>77</v>
      </c>
      <c r="J264" s="10" t="str">
        <f>IF(Student­­Performance[[#This Row],[Average Score]]&gt;=50,"Pass","Fail")</f>
        <v>Pass</v>
      </c>
      <c r="K26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26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7</v>
      </c>
      <c r="M26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264" s="4">
        <f>IF(ISNUMBER(Student­­Performance[[#This Row],[Math Score]]),Student­­Performance[[#This Row],[Math Score]],0)</f>
        <v>74</v>
      </c>
      <c r="O264" s="4">
        <f>IF(ISNUMBER(Student­­Performance[[#This Row],[Reading Score]]),Student­­Performance[[#This Row],[Reading Score]],0)</f>
        <v>75</v>
      </c>
      <c r="P264" s="4">
        <f>IF(ISNUMBER(Student­­Performance[[#This Row],[Writing Score]]),Student­­Performance[[#This Row],[Writing Score]],0)</f>
        <v>82</v>
      </c>
      <c r="Q264" s="4" t="str">
        <f>IF(Student­­Performance[[#This Row],[Math Score]]&gt;=50,"Pass","Fail")</f>
        <v>Pass</v>
      </c>
      <c r="R264" s="4" t="str">
        <f>IF(Student­­Performance[[#This Row],[Reading Score]]&gt;=50,"Pass","Fail")</f>
        <v>Pass</v>
      </c>
      <c r="S264" s="4" t="str">
        <f>IF(Student­­Performance[[#This Row],[Writing Score]]&gt;=50,"Pass","Fail")</f>
        <v>Pass</v>
      </c>
      <c r="T26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231</v>
      </c>
      <c r="U264" s="4" cm="1">
        <f t="array" ref="U264">IF(COUNT(F264:H264)=0,"", MAX(IF(ISNUMBER(F264:H264),F264:H264)) - MIN(IF(ISNUMBER(F264:H264),F264:H264)))</f>
        <v>8</v>
      </c>
      <c r="V264" s="4" t="str">
        <f>IF(U264="","",IF(U264&gt;25,"Outlier","Normal"))</f>
        <v>Normal</v>
      </c>
    </row>
    <row r="265" spans="1:22" x14ac:dyDescent="0.3">
      <c r="A265" s="1" t="s">
        <v>17</v>
      </c>
      <c r="B265" s="1" t="s">
        <v>26</v>
      </c>
      <c r="C265" s="1" t="s">
        <v>88</v>
      </c>
      <c r="D265" s="1" t="s">
        <v>11</v>
      </c>
      <c r="E265" s="1" t="s">
        <v>15</v>
      </c>
      <c r="F265" s="4">
        <v>77</v>
      </c>
      <c r="G265" s="4">
        <v>76</v>
      </c>
      <c r="H265" s="4">
        <v>77</v>
      </c>
      <c r="I265" s="4">
        <f>AVERAGE(Student­­Performance[[#This Row],[Math Score]],Student­­Performance[[#This Row],[Reading Score]],Student­­Performance[[#This Row],[Writing Score]])</f>
        <v>76.666666666666671</v>
      </c>
      <c r="J265" s="10" t="str">
        <f>IF(Student­­Performance[[#This Row],[Average Score]]&gt;=50,"Pass","Fail")</f>
        <v>Pass</v>
      </c>
      <c r="K26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26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26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265" s="4">
        <f>IF(ISNUMBER(Student­­Performance[[#This Row],[Math Score]]),Student­­Performance[[#This Row],[Math Score]],0)</f>
        <v>77</v>
      </c>
      <c r="O265" s="4">
        <f>IF(ISNUMBER(Student­­Performance[[#This Row],[Reading Score]]),Student­­Performance[[#This Row],[Reading Score]],0)</f>
        <v>76</v>
      </c>
      <c r="P265" s="4">
        <f>IF(ISNUMBER(Student­­Performance[[#This Row],[Writing Score]]),Student­­Performance[[#This Row],[Writing Score]],0)</f>
        <v>77</v>
      </c>
      <c r="Q265" s="4" t="str">
        <f>IF(Student­­Performance[[#This Row],[Math Score]]&gt;=50,"Pass","Fail")</f>
        <v>Pass</v>
      </c>
      <c r="R265" s="4" t="str">
        <f>IF(Student­­Performance[[#This Row],[Reading Score]]&gt;=50,"Pass","Fail")</f>
        <v>Pass</v>
      </c>
      <c r="S265" s="4" t="str">
        <f>IF(Student­­Performance[[#This Row],[Writing Score]]&gt;=50,"Pass","Fail")</f>
        <v>Pass</v>
      </c>
      <c r="T26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230</v>
      </c>
      <c r="U265" s="4" cm="1">
        <f t="array" ref="U265">IF(COUNT(F265:H265)=0,"", MAX(IF(ISNUMBER(F265:H265),F265:H265)) - MIN(IF(ISNUMBER(F265:H265),F265:H265)))</f>
        <v>1</v>
      </c>
      <c r="V265" s="4" t="str">
        <f>IF(U265="","",IF(U265&gt;25,"Outlier","Normal"))</f>
        <v>Normal</v>
      </c>
    </row>
    <row r="266" spans="1:22" x14ac:dyDescent="0.3">
      <c r="A266" s="1" t="s">
        <v>8</v>
      </c>
      <c r="B266" s="1" t="s">
        <v>13</v>
      </c>
      <c r="C266" s="1" t="s">
        <v>87</v>
      </c>
      <c r="D266" s="1" t="s">
        <v>20</v>
      </c>
      <c r="E266" s="1" t="s">
        <v>15</v>
      </c>
      <c r="F266" s="4">
        <v>67</v>
      </c>
      <c r="G266" s="4">
        <v>79</v>
      </c>
      <c r="H266" s="4">
        <v>84</v>
      </c>
      <c r="I266" s="4">
        <f>AVERAGE(Student­­Performance[[#This Row],[Math Score]],Student­­Performance[[#This Row],[Reading Score]],Student­­Performance[[#This Row],[Writing Score]])</f>
        <v>76.666666666666671</v>
      </c>
      <c r="J266" s="10" t="str">
        <f>IF(Student­­Performance[[#This Row],[Average Score]]&gt;=50,"Pass","Fail")</f>
        <v>Pass</v>
      </c>
      <c r="K26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26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26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17</v>
      </c>
      <c r="N266" s="4">
        <f>IF(ISNUMBER(Student­­Performance[[#This Row],[Math Score]]),Student­­Performance[[#This Row],[Math Score]],0)</f>
        <v>67</v>
      </c>
      <c r="O266" s="4">
        <f>IF(ISNUMBER(Student­­Performance[[#This Row],[Reading Score]]),Student­­Performance[[#This Row],[Reading Score]],0)</f>
        <v>79</v>
      </c>
      <c r="P266" s="4">
        <f>IF(ISNUMBER(Student­­Performance[[#This Row],[Writing Score]]),Student­­Performance[[#This Row],[Writing Score]],0)</f>
        <v>84</v>
      </c>
      <c r="Q266" s="4" t="str">
        <f>IF(Student­­Performance[[#This Row],[Math Score]]&gt;=50,"Pass","Fail")</f>
        <v>Pass</v>
      </c>
      <c r="R266" s="4" t="str">
        <f>IF(Student­­Performance[[#This Row],[Reading Score]]&gt;=50,"Pass","Fail")</f>
        <v>Pass</v>
      </c>
      <c r="S266" s="4" t="str">
        <f>IF(Student­­Performance[[#This Row],[Writing Score]]&gt;=50,"Pass","Fail")</f>
        <v>Pass</v>
      </c>
      <c r="T26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230</v>
      </c>
      <c r="U266" s="4" cm="1">
        <f t="array" ref="U266">IF(COUNT(F266:H266)=0,"", MAX(IF(ISNUMBER(F266:H266),F266:H266)) - MIN(IF(ISNUMBER(F266:H266),F266:H266)))</f>
        <v>17</v>
      </c>
      <c r="V266" s="4" t="str">
        <f>IF(U266="","",IF(U266&gt;25,"Outlier","Normal"))</f>
        <v>Normal</v>
      </c>
    </row>
    <row r="267" spans="1:22" x14ac:dyDescent="0.3">
      <c r="A267" s="1" t="s">
        <v>8</v>
      </c>
      <c r="B267" s="1" t="s">
        <v>21</v>
      </c>
      <c r="C267" s="1" t="s">
        <v>83</v>
      </c>
      <c r="D267" s="1" t="s">
        <v>11</v>
      </c>
      <c r="E267" s="1" t="s">
        <v>15</v>
      </c>
      <c r="F267" s="4">
        <v>71</v>
      </c>
      <c r="G267" s="4">
        <v>76</v>
      </c>
      <c r="H267" s="4">
        <v>83</v>
      </c>
      <c r="I267" s="4">
        <f>AVERAGE(Student­­Performance[[#This Row],[Math Score]],Student­­Performance[[#This Row],[Reading Score]],Student­­Performance[[#This Row],[Writing Score]])</f>
        <v>76.666666666666671</v>
      </c>
      <c r="J267" s="10" t="str">
        <f>IF(Student­­Performance[[#This Row],[Average Score]]&gt;=50,"Pass","Fail")</f>
        <v>Pass</v>
      </c>
      <c r="K26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26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7</v>
      </c>
      <c r="M26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267" s="4">
        <f>IF(ISNUMBER(Student­­Performance[[#This Row],[Math Score]]),Student­­Performance[[#This Row],[Math Score]],0)</f>
        <v>71</v>
      </c>
      <c r="O267" s="4">
        <f>IF(ISNUMBER(Student­­Performance[[#This Row],[Reading Score]]),Student­­Performance[[#This Row],[Reading Score]],0)</f>
        <v>76</v>
      </c>
      <c r="P267" s="4">
        <f>IF(ISNUMBER(Student­­Performance[[#This Row],[Writing Score]]),Student­­Performance[[#This Row],[Writing Score]],0)</f>
        <v>83</v>
      </c>
      <c r="Q267" s="4" t="str">
        <f>IF(Student­­Performance[[#This Row],[Math Score]]&gt;=50,"Pass","Fail")</f>
        <v>Pass</v>
      </c>
      <c r="R267" s="4" t="str">
        <f>IF(Student­­Performance[[#This Row],[Reading Score]]&gt;=50,"Pass","Fail")</f>
        <v>Pass</v>
      </c>
      <c r="S267" s="4" t="str">
        <f>IF(Student­­Performance[[#This Row],[Writing Score]]&gt;=50,"Pass","Fail")</f>
        <v>Pass</v>
      </c>
      <c r="T26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230</v>
      </c>
      <c r="U267" s="4" cm="1">
        <f t="array" ref="U267">IF(COUNT(F267:H267)=0,"", MAX(IF(ISNUMBER(F267:H267),F267:H267)) - MIN(IF(ISNUMBER(F267:H267),F267:H267)))</f>
        <v>12</v>
      </c>
      <c r="V267" s="4" t="str">
        <f>IF(U267="","",IF(U267&gt;25,"Outlier","Normal"))</f>
        <v>Normal</v>
      </c>
    </row>
    <row r="268" spans="1:22" x14ac:dyDescent="0.3">
      <c r="A268" s="1" t="s">
        <v>17</v>
      </c>
      <c r="B268" s="1" t="s">
        <v>21</v>
      </c>
      <c r="C268" s="1" t="s">
        <v>86</v>
      </c>
      <c r="D268" s="1" t="s">
        <v>11</v>
      </c>
      <c r="E268" s="1" t="s">
        <v>15</v>
      </c>
      <c r="F268" s="4">
        <v>81</v>
      </c>
      <c r="G268" s="4">
        <v>72</v>
      </c>
      <c r="H268" s="4">
        <v>77</v>
      </c>
      <c r="I268" s="4">
        <f>AVERAGE(Student­­Performance[[#This Row],[Math Score]],Student­­Performance[[#This Row],[Reading Score]],Student­­Performance[[#This Row],[Writing Score]])</f>
        <v>76.666666666666671</v>
      </c>
      <c r="J268" s="10" t="str">
        <f>IF(Student­­Performance[[#This Row],[Average Score]]&gt;=50,"Pass","Fail")</f>
        <v>Pass</v>
      </c>
      <c r="K26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-9</v>
      </c>
      <c r="L26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26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268" s="4">
        <f>IF(ISNUMBER(Student­­Performance[[#This Row],[Math Score]]),Student­­Performance[[#This Row],[Math Score]],0)</f>
        <v>81</v>
      </c>
      <c r="O268" s="4">
        <f>IF(ISNUMBER(Student­­Performance[[#This Row],[Reading Score]]),Student­­Performance[[#This Row],[Reading Score]],0)</f>
        <v>72</v>
      </c>
      <c r="P268" s="4">
        <f>IF(ISNUMBER(Student­­Performance[[#This Row],[Writing Score]]),Student­­Performance[[#This Row],[Writing Score]],0)</f>
        <v>77</v>
      </c>
      <c r="Q268" s="4" t="str">
        <f>IF(Student­­Performance[[#This Row],[Math Score]]&gt;=50,"Pass","Fail")</f>
        <v>Pass</v>
      </c>
      <c r="R268" s="4" t="str">
        <f>IF(Student­­Performance[[#This Row],[Reading Score]]&gt;=50,"Pass","Fail")</f>
        <v>Pass</v>
      </c>
      <c r="S268" s="4" t="str">
        <f>IF(Student­­Performance[[#This Row],[Writing Score]]&gt;=50,"Pass","Fail")</f>
        <v>Pass</v>
      </c>
      <c r="T26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230</v>
      </c>
      <c r="U268" s="4" cm="1">
        <f t="array" ref="U268">IF(COUNT(F268:H268)=0,"", MAX(IF(ISNUMBER(F268:H268),F268:H268)) - MIN(IF(ISNUMBER(F268:H268),F268:H268)))</f>
        <v>9</v>
      </c>
      <c r="V268" s="4" t="str">
        <f>IF(U268="","",IF(U268&gt;25,"Outlier","Normal"))</f>
        <v>Normal</v>
      </c>
    </row>
    <row r="269" spans="1:22" x14ac:dyDescent="0.3">
      <c r="A269" s="1" t="s">
        <v>17</v>
      </c>
      <c r="B269" s="1" t="s">
        <v>18</v>
      </c>
      <c r="C269" s="1" t="s">
        <v>84</v>
      </c>
      <c r="D269" s="1" t="s">
        <v>20</v>
      </c>
      <c r="E269" s="1" t="s">
        <v>12</v>
      </c>
      <c r="F269" s="4">
        <v>75</v>
      </c>
      <c r="G269" s="4">
        <v>81</v>
      </c>
      <c r="H269" s="4">
        <v>74</v>
      </c>
      <c r="I269" s="4">
        <f>AVERAGE(Student­­Performance[[#This Row],[Math Score]],Student­­Performance[[#This Row],[Reading Score]],Student­­Performance[[#This Row],[Writing Score]])</f>
        <v>76.666666666666671</v>
      </c>
      <c r="J269" s="10" t="str">
        <f>IF(Student­­Performance[[#This Row],[Average Score]]&gt;=50,"Pass","Fail")</f>
        <v>Pass</v>
      </c>
      <c r="K26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26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26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269" s="4">
        <f>IF(ISNUMBER(Student­­Performance[[#This Row],[Math Score]]),Student­­Performance[[#This Row],[Math Score]],0)</f>
        <v>75</v>
      </c>
      <c r="O269" s="4">
        <f>IF(ISNUMBER(Student­­Performance[[#This Row],[Reading Score]]),Student­­Performance[[#This Row],[Reading Score]],0)</f>
        <v>81</v>
      </c>
      <c r="P269" s="4">
        <f>IF(ISNUMBER(Student­­Performance[[#This Row],[Writing Score]]),Student­­Performance[[#This Row],[Writing Score]],0)</f>
        <v>74</v>
      </c>
      <c r="Q269" s="4" t="str">
        <f>IF(Student­­Performance[[#This Row],[Math Score]]&gt;=50,"Pass","Fail")</f>
        <v>Pass</v>
      </c>
      <c r="R269" s="4" t="str">
        <f>IF(Student­­Performance[[#This Row],[Reading Score]]&gt;=50,"Pass","Fail")</f>
        <v>Pass</v>
      </c>
      <c r="S269" s="4" t="str">
        <f>IF(Student­­Performance[[#This Row],[Writing Score]]&gt;=50,"Pass","Fail")</f>
        <v>Pass</v>
      </c>
      <c r="T26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230</v>
      </c>
      <c r="U269" s="4" cm="1">
        <f t="array" ref="U269">IF(COUNT(F269:H269)=0,"", MAX(IF(ISNUMBER(F269:H269),F269:H269)) - MIN(IF(ISNUMBER(F269:H269),F269:H269)))</f>
        <v>7</v>
      </c>
      <c r="V269" s="4" t="str">
        <f>IF(U269="","",IF(U269&gt;25,"Outlier","Normal"))</f>
        <v>Normal</v>
      </c>
    </row>
    <row r="270" spans="1:22" x14ac:dyDescent="0.3">
      <c r="A270" s="1" t="s">
        <v>17</v>
      </c>
      <c r="B270" s="1" t="s">
        <v>13</v>
      </c>
      <c r="C270" s="1" t="s">
        <v>84</v>
      </c>
      <c r="D270" s="1" t="s">
        <v>11</v>
      </c>
      <c r="E270" s="1" t="s">
        <v>12</v>
      </c>
      <c r="F270" s="4">
        <v>76</v>
      </c>
      <c r="G270" s="4">
        <v>78</v>
      </c>
      <c r="H270" s="4">
        <v>75</v>
      </c>
      <c r="I270" s="4">
        <f>AVERAGE(Student­­Performance[[#This Row],[Math Score]],Student­­Performance[[#This Row],[Reading Score]],Student­­Performance[[#This Row],[Writing Score]])</f>
        <v>76.333333333333329</v>
      </c>
      <c r="J270" s="10" t="str">
        <f>IF(Student­­Performance[[#This Row],[Average Score]]&gt;=50,"Pass","Fail")</f>
        <v>Pass</v>
      </c>
      <c r="K27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27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27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270" s="4">
        <f>IF(ISNUMBER(Student­­Performance[[#This Row],[Math Score]]),Student­­Performance[[#This Row],[Math Score]],0)</f>
        <v>76</v>
      </c>
      <c r="O270" s="4">
        <f>IF(ISNUMBER(Student­­Performance[[#This Row],[Reading Score]]),Student­­Performance[[#This Row],[Reading Score]],0)</f>
        <v>78</v>
      </c>
      <c r="P270" s="4">
        <f>IF(ISNUMBER(Student­­Performance[[#This Row],[Writing Score]]),Student­­Performance[[#This Row],[Writing Score]],0)</f>
        <v>75</v>
      </c>
      <c r="Q270" s="4" t="str">
        <f>IF(Student­­Performance[[#This Row],[Math Score]]&gt;=50,"Pass","Fail")</f>
        <v>Pass</v>
      </c>
      <c r="R270" s="4" t="str">
        <f>IF(Student­­Performance[[#This Row],[Reading Score]]&gt;=50,"Pass","Fail")</f>
        <v>Pass</v>
      </c>
      <c r="S270" s="4" t="str">
        <f>IF(Student­­Performance[[#This Row],[Writing Score]]&gt;=50,"Pass","Fail")</f>
        <v>Pass</v>
      </c>
      <c r="T27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229</v>
      </c>
      <c r="U270" s="4" cm="1">
        <f t="array" ref="U270">IF(COUNT(F270:H270)=0,"", MAX(IF(ISNUMBER(F270:H270),F270:H270)) - MIN(IF(ISNUMBER(F270:H270),F270:H270)))</f>
        <v>3</v>
      </c>
      <c r="V270" s="4" t="str">
        <f>IF(U270="","",IF(U270&gt;25,"Outlier","Normal"))</f>
        <v>Normal</v>
      </c>
    </row>
    <row r="271" spans="1:22" x14ac:dyDescent="0.3">
      <c r="A271" s="1" t="s">
        <v>8</v>
      </c>
      <c r="B271" s="1" t="s">
        <v>9</v>
      </c>
      <c r="C271" s="1" t="s">
        <v>87</v>
      </c>
      <c r="D271" s="1" t="s">
        <v>11</v>
      </c>
      <c r="E271" s="1" t="s">
        <v>15</v>
      </c>
      <c r="F271" s="4">
        <v>68</v>
      </c>
      <c r="G271" s="4">
        <v>83</v>
      </c>
      <c r="H271" s="4">
        <v>78</v>
      </c>
      <c r="I271" s="4">
        <f>AVERAGE(Student­­Performance[[#This Row],[Math Score]],Student­­Performance[[#This Row],[Reading Score]],Student­­Performance[[#This Row],[Writing Score]])</f>
        <v>76.333333333333329</v>
      </c>
      <c r="J271" s="10" t="str">
        <f>IF(Student­­Performance[[#This Row],[Average Score]]&gt;=50,"Pass","Fail")</f>
        <v>Pass</v>
      </c>
      <c r="K27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15</v>
      </c>
      <c r="L27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27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271" s="4">
        <f>IF(ISNUMBER(Student­­Performance[[#This Row],[Math Score]]),Student­­Performance[[#This Row],[Math Score]],0)</f>
        <v>68</v>
      </c>
      <c r="O271" s="4">
        <f>IF(ISNUMBER(Student­­Performance[[#This Row],[Reading Score]]),Student­­Performance[[#This Row],[Reading Score]],0)</f>
        <v>83</v>
      </c>
      <c r="P271" s="4">
        <f>IF(ISNUMBER(Student­­Performance[[#This Row],[Writing Score]]),Student­­Performance[[#This Row],[Writing Score]],0)</f>
        <v>78</v>
      </c>
      <c r="Q271" s="4" t="str">
        <f>IF(Student­­Performance[[#This Row],[Math Score]]&gt;=50,"Pass","Fail")</f>
        <v>Pass</v>
      </c>
      <c r="R271" s="4" t="str">
        <f>IF(Student­­Performance[[#This Row],[Reading Score]]&gt;=50,"Pass","Fail")</f>
        <v>Pass</v>
      </c>
      <c r="S271" s="4" t="str">
        <f>IF(Student­­Performance[[#This Row],[Writing Score]]&gt;=50,"Pass","Fail")</f>
        <v>Pass</v>
      </c>
      <c r="T27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229</v>
      </c>
      <c r="U271" s="4" cm="1">
        <f t="array" ref="U271">IF(COUNT(F271:H271)=0,"", MAX(IF(ISNUMBER(F271:H271),F271:H271)) - MIN(IF(ISNUMBER(F271:H271),F271:H271)))</f>
        <v>15</v>
      </c>
      <c r="V271" s="4" t="str">
        <f>IF(U271="","",IF(U271&gt;25,"Outlier","Normal"))</f>
        <v>Normal</v>
      </c>
    </row>
    <row r="272" spans="1:22" x14ac:dyDescent="0.3">
      <c r="A272" s="1" t="s">
        <v>17</v>
      </c>
      <c r="B272" s="1" t="s">
        <v>21</v>
      </c>
      <c r="C272" s="1" t="s">
        <v>88</v>
      </c>
      <c r="D272" s="1" t="s">
        <v>11</v>
      </c>
      <c r="E272" s="1" t="s">
        <v>12</v>
      </c>
      <c r="F272" s="4">
        <v>86</v>
      </c>
      <c r="G272" s="4">
        <v>73</v>
      </c>
      <c r="H272" s="4">
        <v>70</v>
      </c>
      <c r="I272" s="4">
        <f>AVERAGE(Student­­Performance[[#This Row],[Math Score]],Student­­Performance[[#This Row],[Reading Score]],Student­­Performance[[#This Row],[Writing Score]])</f>
        <v>76.333333333333329</v>
      </c>
      <c r="J272" s="10" t="str">
        <f>IF(Student­­Performance[[#This Row],[Average Score]]&gt;=50,"Pass","Fail")</f>
        <v>Pass</v>
      </c>
      <c r="K27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-13</v>
      </c>
      <c r="L27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27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-16</v>
      </c>
      <c r="N272" s="4">
        <f>IF(ISNUMBER(Student­­Performance[[#This Row],[Math Score]]),Student­­Performance[[#This Row],[Math Score]],0)</f>
        <v>86</v>
      </c>
      <c r="O272" s="4">
        <f>IF(ISNUMBER(Student­­Performance[[#This Row],[Reading Score]]),Student­­Performance[[#This Row],[Reading Score]],0)</f>
        <v>73</v>
      </c>
      <c r="P272" s="4">
        <f>IF(ISNUMBER(Student­­Performance[[#This Row],[Writing Score]]),Student­­Performance[[#This Row],[Writing Score]],0)</f>
        <v>70</v>
      </c>
      <c r="Q272" s="4" t="str">
        <f>IF(Student­­Performance[[#This Row],[Math Score]]&gt;=50,"Pass","Fail")</f>
        <v>Pass</v>
      </c>
      <c r="R272" s="4" t="str">
        <f>IF(Student­­Performance[[#This Row],[Reading Score]]&gt;=50,"Pass","Fail")</f>
        <v>Pass</v>
      </c>
      <c r="S272" s="4" t="str">
        <f>IF(Student­­Performance[[#This Row],[Writing Score]]&gt;=50,"Pass","Fail")</f>
        <v>Pass</v>
      </c>
      <c r="T27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229</v>
      </c>
      <c r="U272" s="4" cm="1">
        <f t="array" ref="U272">IF(COUNT(F272:H272)=0,"", MAX(IF(ISNUMBER(F272:H272),F272:H272)) - MIN(IF(ISNUMBER(F272:H272),F272:H272)))</f>
        <v>16</v>
      </c>
      <c r="V272" s="4" t="str">
        <f>IF(U272="","",IF(U272&gt;25,"Outlier","Normal"))</f>
        <v>Normal</v>
      </c>
    </row>
    <row r="273" spans="1:22" x14ac:dyDescent="0.3">
      <c r="A273" s="1" t="s">
        <v>8</v>
      </c>
      <c r="B273" s="1" t="s">
        <v>9</v>
      </c>
      <c r="C273" s="1" t="s">
        <v>86</v>
      </c>
      <c r="D273" s="1" t="s">
        <v>11</v>
      </c>
      <c r="E273" s="1" t="s">
        <v>12</v>
      </c>
      <c r="F273" s="4">
        <v>73</v>
      </c>
      <c r="G273" s="4">
        <v>76</v>
      </c>
      <c r="H273" s="4">
        <v>80</v>
      </c>
      <c r="I273" s="4">
        <f>AVERAGE(Student­­Performance[[#This Row],[Math Score]],Student­­Performance[[#This Row],[Reading Score]],Student­­Performance[[#This Row],[Writing Score]])</f>
        <v>76.333333333333329</v>
      </c>
      <c r="J273" s="10" t="str">
        <f>IF(Student­­Performance[[#This Row],[Average Score]]&gt;=50,"Pass","Fail")</f>
        <v>Pass</v>
      </c>
      <c r="K27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27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27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273" s="4">
        <f>IF(ISNUMBER(Student­­Performance[[#This Row],[Math Score]]),Student­­Performance[[#This Row],[Math Score]],0)</f>
        <v>73</v>
      </c>
      <c r="O273" s="4">
        <f>IF(ISNUMBER(Student­­Performance[[#This Row],[Reading Score]]),Student­­Performance[[#This Row],[Reading Score]],0)</f>
        <v>76</v>
      </c>
      <c r="P273" s="4">
        <f>IF(ISNUMBER(Student­­Performance[[#This Row],[Writing Score]]),Student­­Performance[[#This Row],[Writing Score]],0)</f>
        <v>80</v>
      </c>
      <c r="Q273" s="4" t="str">
        <f>IF(Student­­Performance[[#This Row],[Math Score]]&gt;=50,"Pass","Fail")</f>
        <v>Pass</v>
      </c>
      <c r="R273" s="4" t="str">
        <f>IF(Student­­Performance[[#This Row],[Reading Score]]&gt;=50,"Pass","Fail")</f>
        <v>Pass</v>
      </c>
      <c r="S273" s="4" t="str">
        <f>IF(Student­­Performance[[#This Row],[Writing Score]]&gt;=50,"Pass","Fail")</f>
        <v>Pass</v>
      </c>
      <c r="T27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229</v>
      </c>
      <c r="U273" s="4" cm="1">
        <f t="array" ref="U273">IF(COUNT(F273:H273)=0,"", MAX(IF(ISNUMBER(F273:H273),F273:H273)) - MIN(IF(ISNUMBER(F273:H273),F273:H273)))</f>
        <v>7</v>
      </c>
      <c r="V273" s="4" t="str">
        <f>IF(U273="","",IF(U273&gt;25,"Outlier","Normal"))</f>
        <v>Normal</v>
      </c>
    </row>
    <row r="274" spans="1:22" x14ac:dyDescent="0.3">
      <c r="A274" s="1" t="s">
        <v>8</v>
      </c>
      <c r="B274" s="1" t="s">
        <v>21</v>
      </c>
      <c r="C274" s="1" t="s">
        <v>84</v>
      </c>
      <c r="D274" s="1" t="s">
        <v>11</v>
      </c>
      <c r="E274" s="1" t="s">
        <v>15</v>
      </c>
      <c r="F274" s="4">
        <v>69</v>
      </c>
      <c r="G274" s="4">
        <v>79</v>
      </c>
      <c r="H274" s="4">
        <v>81</v>
      </c>
      <c r="I274" s="4">
        <f>AVERAGE(Student­­Performance[[#This Row],[Math Score]],Student­­Performance[[#This Row],[Reading Score]],Student­­Performance[[#This Row],[Writing Score]])</f>
        <v>76.333333333333329</v>
      </c>
      <c r="J274" s="10" t="str">
        <f>IF(Student­­Performance[[#This Row],[Average Score]]&gt;=50,"Pass","Fail")</f>
        <v>Pass</v>
      </c>
      <c r="K27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27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27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274" s="4">
        <f>IF(ISNUMBER(Student­­Performance[[#This Row],[Math Score]]),Student­­Performance[[#This Row],[Math Score]],0)</f>
        <v>69</v>
      </c>
      <c r="O274" s="4">
        <f>IF(ISNUMBER(Student­­Performance[[#This Row],[Reading Score]]),Student­­Performance[[#This Row],[Reading Score]],0)</f>
        <v>79</v>
      </c>
      <c r="P274" s="4">
        <f>IF(ISNUMBER(Student­­Performance[[#This Row],[Writing Score]]),Student­­Performance[[#This Row],[Writing Score]],0)</f>
        <v>81</v>
      </c>
      <c r="Q274" s="4" t="str">
        <f>IF(Student­­Performance[[#This Row],[Math Score]]&gt;=50,"Pass","Fail")</f>
        <v>Pass</v>
      </c>
      <c r="R274" s="4" t="str">
        <f>IF(Student­­Performance[[#This Row],[Reading Score]]&gt;=50,"Pass","Fail")</f>
        <v>Pass</v>
      </c>
      <c r="S274" s="4" t="str">
        <f>IF(Student­­Performance[[#This Row],[Writing Score]]&gt;=50,"Pass","Fail")</f>
        <v>Pass</v>
      </c>
      <c r="T27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229</v>
      </c>
      <c r="U274" s="4" cm="1">
        <f t="array" ref="U274">IF(COUNT(F274:H274)=0,"", MAX(IF(ISNUMBER(F274:H274),F274:H274)) - MIN(IF(ISNUMBER(F274:H274),F274:H274)))</f>
        <v>12</v>
      </c>
      <c r="V274" s="4" t="str">
        <f>IF(U274="","",IF(U274&gt;25,"Outlier","Normal"))</f>
        <v>Normal</v>
      </c>
    </row>
    <row r="275" spans="1:22" x14ac:dyDescent="0.3">
      <c r="A275" s="1" t="s">
        <v>17</v>
      </c>
      <c r="B275" s="1" t="s">
        <v>13</v>
      </c>
      <c r="C275" s="1" t="s">
        <v>88</v>
      </c>
      <c r="D275" s="1" t="s">
        <v>11</v>
      </c>
      <c r="E275" s="1" t="s">
        <v>15</v>
      </c>
      <c r="F275" s="4">
        <v>76</v>
      </c>
      <c r="G275" s="4">
        <v>80</v>
      </c>
      <c r="H275" s="4">
        <v>73</v>
      </c>
      <c r="I275" s="4">
        <f>AVERAGE(Student­­Performance[[#This Row],[Math Score]],Student­­Performance[[#This Row],[Reading Score]],Student­­Performance[[#This Row],[Writing Score]])</f>
        <v>76.333333333333329</v>
      </c>
      <c r="J275" s="10" t="str">
        <f>IF(Student­­Performance[[#This Row],[Average Score]]&gt;=50,"Pass","Fail")</f>
        <v>Pass</v>
      </c>
      <c r="K27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27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27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275" s="4">
        <f>IF(ISNUMBER(Student­­Performance[[#This Row],[Math Score]]),Student­­Performance[[#This Row],[Math Score]],0)</f>
        <v>76</v>
      </c>
      <c r="O275" s="4">
        <f>IF(ISNUMBER(Student­­Performance[[#This Row],[Reading Score]]),Student­­Performance[[#This Row],[Reading Score]],0)</f>
        <v>80</v>
      </c>
      <c r="P275" s="4">
        <f>IF(ISNUMBER(Student­­Performance[[#This Row],[Writing Score]]),Student­­Performance[[#This Row],[Writing Score]],0)</f>
        <v>73</v>
      </c>
      <c r="Q275" s="4" t="str">
        <f>IF(Student­­Performance[[#This Row],[Math Score]]&gt;=50,"Pass","Fail")</f>
        <v>Pass</v>
      </c>
      <c r="R275" s="4" t="str">
        <f>IF(Student­­Performance[[#This Row],[Reading Score]]&gt;=50,"Pass","Fail")</f>
        <v>Pass</v>
      </c>
      <c r="S275" s="4" t="str">
        <f>IF(Student­­Performance[[#This Row],[Writing Score]]&gt;=50,"Pass","Fail")</f>
        <v>Pass</v>
      </c>
      <c r="T27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229</v>
      </c>
      <c r="U275" s="4" cm="1">
        <f t="array" ref="U275">IF(COUNT(F275:H275)=0,"", MAX(IF(ISNUMBER(F275:H275),F275:H275)) - MIN(IF(ISNUMBER(F275:H275),F275:H275)))</f>
        <v>7</v>
      </c>
      <c r="V275" s="4" t="str">
        <f>IF(U275="","",IF(U275&gt;25,"Outlier","Normal"))</f>
        <v>Normal</v>
      </c>
    </row>
    <row r="276" spans="1:22" x14ac:dyDescent="0.3">
      <c r="A276" s="1" t="s">
        <v>17</v>
      </c>
      <c r="B276" s="1" t="s">
        <v>21</v>
      </c>
      <c r="C276" s="1" t="s">
        <v>83</v>
      </c>
      <c r="D276" s="1" t="s">
        <v>20</v>
      </c>
      <c r="E276" s="1" t="s">
        <v>15</v>
      </c>
      <c r="F276" s="4">
        <v>74</v>
      </c>
      <c r="G276" s="4">
        <v>79</v>
      </c>
      <c r="H276" s="4">
        <v>75</v>
      </c>
      <c r="I276" s="4">
        <f>AVERAGE(Student­­Performance[[#This Row],[Math Score]],Student­­Performance[[#This Row],[Reading Score]],Student­­Performance[[#This Row],[Writing Score]])</f>
        <v>76</v>
      </c>
      <c r="J276" s="10" t="str">
        <f>IF(Student­­Performance[[#This Row],[Average Score]]&gt;=50,"Pass","Fail")</f>
        <v>Pass</v>
      </c>
      <c r="K27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27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27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276" s="4">
        <f>IF(ISNUMBER(Student­­Performance[[#This Row],[Math Score]]),Student­­Performance[[#This Row],[Math Score]],0)</f>
        <v>74</v>
      </c>
      <c r="O276" s="4">
        <f>IF(ISNUMBER(Student­­Performance[[#This Row],[Reading Score]]),Student­­Performance[[#This Row],[Reading Score]],0)</f>
        <v>79</v>
      </c>
      <c r="P276" s="4">
        <f>IF(ISNUMBER(Student­­Performance[[#This Row],[Writing Score]]),Student­­Performance[[#This Row],[Writing Score]],0)</f>
        <v>75</v>
      </c>
      <c r="Q276" s="4" t="str">
        <f>IF(Student­­Performance[[#This Row],[Math Score]]&gt;=50,"Pass","Fail")</f>
        <v>Pass</v>
      </c>
      <c r="R276" s="4" t="str">
        <f>IF(Student­­Performance[[#This Row],[Reading Score]]&gt;=50,"Pass","Fail")</f>
        <v>Pass</v>
      </c>
      <c r="S276" s="4" t="str">
        <f>IF(Student­­Performance[[#This Row],[Writing Score]]&gt;=50,"Pass","Fail")</f>
        <v>Pass</v>
      </c>
      <c r="T27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228</v>
      </c>
      <c r="U276" s="4" cm="1">
        <f t="array" ref="U276">IF(COUNT(F276:H276)=0,"", MAX(IF(ISNUMBER(F276:H276),F276:H276)) - MIN(IF(ISNUMBER(F276:H276),F276:H276)))</f>
        <v>5</v>
      </c>
      <c r="V276" s="4" t="str">
        <f>IF(U276="","",IF(U276&gt;25,"Outlier","Normal"))</f>
        <v>Normal</v>
      </c>
    </row>
    <row r="277" spans="1:22" x14ac:dyDescent="0.3">
      <c r="A277" s="1" t="s">
        <v>8</v>
      </c>
      <c r="B277" s="1" t="s">
        <v>21</v>
      </c>
      <c r="C277" s="1" t="s">
        <v>84</v>
      </c>
      <c r="D277" s="1" t="s">
        <v>11</v>
      </c>
      <c r="E277" s="1" t="s">
        <v>15</v>
      </c>
      <c r="F277" s="4">
        <v>74</v>
      </c>
      <c r="G277" s="4">
        <v>75</v>
      </c>
      <c r="H277" s="4">
        <v>79</v>
      </c>
      <c r="I277" s="4">
        <f>AVERAGE(Student­­Performance[[#This Row],[Math Score]],Student­­Performance[[#This Row],[Reading Score]],Student­­Performance[[#This Row],[Writing Score]])</f>
        <v>76</v>
      </c>
      <c r="J277" s="10" t="str">
        <f>IF(Student­­Performance[[#This Row],[Average Score]]&gt;=50,"Pass","Fail")</f>
        <v>Pass</v>
      </c>
      <c r="K27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27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27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277" s="4">
        <f>IF(ISNUMBER(Student­­Performance[[#This Row],[Math Score]]),Student­­Performance[[#This Row],[Math Score]],0)</f>
        <v>74</v>
      </c>
      <c r="O277" s="4">
        <f>IF(ISNUMBER(Student­­Performance[[#This Row],[Reading Score]]),Student­­Performance[[#This Row],[Reading Score]],0)</f>
        <v>75</v>
      </c>
      <c r="P277" s="4">
        <f>IF(ISNUMBER(Student­­Performance[[#This Row],[Writing Score]]),Student­­Performance[[#This Row],[Writing Score]],0)</f>
        <v>79</v>
      </c>
      <c r="Q277" s="4" t="str">
        <f>IF(Student­­Performance[[#This Row],[Math Score]]&gt;=50,"Pass","Fail")</f>
        <v>Pass</v>
      </c>
      <c r="R277" s="4" t="str">
        <f>IF(Student­­Performance[[#This Row],[Reading Score]]&gt;=50,"Pass","Fail")</f>
        <v>Pass</v>
      </c>
      <c r="S277" s="4" t="str">
        <f>IF(Student­­Performance[[#This Row],[Writing Score]]&gt;=50,"Pass","Fail")</f>
        <v>Pass</v>
      </c>
      <c r="T27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228</v>
      </c>
      <c r="U277" s="4" cm="1">
        <f t="array" ref="U277">IF(COUNT(F277:H277)=0,"", MAX(IF(ISNUMBER(F277:H277),F277:H277)) - MIN(IF(ISNUMBER(F277:H277),F277:H277)))</f>
        <v>5</v>
      </c>
      <c r="V277" s="4" t="str">
        <f>IF(U277="","",IF(U277&gt;25,"Outlier","Normal"))</f>
        <v>Normal</v>
      </c>
    </row>
    <row r="278" spans="1:22" x14ac:dyDescent="0.3">
      <c r="A278" s="1" t="s">
        <v>8</v>
      </c>
      <c r="B278" s="1" t="s">
        <v>21</v>
      </c>
      <c r="C278" s="1" t="s">
        <v>86</v>
      </c>
      <c r="D278" s="1" t="s">
        <v>11</v>
      </c>
      <c r="E278" s="1" t="s">
        <v>15</v>
      </c>
      <c r="F278" s="4">
        <v>73</v>
      </c>
      <c r="G278" s="4">
        <v>75</v>
      </c>
      <c r="H278" s="4">
        <v>80</v>
      </c>
      <c r="I278" s="4">
        <f>AVERAGE(Student­­Performance[[#This Row],[Math Score]],Student­­Performance[[#This Row],[Reading Score]],Student­­Performance[[#This Row],[Writing Score]])</f>
        <v>76</v>
      </c>
      <c r="J278" s="10" t="str">
        <f>IF(Student­­Performance[[#This Row],[Average Score]]&gt;=50,"Pass","Fail")</f>
        <v>Pass</v>
      </c>
      <c r="K27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27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27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278" s="4">
        <f>IF(ISNUMBER(Student­­Performance[[#This Row],[Math Score]]),Student­­Performance[[#This Row],[Math Score]],0)</f>
        <v>73</v>
      </c>
      <c r="O278" s="4">
        <f>IF(ISNUMBER(Student­­Performance[[#This Row],[Reading Score]]),Student­­Performance[[#This Row],[Reading Score]],0)</f>
        <v>75</v>
      </c>
      <c r="P278" s="4">
        <f>IF(ISNUMBER(Student­­Performance[[#This Row],[Writing Score]]),Student­­Performance[[#This Row],[Writing Score]],0)</f>
        <v>80</v>
      </c>
      <c r="Q278" s="4" t="str">
        <f>IF(Student­­Performance[[#This Row],[Math Score]]&gt;=50,"Pass","Fail")</f>
        <v>Pass</v>
      </c>
      <c r="R278" s="4" t="str">
        <f>IF(Student­­Performance[[#This Row],[Reading Score]]&gt;=50,"Pass","Fail")</f>
        <v>Pass</v>
      </c>
      <c r="S278" s="4" t="str">
        <f>IF(Student­­Performance[[#This Row],[Writing Score]]&gt;=50,"Pass","Fail")</f>
        <v>Pass</v>
      </c>
      <c r="T27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228</v>
      </c>
      <c r="U278" s="4" cm="1">
        <f t="array" ref="U278">IF(COUNT(F278:H278)=0,"", MAX(IF(ISNUMBER(F278:H278),F278:H278)) - MIN(IF(ISNUMBER(F278:H278),F278:H278)))</f>
        <v>7</v>
      </c>
      <c r="V278" s="4" t="str">
        <f>IF(U278="","",IF(U278&gt;25,"Outlier","Normal"))</f>
        <v>Normal</v>
      </c>
    </row>
    <row r="279" spans="1:22" x14ac:dyDescent="0.3">
      <c r="A279" s="1" t="s">
        <v>8</v>
      </c>
      <c r="B279" s="1" t="s">
        <v>21</v>
      </c>
      <c r="C279" s="1" t="s">
        <v>88</v>
      </c>
      <c r="D279" s="1" t="s">
        <v>11</v>
      </c>
      <c r="E279" s="1" t="s">
        <v>12</v>
      </c>
      <c r="F279" s="4">
        <v>65</v>
      </c>
      <c r="G279" s="4">
        <v>82</v>
      </c>
      <c r="H279" s="4">
        <v>81</v>
      </c>
      <c r="I279" s="4">
        <f>AVERAGE(Student­­Performance[[#This Row],[Math Score]],Student­­Performance[[#This Row],[Reading Score]],Student­­Performance[[#This Row],[Writing Score]])</f>
        <v>76</v>
      </c>
      <c r="J279" s="10" t="str">
        <f>IF(Student­­Performance[[#This Row],[Average Score]]&gt;=50,"Pass","Fail")</f>
        <v>Pass</v>
      </c>
      <c r="K27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17</v>
      </c>
      <c r="L27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27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16</v>
      </c>
      <c r="N279" s="4">
        <f>IF(ISNUMBER(Student­­Performance[[#This Row],[Math Score]]),Student­­Performance[[#This Row],[Math Score]],0)</f>
        <v>65</v>
      </c>
      <c r="O279" s="4">
        <f>IF(ISNUMBER(Student­­Performance[[#This Row],[Reading Score]]),Student­­Performance[[#This Row],[Reading Score]],0)</f>
        <v>82</v>
      </c>
      <c r="P279" s="4">
        <f>IF(ISNUMBER(Student­­Performance[[#This Row],[Writing Score]]),Student­­Performance[[#This Row],[Writing Score]],0)</f>
        <v>81</v>
      </c>
      <c r="Q279" s="4" t="str">
        <f>IF(Student­­Performance[[#This Row],[Math Score]]&gt;=50,"Pass","Fail")</f>
        <v>Pass</v>
      </c>
      <c r="R279" s="4" t="str">
        <f>IF(Student­­Performance[[#This Row],[Reading Score]]&gt;=50,"Pass","Fail")</f>
        <v>Pass</v>
      </c>
      <c r="S279" s="4" t="str">
        <f>IF(Student­­Performance[[#This Row],[Writing Score]]&gt;=50,"Pass","Fail")</f>
        <v>Pass</v>
      </c>
      <c r="T27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228</v>
      </c>
      <c r="U279" s="4" cm="1">
        <f t="array" ref="U279">IF(COUNT(F279:H279)=0,"", MAX(IF(ISNUMBER(F279:H279),F279:H279)) - MIN(IF(ISNUMBER(F279:H279),F279:H279)))</f>
        <v>17</v>
      </c>
      <c r="V279" s="4" t="str">
        <f>IF(U279="","",IF(U279&gt;25,"Outlier","Normal"))</f>
        <v>Normal</v>
      </c>
    </row>
    <row r="280" spans="1:22" x14ac:dyDescent="0.3">
      <c r="A280" s="1" t="s">
        <v>8</v>
      </c>
      <c r="B280" s="1" t="s">
        <v>9</v>
      </c>
      <c r="C280" s="1" t="s">
        <v>87</v>
      </c>
      <c r="D280" s="1" t="s">
        <v>20</v>
      </c>
      <c r="E280" s="1" t="s">
        <v>15</v>
      </c>
      <c r="F280" s="4">
        <v>67</v>
      </c>
      <c r="G280" s="4">
        <v>80</v>
      </c>
      <c r="H280" s="4">
        <v>81</v>
      </c>
      <c r="I280" s="4">
        <f>AVERAGE(Student­­Performance[[#This Row],[Math Score]],Student­­Performance[[#This Row],[Reading Score]],Student­­Performance[[#This Row],[Writing Score]])</f>
        <v>76</v>
      </c>
      <c r="J280" s="10" t="str">
        <f>IF(Student­­Performance[[#This Row],[Average Score]]&gt;=50,"Pass","Fail")</f>
        <v>Pass</v>
      </c>
      <c r="K28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13</v>
      </c>
      <c r="L28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28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14</v>
      </c>
      <c r="N280" s="4">
        <f>IF(ISNUMBER(Student­­Performance[[#This Row],[Math Score]]),Student­­Performance[[#This Row],[Math Score]],0)</f>
        <v>67</v>
      </c>
      <c r="O280" s="4">
        <f>IF(ISNUMBER(Student­­Performance[[#This Row],[Reading Score]]),Student­­Performance[[#This Row],[Reading Score]],0)</f>
        <v>80</v>
      </c>
      <c r="P280" s="4">
        <f>IF(ISNUMBER(Student­­Performance[[#This Row],[Writing Score]]),Student­­Performance[[#This Row],[Writing Score]],0)</f>
        <v>81</v>
      </c>
      <c r="Q280" s="4" t="str">
        <f>IF(Student­­Performance[[#This Row],[Math Score]]&gt;=50,"Pass","Fail")</f>
        <v>Pass</v>
      </c>
      <c r="R280" s="4" t="str">
        <f>IF(Student­­Performance[[#This Row],[Reading Score]]&gt;=50,"Pass","Fail")</f>
        <v>Pass</v>
      </c>
      <c r="S280" s="4" t="str">
        <f>IF(Student­­Performance[[#This Row],[Writing Score]]&gt;=50,"Pass","Fail")</f>
        <v>Pass</v>
      </c>
      <c r="T28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228</v>
      </c>
      <c r="U280" s="4" cm="1">
        <f t="array" ref="U280">IF(COUNT(F280:H280)=0,"", MAX(IF(ISNUMBER(F280:H280),F280:H280)) - MIN(IF(ISNUMBER(F280:H280),F280:H280)))</f>
        <v>14</v>
      </c>
      <c r="V280" s="4" t="str">
        <f>IF(U280="","",IF(U280&gt;25,"Outlier","Normal"))</f>
        <v>Normal</v>
      </c>
    </row>
    <row r="281" spans="1:22" x14ac:dyDescent="0.3">
      <c r="A281" s="1" t="s">
        <v>8</v>
      </c>
      <c r="B281" s="1" t="s">
        <v>13</v>
      </c>
      <c r="C281" s="1" t="s">
        <v>88</v>
      </c>
      <c r="D281" s="1" t="s">
        <v>11</v>
      </c>
      <c r="E281" s="1" t="s">
        <v>15</v>
      </c>
      <c r="F281" s="4">
        <v>70</v>
      </c>
      <c r="G281" s="4">
        <v>82</v>
      </c>
      <c r="H281" s="4">
        <v>76</v>
      </c>
      <c r="I281" s="4">
        <f>AVERAGE(Student­­Performance[[#This Row],[Math Score]],Student­­Performance[[#This Row],[Reading Score]],Student­­Performance[[#This Row],[Writing Score]])</f>
        <v>76</v>
      </c>
      <c r="J281" s="10" t="str">
        <f>IF(Student­­Performance[[#This Row],[Average Score]]&gt;=50,"Pass","Fail")</f>
        <v>Pass</v>
      </c>
      <c r="K28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28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28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281" s="4">
        <f>IF(ISNUMBER(Student­­Performance[[#This Row],[Math Score]]),Student­­Performance[[#This Row],[Math Score]],0)</f>
        <v>70</v>
      </c>
      <c r="O281" s="4">
        <f>IF(ISNUMBER(Student­­Performance[[#This Row],[Reading Score]]),Student­­Performance[[#This Row],[Reading Score]],0)</f>
        <v>82</v>
      </c>
      <c r="P281" s="4">
        <f>IF(ISNUMBER(Student­­Performance[[#This Row],[Writing Score]]),Student­­Performance[[#This Row],[Writing Score]],0)</f>
        <v>76</v>
      </c>
      <c r="Q281" s="4" t="str">
        <f>IF(Student­­Performance[[#This Row],[Math Score]]&gt;=50,"Pass","Fail")</f>
        <v>Pass</v>
      </c>
      <c r="R281" s="4" t="str">
        <f>IF(Student­­Performance[[#This Row],[Reading Score]]&gt;=50,"Pass","Fail")</f>
        <v>Pass</v>
      </c>
      <c r="S281" s="4" t="str">
        <f>IF(Student­­Performance[[#This Row],[Writing Score]]&gt;=50,"Pass","Fail")</f>
        <v>Pass</v>
      </c>
      <c r="T28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228</v>
      </c>
      <c r="U281" s="4" cm="1">
        <f t="array" ref="U281">IF(COUNT(F281:H281)=0,"", MAX(IF(ISNUMBER(F281:H281),F281:H281)) - MIN(IF(ISNUMBER(F281:H281),F281:H281)))</f>
        <v>12</v>
      </c>
      <c r="V281" s="4" t="str">
        <f>IF(U281="","",IF(U281&gt;25,"Outlier","Normal"))</f>
        <v>Normal</v>
      </c>
    </row>
    <row r="282" spans="1:22" x14ac:dyDescent="0.3">
      <c r="A282" s="1" t="s">
        <v>17</v>
      </c>
      <c r="B282" s="1" t="s">
        <v>26</v>
      </c>
      <c r="C282" s="1" t="s">
        <v>84</v>
      </c>
      <c r="D282" s="1" t="s">
        <v>11</v>
      </c>
      <c r="E282" s="1" t="s">
        <v>15</v>
      </c>
      <c r="F282" s="4">
        <v>85</v>
      </c>
      <c r="G282" s="4">
        <v>75</v>
      </c>
      <c r="H282" s="4">
        <v>68</v>
      </c>
      <c r="I282" s="4">
        <f>AVERAGE(Student­­Performance[[#This Row],[Math Score]],Student­­Performance[[#This Row],[Reading Score]],Student­­Performance[[#This Row],[Writing Score]])</f>
        <v>76</v>
      </c>
      <c r="J282" s="10" t="str">
        <f>IF(Student­­Performance[[#This Row],[Average Score]]&gt;=50,"Pass","Fail")</f>
        <v>Pass</v>
      </c>
      <c r="K28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-10</v>
      </c>
      <c r="L28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28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-17</v>
      </c>
      <c r="N282" s="4">
        <f>IF(ISNUMBER(Student­­Performance[[#This Row],[Math Score]]),Student­­Performance[[#This Row],[Math Score]],0)</f>
        <v>85</v>
      </c>
      <c r="O282" s="4">
        <f>IF(ISNUMBER(Student­­Performance[[#This Row],[Reading Score]]),Student­­Performance[[#This Row],[Reading Score]],0)</f>
        <v>75</v>
      </c>
      <c r="P282" s="4">
        <f>IF(ISNUMBER(Student­­Performance[[#This Row],[Writing Score]]),Student­­Performance[[#This Row],[Writing Score]],0)</f>
        <v>68</v>
      </c>
      <c r="Q282" s="4" t="str">
        <f>IF(Student­­Performance[[#This Row],[Math Score]]&gt;=50,"Pass","Fail")</f>
        <v>Pass</v>
      </c>
      <c r="R282" s="4" t="str">
        <f>IF(Student­­Performance[[#This Row],[Reading Score]]&gt;=50,"Pass","Fail")</f>
        <v>Pass</v>
      </c>
      <c r="S282" s="4" t="str">
        <f>IF(Student­­Performance[[#This Row],[Writing Score]]&gt;=50,"Pass","Fail")</f>
        <v>Pass</v>
      </c>
      <c r="T28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228</v>
      </c>
      <c r="U282" s="4" cm="1">
        <f t="array" ref="U282">IF(COUNT(F282:H282)=0,"", MAX(IF(ISNUMBER(F282:H282),F282:H282)) - MIN(IF(ISNUMBER(F282:H282),F282:H282)))</f>
        <v>17</v>
      </c>
      <c r="V282" s="4" t="str">
        <f>IF(U282="","",IF(U282&gt;25,"Outlier","Normal"))</f>
        <v>Normal</v>
      </c>
    </row>
    <row r="283" spans="1:22" x14ac:dyDescent="0.3">
      <c r="A283" s="1" t="s">
        <v>17</v>
      </c>
      <c r="B283" s="1" t="s">
        <v>21</v>
      </c>
      <c r="C283" s="1" t="s">
        <v>86</v>
      </c>
      <c r="D283" s="1" t="s">
        <v>20</v>
      </c>
      <c r="E283" s="1" t="s">
        <v>12</v>
      </c>
      <c r="F283" s="4">
        <v>77</v>
      </c>
      <c r="G283" s="4">
        <v>78</v>
      </c>
      <c r="H283" s="4">
        <v>73</v>
      </c>
      <c r="I283" s="4">
        <f>AVERAGE(Student­­Performance[[#This Row],[Math Score]],Student­­Performance[[#This Row],[Reading Score]],Student­­Performance[[#This Row],[Writing Score]])</f>
        <v>76</v>
      </c>
      <c r="J283" s="10" t="str">
        <f>IF(Student­­Performance[[#This Row],[Average Score]]&gt;=50,"Pass","Fail")</f>
        <v>Pass</v>
      </c>
      <c r="K28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28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28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283" s="4">
        <f>IF(ISNUMBER(Student­­Performance[[#This Row],[Math Score]]),Student­­Performance[[#This Row],[Math Score]],0)</f>
        <v>77</v>
      </c>
      <c r="O283" s="4">
        <f>IF(ISNUMBER(Student­­Performance[[#This Row],[Reading Score]]),Student­­Performance[[#This Row],[Reading Score]],0)</f>
        <v>78</v>
      </c>
      <c r="P283" s="4">
        <f>IF(ISNUMBER(Student­­Performance[[#This Row],[Writing Score]]),Student­­Performance[[#This Row],[Writing Score]],0)</f>
        <v>73</v>
      </c>
      <c r="Q283" s="4" t="str">
        <f>IF(Student­­Performance[[#This Row],[Math Score]]&gt;=50,"Pass","Fail")</f>
        <v>Pass</v>
      </c>
      <c r="R283" s="4" t="str">
        <f>IF(Student­­Performance[[#This Row],[Reading Score]]&gt;=50,"Pass","Fail")</f>
        <v>Pass</v>
      </c>
      <c r="S283" s="4" t="str">
        <f>IF(Student­­Performance[[#This Row],[Writing Score]]&gt;=50,"Pass","Fail")</f>
        <v>Pass</v>
      </c>
      <c r="T28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228</v>
      </c>
      <c r="U283" s="4" cm="1">
        <f t="array" ref="U283">IF(COUNT(F283:H283)=0,"", MAX(IF(ISNUMBER(F283:H283),F283:H283)) - MIN(IF(ISNUMBER(F283:H283),F283:H283)))</f>
        <v>5</v>
      </c>
      <c r="V283" s="4" t="str">
        <f>IF(U283="","",IF(U283&gt;25,"Outlier","Normal"))</f>
        <v>Normal</v>
      </c>
    </row>
    <row r="284" spans="1:22" x14ac:dyDescent="0.3">
      <c r="A284" s="1" t="s">
        <v>8</v>
      </c>
      <c r="B284" s="1" t="s">
        <v>26</v>
      </c>
      <c r="C284" s="1" t="s">
        <v>88</v>
      </c>
      <c r="D284" s="1" t="s">
        <v>20</v>
      </c>
      <c r="E284" s="1" t="s">
        <v>12</v>
      </c>
      <c r="F284" s="4">
        <v>72</v>
      </c>
      <c r="G284" s="4">
        <v>79</v>
      </c>
      <c r="H284" s="4">
        <v>77</v>
      </c>
      <c r="I284" s="4">
        <f>AVERAGE(Student­­Performance[[#This Row],[Math Score]],Student­­Performance[[#This Row],[Reading Score]],Student­­Performance[[#This Row],[Writing Score]])</f>
        <v>76</v>
      </c>
      <c r="J284" s="10" t="str">
        <f>IF(Student­­Performance[[#This Row],[Average Score]]&gt;=50,"Pass","Fail")</f>
        <v>Pass</v>
      </c>
      <c r="K28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28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28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284" s="4">
        <f>IF(ISNUMBER(Student­­Performance[[#This Row],[Math Score]]),Student­­Performance[[#This Row],[Math Score]],0)</f>
        <v>72</v>
      </c>
      <c r="O284" s="4">
        <f>IF(ISNUMBER(Student­­Performance[[#This Row],[Reading Score]]),Student­­Performance[[#This Row],[Reading Score]],0)</f>
        <v>79</v>
      </c>
      <c r="P284" s="4">
        <f>IF(ISNUMBER(Student­­Performance[[#This Row],[Writing Score]]),Student­­Performance[[#This Row],[Writing Score]],0)</f>
        <v>77</v>
      </c>
      <c r="Q284" s="4" t="str">
        <f>IF(Student­­Performance[[#This Row],[Math Score]]&gt;=50,"Pass","Fail")</f>
        <v>Pass</v>
      </c>
      <c r="R284" s="4" t="str">
        <f>IF(Student­­Performance[[#This Row],[Reading Score]]&gt;=50,"Pass","Fail")</f>
        <v>Pass</v>
      </c>
      <c r="S284" s="4" t="str">
        <f>IF(Student­­Performance[[#This Row],[Writing Score]]&gt;=50,"Pass","Fail")</f>
        <v>Pass</v>
      </c>
      <c r="T28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228</v>
      </c>
      <c r="U284" s="4" cm="1">
        <f t="array" ref="U284">IF(COUNT(F284:H284)=0,"", MAX(IF(ISNUMBER(F284:H284),F284:H284)) - MIN(IF(ISNUMBER(F284:H284),F284:H284)))</f>
        <v>7</v>
      </c>
      <c r="V284" s="4" t="str">
        <f>IF(U284="","",IF(U284&gt;25,"Outlier","Normal"))</f>
        <v>Normal</v>
      </c>
    </row>
    <row r="285" spans="1:22" x14ac:dyDescent="0.3">
      <c r="A285" s="1" t="s">
        <v>8</v>
      </c>
      <c r="B285" s="1" t="s">
        <v>13</v>
      </c>
      <c r="C285" s="1" t="s">
        <v>85</v>
      </c>
      <c r="D285" s="1" t="s">
        <v>20</v>
      </c>
      <c r="E285" s="1" t="s">
        <v>15</v>
      </c>
      <c r="F285" s="4">
        <v>65</v>
      </c>
      <c r="G285" s="4">
        <v>81</v>
      </c>
      <c r="H285" s="4">
        <v>81</v>
      </c>
      <c r="I285" s="4">
        <f>AVERAGE(Student­­Performance[[#This Row],[Math Score]],Student­­Performance[[#This Row],[Reading Score]],Student­­Performance[[#This Row],[Writing Score]])</f>
        <v>75.666666666666671</v>
      </c>
      <c r="J285" s="10" t="str">
        <f>IF(Student­­Performance[[#This Row],[Average Score]]&gt;=50,"Pass","Fail")</f>
        <v>Pass</v>
      </c>
      <c r="K28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16</v>
      </c>
      <c r="L28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28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16</v>
      </c>
      <c r="N285" s="4">
        <f>IF(ISNUMBER(Student­­Performance[[#This Row],[Math Score]]),Student­­Performance[[#This Row],[Math Score]],0)</f>
        <v>65</v>
      </c>
      <c r="O285" s="4">
        <f>IF(ISNUMBER(Student­­Performance[[#This Row],[Reading Score]]),Student­­Performance[[#This Row],[Reading Score]],0)</f>
        <v>81</v>
      </c>
      <c r="P285" s="4">
        <f>IF(ISNUMBER(Student­­Performance[[#This Row],[Writing Score]]),Student­­Performance[[#This Row],[Writing Score]],0)</f>
        <v>81</v>
      </c>
      <c r="Q285" s="4" t="str">
        <f>IF(Student­­Performance[[#This Row],[Math Score]]&gt;=50,"Pass","Fail")</f>
        <v>Pass</v>
      </c>
      <c r="R285" s="4" t="str">
        <f>IF(Student­­Performance[[#This Row],[Reading Score]]&gt;=50,"Pass","Fail")</f>
        <v>Pass</v>
      </c>
      <c r="S285" s="4" t="str">
        <f>IF(Student­­Performance[[#This Row],[Writing Score]]&gt;=50,"Pass","Fail")</f>
        <v>Pass</v>
      </c>
      <c r="T28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227</v>
      </c>
      <c r="U285" s="4" cm="1">
        <f t="array" ref="U285">IF(COUNT(F285:H285)=0,"", MAX(IF(ISNUMBER(F285:H285),F285:H285)) - MIN(IF(ISNUMBER(F285:H285),F285:H285)))</f>
        <v>16</v>
      </c>
      <c r="V285" s="4" t="str">
        <f>IF(U285="","",IF(U285&gt;25,"Outlier","Normal"))</f>
        <v>Normal</v>
      </c>
    </row>
    <row r="286" spans="1:22" x14ac:dyDescent="0.3">
      <c r="A286" s="1" t="s">
        <v>8</v>
      </c>
      <c r="B286" s="1" t="s">
        <v>13</v>
      </c>
      <c r="C286" s="1" t="s">
        <v>87</v>
      </c>
      <c r="D286" s="1" t="s">
        <v>11</v>
      </c>
      <c r="E286" s="1" t="s">
        <v>12</v>
      </c>
      <c r="F286" s="4">
        <v>72</v>
      </c>
      <c r="G286" s="4">
        <v>80</v>
      </c>
      <c r="H286" s="4">
        <v>75</v>
      </c>
      <c r="I286" s="4">
        <f>AVERAGE(Student­­Performance[[#This Row],[Math Score]],Student­­Performance[[#This Row],[Reading Score]],Student­­Performance[[#This Row],[Writing Score]])</f>
        <v>75.666666666666671</v>
      </c>
      <c r="J286" s="10" t="str">
        <f>IF(Student­­Performance[[#This Row],[Average Score]]&gt;=50,"Pass","Fail")</f>
        <v>Pass</v>
      </c>
      <c r="K28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28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28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286" s="4">
        <f>IF(ISNUMBER(Student­­Performance[[#This Row],[Math Score]]),Student­­Performance[[#This Row],[Math Score]],0)</f>
        <v>72</v>
      </c>
      <c r="O286" s="4">
        <f>IF(ISNUMBER(Student­­Performance[[#This Row],[Reading Score]]),Student­­Performance[[#This Row],[Reading Score]],0)</f>
        <v>80</v>
      </c>
      <c r="P286" s="4">
        <f>IF(ISNUMBER(Student­­Performance[[#This Row],[Writing Score]]),Student­­Performance[[#This Row],[Writing Score]],0)</f>
        <v>75</v>
      </c>
      <c r="Q286" s="4" t="str">
        <f>IF(Student­­Performance[[#This Row],[Math Score]]&gt;=50,"Pass","Fail")</f>
        <v>Pass</v>
      </c>
      <c r="R286" s="4" t="str">
        <f>IF(Student­­Performance[[#This Row],[Reading Score]]&gt;=50,"Pass","Fail")</f>
        <v>Pass</v>
      </c>
      <c r="S286" s="4" t="str">
        <f>IF(Student­­Performance[[#This Row],[Writing Score]]&gt;=50,"Pass","Fail")</f>
        <v>Pass</v>
      </c>
      <c r="T28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227</v>
      </c>
      <c r="U286" s="4" cm="1">
        <f t="array" ref="U286">IF(COUNT(F286:H286)=0,"", MAX(IF(ISNUMBER(F286:H286),F286:H286)) - MIN(IF(ISNUMBER(F286:H286),F286:H286)))</f>
        <v>8</v>
      </c>
      <c r="V286" s="4" t="str">
        <f>IF(U286="","",IF(U286&gt;25,"Outlier","Normal"))</f>
        <v>Normal</v>
      </c>
    </row>
    <row r="287" spans="1:22" x14ac:dyDescent="0.3">
      <c r="A287" s="1" t="s">
        <v>8</v>
      </c>
      <c r="B287" s="1" t="s">
        <v>13</v>
      </c>
      <c r="C287" s="1" t="s">
        <v>84</v>
      </c>
      <c r="D287" s="1" t="s">
        <v>11</v>
      </c>
      <c r="E287" s="1" t="s">
        <v>15</v>
      </c>
      <c r="F287" s="4">
        <v>67</v>
      </c>
      <c r="G287" s="4">
        <v>81</v>
      </c>
      <c r="H287" s="4">
        <v>79</v>
      </c>
      <c r="I287" s="4">
        <f>AVERAGE(Student­­Performance[[#This Row],[Math Score]],Student­­Performance[[#This Row],[Reading Score]],Student­­Performance[[#This Row],[Writing Score]])</f>
        <v>75.666666666666671</v>
      </c>
      <c r="J287" s="10" t="str">
        <f>IF(Student­­Performance[[#This Row],[Average Score]]&gt;=50,"Pass","Fail")</f>
        <v>Pass</v>
      </c>
      <c r="K28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14</v>
      </c>
      <c r="L28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28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287" s="4">
        <f>IF(ISNUMBER(Student­­Performance[[#This Row],[Math Score]]),Student­­Performance[[#This Row],[Math Score]],0)</f>
        <v>67</v>
      </c>
      <c r="O287" s="4">
        <f>IF(ISNUMBER(Student­­Performance[[#This Row],[Reading Score]]),Student­­Performance[[#This Row],[Reading Score]],0)</f>
        <v>81</v>
      </c>
      <c r="P287" s="4">
        <f>IF(ISNUMBER(Student­­Performance[[#This Row],[Writing Score]]),Student­­Performance[[#This Row],[Writing Score]],0)</f>
        <v>79</v>
      </c>
      <c r="Q287" s="4" t="str">
        <f>IF(Student­­Performance[[#This Row],[Math Score]]&gt;=50,"Pass","Fail")</f>
        <v>Pass</v>
      </c>
      <c r="R287" s="4" t="str">
        <f>IF(Student­­Performance[[#This Row],[Reading Score]]&gt;=50,"Pass","Fail")</f>
        <v>Pass</v>
      </c>
      <c r="S287" s="4" t="str">
        <f>IF(Student­­Performance[[#This Row],[Writing Score]]&gt;=50,"Pass","Fail")</f>
        <v>Pass</v>
      </c>
      <c r="T28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227</v>
      </c>
      <c r="U287" s="4" cm="1">
        <f t="array" ref="U287">IF(COUNT(F287:H287)=0,"", MAX(IF(ISNUMBER(F287:H287),F287:H287)) - MIN(IF(ISNUMBER(F287:H287),F287:H287)))</f>
        <v>14</v>
      </c>
      <c r="V287" s="4" t="str">
        <f>IF(U287="","",IF(U287&gt;25,"Outlier","Normal"))</f>
        <v>Normal</v>
      </c>
    </row>
    <row r="288" spans="1:22" x14ac:dyDescent="0.3">
      <c r="A288" s="1" t="s">
        <v>8</v>
      </c>
      <c r="B288" s="1" t="s">
        <v>9</v>
      </c>
      <c r="C288" s="1" t="s">
        <v>83</v>
      </c>
      <c r="D288" s="1" t="s">
        <v>11</v>
      </c>
      <c r="E288" s="1" t="s">
        <v>15</v>
      </c>
      <c r="F288" s="4">
        <v>65</v>
      </c>
      <c r="G288" s="4">
        <v>81</v>
      </c>
      <c r="H288" s="4">
        <v>81</v>
      </c>
      <c r="I288" s="4">
        <f>AVERAGE(Student­­Performance[[#This Row],[Math Score]],Student­­Performance[[#This Row],[Reading Score]],Student­­Performance[[#This Row],[Writing Score]])</f>
        <v>75.666666666666671</v>
      </c>
      <c r="J288" s="10" t="str">
        <f>IF(Student­­Performance[[#This Row],[Average Score]]&gt;=50,"Pass","Fail")</f>
        <v>Pass</v>
      </c>
      <c r="K28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16</v>
      </c>
      <c r="L28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28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16</v>
      </c>
      <c r="N288" s="4">
        <f>IF(ISNUMBER(Student­­Performance[[#This Row],[Math Score]]),Student­­Performance[[#This Row],[Math Score]],0)</f>
        <v>65</v>
      </c>
      <c r="O288" s="4">
        <f>IF(ISNUMBER(Student­­Performance[[#This Row],[Reading Score]]),Student­­Performance[[#This Row],[Reading Score]],0)</f>
        <v>81</v>
      </c>
      <c r="P288" s="4">
        <f>IF(ISNUMBER(Student­­Performance[[#This Row],[Writing Score]]),Student­­Performance[[#This Row],[Writing Score]],0)</f>
        <v>81</v>
      </c>
      <c r="Q288" s="4" t="str">
        <f>IF(Student­­Performance[[#This Row],[Math Score]]&gt;=50,"Pass","Fail")</f>
        <v>Pass</v>
      </c>
      <c r="R288" s="4" t="str">
        <f>IF(Student­­Performance[[#This Row],[Reading Score]]&gt;=50,"Pass","Fail")</f>
        <v>Pass</v>
      </c>
      <c r="S288" s="4" t="str">
        <f>IF(Student­­Performance[[#This Row],[Writing Score]]&gt;=50,"Pass","Fail")</f>
        <v>Pass</v>
      </c>
      <c r="T28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227</v>
      </c>
      <c r="U288" s="4" cm="1">
        <f t="array" ref="U288">IF(COUNT(F288:H288)=0,"", MAX(IF(ISNUMBER(F288:H288),F288:H288)) - MIN(IF(ISNUMBER(F288:H288),F288:H288)))</f>
        <v>16</v>
      </c>
      <c r="V288" s="4" t="str">
        <f>IF(U288="","",IF(U288&gt;25,"Outlier","Normal"))</f>
        <v>Normal</v>
      </c>
    </row>
    <row r="289" spans="1:22" x14ac:dyDescent="0.3">
      <c r="A289" s="1" t="s">
        <v>8</v>
      </c>
      <c r="B289" s="1" t="s">
        <v>26</v>
      </c>
      <c r="C289" s="1" t="s">
        <v>84</v>
      </c>
      <c r="D289" s="1" t="s">
        <v>11</v>
      </c>
      <c r="E289" s="1" t="s">
        <v>15</v>
      </c>
      <c r="F289" s="4">
        <v>73</v>
      </c>
      <c r="G289" s="4">
        <v>78</v>
      </c>
      <c r="H289" s="4">
        <v>76</v>
      </c>
      <c r="I289" s="4">
        <f>AVERAGE(Student­­Performance[[#This Row],[Math Score]],Student­­Performance[[#This Row],[Reading Score]],Student­­Performance[[#This Row],[Writing Score]])</f>
        <v>75.666666666666671</v>
      </c>
      <c r="J289" s="10" t="str">
        <f>IF(Student­­Performance[[#This Row],[Average Score]]&gt;=50,"Pass","Fail")</f>
        <v>Pass</v>
      </c>
      <c r="K28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28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28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289" s="4">
        <f>IF(ISNUMBER(Student­­Performance[[#This Row],[Math Score]]),Student­­Performance[[#This Row],[Math Score]],0)</f>
        <v>73</v>
      </c>
      <c r="O289" s="4">
        <f>IF(ISNUMBER(Student­­Performance[[#This Row],[Reading Score]]),Student­­Performance[[#This Row],[Reading Score]],0)</f>
        <v>78</v>
      </c>
      <c r="P289" s="4">
        <f>IF(ISNUMBER(Student­­Performance[[#This Row],[Writing Score]]),Student­­Performance[[#This Row],[Writing Score]],0)</f>
        <v>76</v>
      </c>
      <c r="Q289" s="4" t="str">
        <f>IF(Student­­Performance[[#This Row],[Math Score]]&gt;=50,"Pass","Fail")</f>
        <v>Pass</v>
      </c>
      <c r="R289" s="4" t="str">
        <f>IF(Student­­Performance[[#This Row],[Reading Score]]&gt;=50,"Pass","Fail")</f>
        <v>Pass</v>
      </c>
      <c r="S289" s="4" t="str">
        <f>IF(Student­­Performance[[#This Row],[Writing Score]]&gt;=50,"Pass","Fail")</f>
        <v>Pass</v>
      </c>
      <c r="T28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227</v>
      </c>
      <c r="U289" s="4" cm="1">
        <f t="array" ref="U289">IF(COUNT(F289:H289)=0,"", MAX(IF(ISNUMBER(F289:H289),F289:H289)) - MIN(IF(ISNUMBER(F289:H289),F289:H289)))</f>
        <v>5</v>
      </c>
      <c r="V289" s="4" t="str">
        <f>IF(U289="","",IF(U289&gt;25,"Outlier","Normal"))</f>
        <v>Normal</v>
      </c>
    </row>
    <row r="290" spans="1:22" x14ac:dyDescent="0.3">
      <c r="A290" s="1" t="s">
        <v>8</v>
      </c>
      <c r="B290" s="1" t="s">
        <v>26</v>
      </c>
      <c r="C290" s="1" t="s">
        <v>86</v>
      </c>
      <c r="D290" s="1" t="s">
        <v>20</v>
      </c>
      <c r="E290" s="1" t="s">
        <v>12</v>
      </c>
      <c r="F290" s="4">
        <v>73</v>
      </c>
      <c r="G290" s="4">
        <v>76</v>
      </c>
      <c r="H290" s="4">
        <v>78</v>
      </c>
      <c r="I290" s="4">
        <f>AVERAGE(Student­­Performance[[#This Row],[Math Score]],Student­­Performance[[#This Row],[Reading Score]],Student­­Performance[[#This Row],[Writing Score]])</f>
        <v>75.666666666666671</v>
      </c>
      <c r="J290" s="10" t="str">
        <f>IF(Student­­Performance[[#This Row],[Average Score]]&gt;=50,"Pass","Fail")</f>
        <v>Pass</v>
      </c>
      <c r="K29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29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29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290" s="4">
        <f>IF(ISNUMBER(Student­­Performance[[#This Row],[Math Score]]),Student­­Performance[[#This Row],[Math Score]],0)</f>
        <v>73</v>
      </c>
      <c r="O290" s="4">
        <f>IF(ISNUMBER(Student­­Performance[[#This Row],[Reading Score]]),Student­­Performance[[#This Row],[Reading Score]],0)</f>
        <v>76</v>
      </c>
      <c r="P290" s="4">
        <f>IF(ISNUMBER(Student­­Performance[[#This Row],[Writing Score]]),Student­­Performance[[#This Row],[Writing Score]],0)</f>
        <v>78</v>
      </c>
      <c r="Q290" s="4" t="str">
        <f>IF(Student­­Performance[[#This Row],[Math Score]]&gt;=50,"Pass","Fail")</f>
        <v>Pass</v>
      </c>
      <c r="R290" s="4" t="str">
        <f>IF(Student­­Performance[[#This Row],[Reading Score]]&gt;=50,"Pass","Fail")</f>
        <v>Pass</v>
      </c>
      <c r="S290" s="4" t="str">
        <f>IF(Student­­Performance[[#This Row],[Writing Score]]&gt;=50,"Pass","Fail")</f>
        <v>Pass</v>
      </c>
      <c r="T29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227</v>
      </c>
      <c r="U290" s="4" cm="1">
        <f t="array" ref="U290">IF(COUNT(F290:H290)=0,"", MAX(IF(ISNUMBER(F290:H290),F290:H290)) - MIN(IF(ISNUMBER(F290:H290),F290:H290)))</f>
        <v>5</v>
      </c>
      <c r="V290" s="4" t="str">
        <f>IF(U290="","",IF(U290&gt;25,"Outlier","Normal"))</f>
        <v>Normal</v>
      </c>
    </row>
    <row r="291" spans="1:22" x14ac:dyDescent="0.3">
      <c r="A291" s="1" t="s">
        <v>8</v>
      </c>
      <c r="B291" s="1" t="s">
        <v>21</v>
      </c>
      <c r="C291" s="1" t="s">
        <v>86</v>
      </c>
      <c r="D291" s="1" t="s">
        <v>11</v>
      </c>
      <c r="E291" s="1" t="s">
        <v>12</v>
      </c>
      <c r="F291" s="4">
        <v>77</v>
      </c>
      <c r="G291" s="4">
        <v>77</v>
      </c>
      <c r="H291" s="4">
        <v>73</v>
      </c>
      <c r="I291" s="4">
        <f>AVERAGE(Student­­Performance[[#This Row],[Math Score]],Student­­Performance[[#This Row],[Reading Score]],Student­­Performance[[#This Row],[Writing Score]])</f>
        <v>75.666666666666671</v>
      </c>
      <c r="J291" s="10" t="str">
        <f>IF(Student­­Performance[[#This Row],[Average Score]]&gt;=50,"Pass","Fail")</f>
        <v>Pass</v>
      </c>
      <c r="K29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29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29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291" s="4">
        <f>IF(ISNUMBER(Student­­Performance[[#This Row],[Math Score]]),Student­­Performance[[#This Row],[Math Score]],0)</f>
        <v>77</v>
      </c>
      <c r="O291" s="4">
        <f>IF(ISNUMBER(Student­­Performance[[#This Row],[Reading Score]]),Student­­Performance[[#This Row],[Reading Score]],0)</f>
        <v>77</v>
      </c>
      <c r="P291" s="4">
        <f>IF(ISNUMBER(Student­­Performance[[#This Row],[Writing Score]]),Student­­Performance[[#This Row],[Writing Score]],0)</f>
        <v>73</v>
      </c>
      <c r="Q291" s="4" t="str">
        <f>IF(Student­­Performance[[#This Row],[Math Score]]&gt;=50,"Pass","Fail")</f>
        <v>Pass</v>
      </c>
      <c r="R291" s="4" t="str">
        <f>IF(Student­­Performance[[#This Row],[Reading Score]]&gt;=50,"Pass","Fail")</f>
        <v>Pass</v>
      </c>
      <c r="S291" s="4" t="str">
        <f>IF(Student­­Performance[[#This Row],[Writing Score]]&gt;=50,"Pass","Fail")</f>
        <v>Pass</v>
      </c>
      <c r="T29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227</v>
      </c>
      <c r="U291" s="4" cm="1">
        <f t="array" ref="U291">IF(COUNT(F291:H291)=0,"", MAX(IF(ISNUMBER(F291:H291),F291:H291)) - MIN(IF(ISNUMBER(F291:H291),F291:H291)))</f>
        <v>4</v>
      </c>
      <c r="V291" s="4" t="str">
        <f>IF(U291="","",IF(U291&gt;25,"Outlier","Normal"))</f>
        <v>Normal</v>
      </c>
    </row>
    <row r="292" spans="1:22" x14ac:dyDescent="0.3">
      <c r="A292" s="1" t="s">
        <v>8</v>
      </c>
      <c r="B292" s="1" t="s">
        <v>13</v>
      </c>
      <c r="C292" s="1" t="s">
        <v>84</v>
      </c>
      <c r="D292" s="1" t="s">
        <v>11</v>
      </c>
      <c r="E292" s="1" t="s">
        <v>12</v>
      </c>
      <c r="F292" s="4">
        <v>73</v>
      </c>
      <c r="G292" s="4">
        <v>76</v>
      </c>
      <c r="H292" s="4">
        <v>78</v>
      </c>
      <c r="I292" s="4">
        <f>AVERAGE(Student­­Performance[[#This Row],[Math Score]],Student­­Performance[[#This Row],[Reading Score]],Student­­Performance[[#This Row],[Writing Score]])</f>
        <v>75.666666666666671</v>
      </c>
      <c r="J292" s="10" t="str">
        <f>IF(Student­­Performance[[#This Row],[Average Score]]&gt;=50,"Pass","Fail")</f>
        <v>Pass</v>
      </c>
      <c r="K29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29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29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292" s="4">
        <f>IF(ISNUMBER(Student­­Performance[[#This Row],[Math Score]]),Student­­Performance[[#This Row],[Math Score]],0)</f>
        <v>73</v>
      </c>
      <c r="O292" s="4">
        <f>IF(ISNUMBER(Student­­Performance[[#This Row],[Reading Score]]),Student­­Performance[[#This Row],[Reading Score]],0)</f>
        <v>76</v>
      </c>
      <c r="P292" s="4">
        <f>IF(ISNUMBER(Student­­Performance[[#This Row],[Writing Score]]),Student­­Performance[[#This Row],[Writing Score]],0)</f>
        <v>78</v>
      </c>
      <c r="Q292" s="4" t="str">
        <f>IF(Student­­Performance[[#This Row],[Math Score]]&gt;=50,"Pass","Fail")</f>
        <v>Pass</v>
      </c>
      <c r="R292" s="4" t="str">
        <f>IF(Student­­Performance[[#This Row],[Reading Score]]&gt;=50,"Pass","Fail")</f>
        <v>Pass</v>
      </c>
      <c r="S292" s="4" t="str">
        <f>IF(Student­­Performance[[#This Row],[Writing Score]]&gt;=50,"Pass","Fail")</f>
        <v>Pass</v>
      </c>
      <c r="T29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227</v>
      </c>
      <c r="U292" s="4" cm="1">
        <f t="array" ref="U292">IF(COUNT(F292:H292)=0,"", MAX(IF(ISNUMBER(F292:H292),F292:H292)) - MIN(IF(ISNUMBER(F292:H292),F292:H292)))</f>
        <v>5</v>
      </c>
      <c r="V292" s="4" t="str">
        <f>IF(U292="","",IF(U292&gt;25,"Outlier","Normal"))</f>
        <v>Normal</v>
      </c>
    </row>
    <row r="293" spans="1:22" x14ac:dyDescent="0.3">
      <c r="A293" s="1" t="s">
        <v>17</v>
      </c>
      <c r="B293" s="1" t="s">
        <v>9</v>
      </c>
      <c r="C293" s="1" t="s">
        <v>84</v>
      </c>
      <c r="D293" s="1" t="s">
        <v>20</v>
      </c>
      <c r="E293" s="1" t="s">
        <v>15</v>
      </c>
      <c r="F293" s="4">
        <v>74</v>
      </c>
      <c r="G293" s="4">
        <v>77</v>
      </c>
      <c r="H293" s="4">
        <v>76</v>
      </c>
      <c r="I293" s="4">
        <f>AVERAGE(Student­­Performance[[#This Row],[Math Score]],Student­­Performance[[#This Row],[Reading Score]],Student­­Performance[[#This Row],[Writing Score]])</f>
        <v>75.666666666666671</v>
      </c>
      <c r="J293" s="10" t="str">
        <f>IF(Student­­Performance[[#This Row],[Average Score]]&gt;=50,"Pass","Fail")</f>
        <v>Pass</v>
      </c>
      <c r="K29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29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29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293" s="4">
        <f>IF(ISNUMBER(Student­­Performance[[#This Row],[Math Score]]),Student­­Performance[[#This Row],[Math Score]],0)</f>
        <v>74</v>
      </c>
      <c r="O293" s="4">
        <f>IF(ISNUMBER(Student­­Performance[[#This Row],[Reading Score]]),Student­­Performance[[#This Row],[Reading Score]],0)</f>
        <v>77</v>
      </c>
      <c r="P293" s="4">
        <f>IF(ISNUMBER(Student­­Performance[[#This Row],[Writing Score]]),Student­­Performance[[#This Row],[Writing Score]],0)</f>
        <v>76</v>
      </c>
      <c r="Q293" s="4" t="str">
        <f>IF(Student­­Performance[[#This Row],[Math Score]]&gt;=50,"Pass","Fail")</f>
        <v>Pass</v>
      </c>
      <c r="R293" s="4" t="str">
        <f>IF(Student­­Performance[[#This Row],[Reading Score]]&gt;=50,"Pass","Fail")</f>
        <v>Pass</v>
      </c>
      <c r="S293" s="4" t="str">
        <f>IF(Student­­Performance[[#This Row],[Writing Score]]&gt;=50,"Pass","Fail")</f>
        <v>Pass</v>
      </c>
      <c r="T29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227</v>
      </c>
      <c r="U293" s="4" cm="1">
        <f t="array" ref="U293">IF(COUNT(F293:H293)=0,"", MAX(IF(ISNUMBER(F293:H293),F293:H293)) - MIN(IF(ISNUMBER(F293:H293),F293:H293)))</f>
        <v>3</v>
      </c>
      <c r="V293" s="4" t="str">
        <f>IF(U293="","",IF(U293&gt;25,"Outlier","Normal"))</f>
        <v>Normal</v>
      </c>
    </row>
    <row r="294" spans="1:22" x14ac:dyDescent="0.3">
      <c r="A294" s="1" t="s">
        <v>17</v>
      </c>
      <c r="B294" s="1" t="s">
        <v>13</v>
      </c>
      <c r="C294" s="1" t="s">
        <v>87</v>
      </c>
      <c r="D294" s="1" t="s">
        <v>11</v>
      </c>
      <c r="E294" s="1" t="s">
        <v>12</v>
      </c>
      <c r="F294" s="4">
        <v>75</v>
      </c>
      <c r="G294" s="4">
        <v>81</v>
      </c>
      <c r="H294" s="4">
        <v>71</v>
      </c>
      <c r="I294" s="4">
        <f>AVERAGE(Student­­Performance[[#This Row],[Math Score]],Student­­Performance[[#This Row],[Reading Score]],Student­­Performance[[#This Row],[Writing Score]])</f>
        <v>75.666666666666671</v>
      </c>
      <c r="J294" s="10" t="str">
        <f>IF(Student­­Performance[[#This Row],[Average Score]]&gt;=50,"Pass","Fail")</f>
        <v>Pass</v>
      </c>
      <c r="K29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29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-10</v>
      </c>
      <c r="M29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294" s="4">
        <f>IF(ISNUMBER(Student­­Performance[[#This Row],[Math Score]]),Student­­Performance[[#This Row],[Math Score]],0)</f>
        <v>75</v>
      </c>
      <c r="O294" s="4">
        <f>IF(ISNUMBER(Student­­Performance[[#This Row],[Reading Score]]),Student­­Performance[[#This Row],[Reading Score]],0)</f>
        <v>81</v>
      </c>
      <c r="P294" s="4">
        <f>IF(ISNUMBER(Student­­Performance[[#This Row],[Writing Score]]),Student­­Performance[[#This Row],[Writing Score]],0)</f>
        <v>71</v>
      </c>
      <c r="Q294" s="4" t="str">
        <f>IF(Student­­Performance[[#This Row],[Math Score]]&gt;=50,"Pass","Fail")</f>
        <v>Pass</v>
      </c>
      <c r="R294" s="4" t="str">
        <f>IF(Student­­Performance[[#This Row],[Reading Score]]&gt;=50,"Pass","Fail")</f>
        <v>Pass</v>
      </c>
      <c r="S294" s="4" t="str">
        <f>IF(Student­­Performance[[#This Row],[Writing Score]]&gt;=50,"Pass","Fail")</f>
        <v>Pass</v>
      </c>
      <c r="T29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227</v>
      </c>
      <c r="U294" s="4" cm="1">
        <f t="array" ref="U294">IF(COUNT(F294:H294)=0,"", MAX(IF(ISNUMBER(F294:H294),F294:H294)) - MIN(IF(ISNUMBER(F294:H294),F294:H294)))</f>
        <v>10</v>
      </c>
      <c r="V294" s="4" t="str">
        <f>IF(U294="","",IF(U294&gt;25,"Outlier","Normal"))</f>
        <v>Normal</v>
      </c>
    </row>
    <row r="295" spans="1:22" x14ac:dyDescent="0.3">
      <c r="A295" s="1" t="s">
        <v>8</v>
      </c>
      <c r="B295" s="1" t="s">
        <v>21</v>
      </c>
      <c r="C295" s="1" t="s">
        <v>84</v>
      </c>
      <c r="D295" s="1" t="s">
        <v>20</v>
      </c>
      <c r="E295" s="1" t="s">
        <v>15</v>
      </c>
      <c r="F295" s="4">
        <v>70</v>
      </c>
      <c r="G295" s="4">
        <v>78</v>
      </c>
      <c r="H295" s="4">
        <v>78</v>
      </c>
      <c r="I295" s="4">
        <f>AVERAGE(Student­­Performance[[#This Row],[Math Score]],Student­­Performance[[#This Row],[Reading Score]],Student­­Performance[[#This Row],[Writing Score]])</f>
        <v>75.333333333333329</v>
      </c>
      <c r="J295" s="10" t="str">
        <f>IF(Student­­Performance[[#This Row],[Average Score]]&gt;=50,"Pass","Fail")</f>
        <v>Pass</v>
      </c>
      <c r="K29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29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29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295" s="4">
        <f>IF(ISNUMBER(Student­­Performance[[#This Row],[Math Score]]),Student­­Performance[[#This Row],[Math Score]],0)</f>
        <v>70</v>
      </c>
      <c r="O295" s="4">
        <f>IF(ISNUMBER(Student­­Performance[[#This Row],[Reading Score]]),Student­­Performance[[#This Row],[Reading Score]],0)</f>
        <v>78</v>
      </c>
      <c r="P295" s="4">
        <f>IF(ISNUMBER(Student­­Performance[[#This Row],[Writing Score]]),Student­­Performance[[#This Row],[Writing Score]],0)</f>
        <v>78</v>
      </c>
      <c r="Q295" s="4" t="str">
        <f>IF(Student­­Performance[[#This Row],[Math Score]]&gt;=50,"Pass","Fail")</f>
        <v>Pass</v>
      </c>
      <c r="R295" s="4" t="str">
        <f>IF(Student­­Performance[[#This Row],[Reading Score]]&gt;=50,"Pass","Fail")</f>
        <v>Pass</v>
      </c>
      <c r="S295" s="4" t="str">
        <f>IF(Student­­Performance[[#This Row],[Writing Score]]&gt;=50,"Pass","Fail")</f>
        <v>Pass</v>
      </c>
      <c r="T29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226</v>
      </c>
      <c r="U295" s="4" cm="1">
        <f t="array" ref="U295">IF(COUNT(F295:H295)=0,"", MAX(IF(ISNUMBER(F295:H295),F295:H295)) - MIN(IF(ISNUMBER(F295:H295),F295:H295)))</f>
        <v>8</v>
      </c>
      <c r="V295" s="4" t="str">
        <f>IF(U295="","",IF(U295&gt;25,"Outlier","Normal"))</f>
        <v>Normal</v>
      </c>
    </row>
    <row r="296" spans="1:22" x14ac:dyDescent="0.3">
      <c r="A296" s="1" t="s">
        <v>17</v>
      </c>
      <c r="B296" s="1" t="s">
        <v>26</v>
      </c>
      <c r="C296" s="1" t="s">
        <v>87</v>
      </c>
      <c r="D296" s="1" t="s">
        <v>11</v>
      </c>
      <c r="E296" s="1" t="s">
        <v>12</v>
      </c>
      <c r="F296" s="4">
        <v>84</v>
      </c>
      <c r="G296" s="4">
        <v>73</v>
      </c>
      <c r="H296" s="4">
        <v>69</v>
      </c>
      <c r="I296" s="4">
        <f>AVERAGE(Student­­Performance[[#This Row],[Math Score]],Student­­Performance[[#This Row],[Reading Score]],Student­­Performance[[#This Row],[Writing Score]])</f>
        <v>75.333333333333329</v>
      </c>
      <c r="J296" s="10" t="str">
        <f>IF(Student­­Performance[[#This Row],[Average Score]]&gt;=50,"Pass","Fail")</f>
        <v>Pass</v>
      </c>
      <c r="K29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-11</v>
      </c>
      <c r="L29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29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-15</v>
      </c>
      <c r="N296" s="4">
        <f>IF(ISNUMBER(Student­­Performance[[#This Row],[Math Score]]),Student­­Performance[[#This Row],[Math Score]],0)</f>
        <v>84</v>
      </c>
      <c r="O296" s="4">
        <f>IF(ISNUMBER(Student­­Performance[[#This Row],[Reading Score]]),Student­­Performance[[#This Row],[Reading Score]],0)</f>
        <v>73</v>
      </c>
      <c r="P296" s="4">
        <f>IF(ISNUMBER(Student­­Performance[[#This Row],[Writing Score]]),Student­­Performance[[#This Row],[Writing Score]],0)</f>
        <v>69</v>
      </c>
      <c r="Q296" s="4" t="str">
        <f>IF(Student­­Performance[[#This Row],[Math Score]]&gt;=50,"Pass","Fail")</f>
        <v>Pass</v>
      </c>
      <c r="R296" s="4" t="str">
        <f>IF(Student­­Performance[[#This Row],[Reading Score]]&gt;=50,"Pass","Fail")</f>
        <v>Pass</v>
      </c>
      <c r="S296" s="4" t="str">
        <f>IF(Student­­Performance[[#This Row],[Writing Score]]&gt;=50,"Pass","Fail")</f>
        <v>Pass</v>
      </c>
      <c r="T29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226</v>
      </c>
      <c r="U296" s="4" cm="1">
        <f t="array" ref="U296">IF(COUNT(F296:H296)=0,"", MAX(IF(ISNUMBER(F296:H296),F296:H296)) - MIN(IF(ISNUMBER(F296:H296),F296:H296)))</f>
        <v>15</v>
      </c>
      <c r="V296" s="4" t="str">
        <f>IF(U296="","",IF(U296&gt;25,"Outlier","Normal"))</f>
        <v>Normal</v>
      </c>
    </row>
    <row r="297" spans="1:22" x14ac:dyDescent="0.3">
      <c r="A297" s="1" t="s">
        <v>17</v>
      </c>
      <c r="B297" s="1" t="s">
        <v>9</v>
      </c>
      <c r="C297" s="1" t="s">
        <v>86</v>
      </c>
      <c r="D297" s="1" t="s">
        <v>11</v>
      </c>
      <c r="E297" s="1" t="s">
        <v>12</v>
      </c>
      <c r="F297" s="4">
        <v>81</v>
      </c>
      <c r="G297" s="4">
        <v>73</v>
      </c>
      <c r="H297" s="4">
        <v>72</v>
      </c>
      <c r="I297" s="4">
        <f>AVERAGE(Student­­Performance[[#This Row],[Math Score]],Student­­Performance[[#This Row],[Reading Score]],Student­­Performance[[#This Row],[Writing Score]])</f>
        <v>75.333333333333329</v>
      </c>
      <c r="J297" s="10" t="str">
        <f>IF(Student­­Performance[[#This Row],[Average Score]]&gt;=50,"Pass","Fail")</f>
        <v>Pass</v>
      </c>
      <c r="K29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-8</v>
      </c>
      <c r="L29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29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-9</v>
      </c>
      <c r="N297" s="4">
        <f>IF(ISNUMBER(Student­­Performance[[#This Row],[Math Score]]),Student­­Performance[[#This Row],[Math Score]],0)</f>
        <v>81</v>
      </c>
      <c r="O297" s="4">
        <f>IF(ISNUMBER(Student­­Performance[[#This Row],[Reading Score]]),Student­­Performance[[#This Row],[Reading Score]],0)</f>
        <v>73</v>
      </c>
      <c r="P297" s="4">
        <f>IF(ISNUMBER(Student­­Performance[[#This Row],[Writing Score]]),Student­­Performance[[#This Row],[Writing Score]],0)</f>
        <v>72</v>
      </c>
      <c r="Q297" s="4" t="str">
        <f>IF(Student­­Performance[[#This Row],[Math Score]]&gt;=50,"Pass","Fail")</f>
        <v>Pass</v>
      </c>
      <c r="R297" s="4" t="str">
        <f>IF(Student­­Performance[[#This Row],[Reading Score]]&gt;=50,"Pass","Fail")</f>
        <v>Pass</v>
      </c>
      <c r="S297" s="4" t="str">
        <f>IF(Student­­Performance[[#This Row],[Writing Score]]&gt;=50,"Pass","Fail")</f>
        <v>Pass</v>
      </c>
      <c r="T29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226</v>
      </c>
      <c r="U297" s="4" cm="1">
        <f t="array" ref="U297">IF(COUNT(F297:H297)=0,"", MAX(IF(ISNUMBER(F297:H297),F297:H297)) - MIN(IF(ISNUMBER(F297:H297),F297:H297)))</f>
        <v>9</v>
      </c>
      <c r="V297" s="4" t="str">
        <f>IF(U297="","",IF(U297&gt;25,"Outlier","Normal"))</f>
        <v>Normal</v>
      </c>
    </row>
    <row r="298" spans="1:22" x14ac:dyDescent="0.3">
      <c r="A298" s="1" t="s">
        <v>8</v>
      </c>
      <c r="B298" s="1" t="s">
        <v>26</v>
      </c>
      <c r="C298" s="1" t="s">
        <v>87</v>
      </c>
      <c r="D298" s="1" t="s">
        <v>11</v>
      </c>
      <c r="E298" s="1" t="s">
        <v>12</v>
      </c>
      <c r="F298" s="4">
        <v>74</v>
      </c>
      <c r="G298" s="4">
        <v>81</v>
      </c>
      <c r="H298" s="4">
        <v>71</v>
      </c>
      <c r="I298" s="4">
        <f>AVERAGE(Student­­Performance[[#This Row],[Math Score]],Student­­Performance[[#This Row],[Reading Score]],Student­­Performance[[#This Row],[Writing Score]])</f>
        <v>75.333333333333329</v>
      </c>
      <c r="J298" s="10" t="str">
        <f>IF(Student­­Performance[[#This Row],[Average Score]]&gt;=50,"Pass","Fail")</f>
        <v>Pass</v>
      </c>
      <c r="K29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29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-10</v>
      </c>
      <c r="M29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298" s="4">
        <f>IF(ISNUMBER(Student­­Performance[[#This Row],[Math Score]]),Student­­Performance[[#This Row],[Math Score]],0)</f>
        <v>74</v>
      </c>
      <c r="O298" s="4">
        <f>IF(ISNUMBER(Student­­Performance[[#This Row],[Reading Score]]),Student­­Performance[[#This Row],[Reading Score]],0)</f>
        <v>81</v>
      </c>
      <c r="P298" s="4">
        <f>IF(ISNUMBER(Student­­Performance[[#This Row],[Writing Score]]),Student­­Performance[[#This Row],[Writing Score]],0)</f>
        <v>71</v>
      </c>
      <c r="Q298" s="4" t="str">
        <f>IF(Student­­Performance[[#This Row],[Math Score]]&gt;=50,"Pass","Fail")</f>
        <v>Pass</v>
      </c>
      <c r="R298" s="4" t="str">
        <f>IF(Student­­Performance[[#This Row],[Reading Score]]&gt;=50,"Pass","Fail")</f>
        <v>Pass</v>
      </c>
      <c r="S298" s="4" t="str">
        <f>IF(Student­­Performance[[#This Row],[Writing Score]]&gt;=50,"Pass","Fail")</f>
        <v>Pass</v>
      </c>
      <c r="T29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226</v>
      </c>
      <c r="U298" s="4" cm="1">
        <f t="array" ref="U298">IF(COUNT(F298:H298)=0,"", MAX(IF(ISNUMBER(F298:H298),F298:H298)) - MIN(IF(ISNUMBER(F298:H298),F298:H298)))</f>
        <v>10</v>
      </c>
      <c r="V298" s="4" t="str">
        <f>IF(U298="","",IF(U298&gt;25,"Outlier","Normal"))</f>
        <v>Normal</v>
      </c>
    </row>
    <row r="299" spans="1:22" x14ac:dyDescent="0.3">
      <c r="A299" s="1" t="s">
        <v>8</v>
      </c>
      <c r="B299" s="1" t="s">
        <v>13</v>
      </c>
      <c r="C299" s="1" t="s">
        <v>87</v>
      </c>
      <c r="D299" s="1" t="s">
        <v>11</v>
      </c>
      <c r="E299" s="1" t="s">
        <v>12</v>
      </c>
      <c r="F299" s="4">
        <v>76</v>
      </c>
      <c r="G299" s="4">
        <v>76</v>
      </c>
      <c r="H299" s="4">
        <v>74</v>
      </c>
      <c r="I299" s="4">
        <f>AVERAGE(Student­­Performance[[#This Row],[Math Score]],Student­­Performance[[#This Row],[Reading Score]],Student­­Performance[[#This Row],[Writing Score]])</f>
        <v>75.333333333333329</v>
      </c>
      <c r="J299" s="10" t="str">
        <f>IF(Student­­Performance[[#This Row],[Average Score]]&gt;=50,"Pass","Fail")</f>
        <v>Pass</v>
      </c>
      <c r="K29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29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29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299" s="4">
        <f>IF(ISNUMBER(Student­­Performance[[#This Row],[Math Score]]),Student­­Performance[[#This Row],[Math Score]],0)</f>
        <v>76</v>
      </c>
      <c r="O299" s="4">
        <f>IF(ISNUMBER(Student­­Performance[[#This Row],[Reading Score]]),Student­­Performance[[#This Row],[Reading Score]],0)</f>
        <v>76</v>
      </c>
      <c r="P299" s="4">
        <f>IF(ISNUMBER(Student­­Performance[[#This Row],[Writing Score]]),Student­­Performance[[#This Row],[Writing Score]],0)</f>
        <v>74</v>
      </c>
      <c r="Q299" s="4" t="str">
        <f>IF(Student­­Performance[[#This Row],[Math Score]]&gt;=50,"Pass","Fail")</f>
        <v>Pass</v>
      </c>
      <c r="R299" s="4" t="str">
        <f>IF(Student­­Performance[[#This Row],[Reading Score]]&gt;=50,"Pass","Fail")</f>
        <v>Pass</v>
      </c>
      <c r="S299" s="4" t="str">
        <f>IF(Student­­Performance[[#This Row],[Writing Score]]&gt;=50,"Pass","Fail")</f>
        <v>Pass</v>
      </c>
      <c r="T29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226</v>
      </c>
      <c r="U299" s="4" cm="1">
        <f t="array" ref="U299">IF(COUNT(F299:H299)=0,"", MAX(IF(ISNUMBER(F299:H299),F299:H299)) - MIN(IF(ISNUMBER(F299:H299),F299:H299)))</f>
        <v>2</v>
      </c>
      <c r="V299" s="4" t="str">
        <f>IF(U299="","",IF(U299&gt;25,"Outlier","Normal"))</f>
        <v>Normal</v>
      </c>
    </row>
    <row r="300" spans="1:22" x14ac:dyDescent="0.3">
      <c r="A300" s="1" t="s">
        <v>17</v>
      </c>
      <c r="B300" s="1" t="s">
        <v>26</v>
      </c>
      <c r="C300" s="1" t="s">
        <v>84</v>
      </c>
      <c r="D300" s="1" t="s">
        <v>11</v>
      </c>
      <c r="E300" s="1" t="s">
        <v>15</v>
      </c>
      <c r="F300" s="4">
        <v>81</v>
      </c>
      <c r="G300" s="4">
        <v>74</v>
      </c>
      <c r="H300" s="4">
        <v>71</v>
      </c>
      <c r="I300" s="4">
        <f>AVERAGE(Student­­Performance[[#This Row],[Math Score]],Student­­Performance[[#This Row],[Reading Score]],Student­­Performance[[#This Row],[Writing Score]])</f>
        <v>75.333333333333329</v>
      </c>
      <c r="J300" s="10" t="str">
        <f>IF(Student­­Performance[[#This Row],[Average Score]]&gt;=50,"Pass","Fail")</f>
        <v>Pass</v>
      </c>
      <c r="K30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-7</v>
      </c>
      <c r="L30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30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-10</v>
      </c>
      <c r="N300" s="4">
        <f>IF(ISNUMBER(Student­­Performance[[#This Row],[Math Score]]),Student­­Performance[[#This Row],[Math Score]],0)</f>
        <v>81</v>
      </c>
      <c r="O300" s="4">
        <f>IF(ISNUMBER(Student­­Performance[[#This Row],[Reading Score]]),Student­­Performance[[#This Row],[Reading Score]],0)</f>
        <v>74</v>
      </c>
      <c r="P300" s="4">
        <f>IF(ISNUMBER(Student­­Performance[[#This Row],[Writing Score]]),Student­­Performance[[#This Row],[Writing Score]],0)</f>
        <v>71</v>
      </c>
      <c r="Q300" s="4" t="str">
        <f>IF(Student­­Performance[[#This Row],[Math Score]]&gt;=50,"Pass","Fail")</f>
        <v>Pass</v>
      </c>
      <c r="R300" s="4" t="str">
        <f>IF(Student­­Performance[[#This Row],[Reading Score]]&gt;=50,"Pass","Fail")</f>
        <v>Pass</v>
      </c>
      <c r="S300" s="4" t="str">
        <f>IF(Student­­Performance[[#This Row],[Writing Score]]&gt;=50,"Pass","Fail")</f>
        <v>Pass</v>
      </c>
      <c r="T30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226</v>
      </c>
      <c r="U300" s="4" cm="1">
        <f t="array" ref="U300">IF(COUNT(F300:H300)=0,"", MAX(IF(ISNUMBER(F300:H300),F300:H300)) - MIN(IF(ISNUMBER(F300:H300),F300:H300)))</f>
        <v>10</v>
      </c>
      <c r="V300" s="4" t="str">
        <f>IF(U300="","",IF(U300&gt;25,"Outlier","Normal"))</f>
        <v>Normal</v>
      </c>
    </row>
    <row r="301" spans="1:22" x14ac:dyDescent="0.3">
      <c r="A301" s="1" t="s">
        <v>17</v>
      </c>
      <c r="B301" s="1" t="s">
        <v>21</v>
      </c>
      <c r="C301" s="1" t="s">
        <v>83</v>
      </c>
      <c r="D301" s="1" t="s">
        <v>20</v>
      </c>
      <c r="E301" s="1" t="s">
        <v>15</v>
      </c>
      <c r="F301" s="4">
        <v>74</v>
      </c>
      <c r="G301" s="4">
        <v>71</v>
      </c>
      <c r="H301" s="4">
        <v>80</v>
      </c>
      <c r="I301" s="4">
        <f>AVERAGE(Student­­Performance[[#This Row],[Math Score]],Student­­Performance[[#This Row],[Reading Score]],Student­­Performance[[#This Row],[Writing Score]])</f>
        <v>75</v>
      </c>
      <c r="J301" s="10" t="str">
        <f>IF(Student­­Performance[[#This Row],[Average Score]]&gt;=50,"Pass","Fail")</f>
        <v>Pass</v>
      </c>
      <c r="K30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30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9</v>
      </c>
      <c r="M30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301" s="4">
        <f>IF(ISNUMBER(Student­­Performance[[#This Row],[Math Score]]),Student­­Performance[[#This Row],[Math Score]],0)</f>
        <v>74</v>
      </c>
      <c r="O301" s="4">
        <f>IF(ISNUMBER(Student­­Performance[[#This Row],[Reading Score]]),Student­­Performance[[#This Row],[Reading Score]],0)</f>
        <v>71</v>
      </c>
      <c r="P301" s="4">
        <f>IF(ISNUMBER(Student­­Performance[[#This Row],[Writing Score]]),Student­­Performance[[#This Row],[Writing Score]],0)</f>
        <v>80</v>
      </c>
      <c r="Q301" s="4" t="str">
        <f>IF(Student­­Performance[[#This Row],[Math Score]]&gt;=50,"Pass","Fail")</f>
        <v>Pass</v>
      </c>
      <c r="R301" s="4" t="str">
        <f>IF(Student­­Performance[[#This Row],[Reading Score]]&gt;=50,"Pass","Fail")</f>
        <v>Pass</v>
      </c>
      <c r="S301" s="4" t="str">
        <f>IF(Student­­Performance[[#This Row],[Writing Score]]&gt;=50,"Pass","Fail")</f>
        <v>Pass</v>
      </c>
      <c r="T30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225</v>
      </c>
      <c r="U301" s="4" cm="1">
        <f t="array" ref="U301">IF(COUNT(F301:H301)=0,"", MAX(IF(ISNUMBER(F301:H301),F301:H301)) - MIN(IF(ISNUMBER(F301:H301),F301:H301)))</f>
        <v>9</v>
      </c>
      <c r="V301" s="4" t="str">
        <f>IF(U301="","",IF(U301&gt;25,"Outlier","Normal"))</f>
        <v>Normal</v>
      </c>
    </row>
    <row r="302" spans="1:22" x14ac:dyDescent="0.3">
      <c r="A302" s="1" t="s">
        <v>17</v>
      </c>
      <c r="B302" s="1" t="s">
        <v>26</v>
      </c>
      <c r="C302" s="1" t="s">
        <v>83</v>
      </c>
      <c r="D302" s="1" t="s">
        <v>20</v>
      </c>
      <c r="E302" s="1" t="s">
        <v>15</v>
      </c>
      <c r="F302" s="4">
        <v>79</v>
      </c>
      <c r="G302" s="4">
        <v>74</v>
      </c>
      <c r="H302" s="4">
        <v>72</v>
      </c>
      <c r="I302" s="4">
        <f>AVERAGE(Student­­Performance[[#This Row],[Math Score]],Student­­Performance[[#This Row],[Reading Score]],Student­­Performance[[#This Row],[Writing Score]])</f>
        <v>75</v>
      </c>
      <c r="J302" s="10" t="str">
        <f>IF(Student­­Performance[[#This Row],[Average Score]]&gt;=50,"Pass","Fail")</f>
        <v>Pass</v>
      </c>
      <c r="K30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30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30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302" s="4">
        <f>IF(ISNUMBER(Student­­Performance[[#This Row],[Math Score]]),Student­­Performance[[#This Row],[Math Score]],0)</f>
        <v>79</v>
      </c>
      <c r="O302" s="4">
        <f>IF(ISNUMBER(Student­­Performance[[#This Row],[Reading Score]]),Student­­Performance[[#This Row],[Reading Score]],0)</f>
        <v>74</v>
      </c>
      <c r="P302" s="4">
        <f>IF(ISNUMBER(Student­­Performance[[#This Row],[Writing Score]]),Student­­Performance[[#This Row],[Writing Score]],0)</f>
        <v>72</v>
      </c>
      <c r="Q302" s="4" t="str">
        <f>IF(Student­­Performance[[#This Row],[Math Score]]&gt;=50,"Pass","Fail")</f>
        <v>Pass</v>
      </c>
      <c r="R302" s="4" t="str">
        <f>IF(Student­­Performance[[#This Row],[Reading Score]]&gt;=50,"Pass","Fail")</f>
        <v>Pass</v>
      </c>
      <c r="S302" s="4" t="str">
        <f>IF(Student­­Performance[[#This Row],[Writing Score]]&gt;=50,"Pass","Fail")</f>
        <v>Pass</v>
      </c>
      <c r="T30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225</v>
      </c>
      <c r="U302" s="4" cm="1">
        <f t="array" ref="U302">IF(COUNT(F302:H302)=0,"", MAX(IF(ISNUMBER(F302:H302),F302:H302)) - MIN(IF(ISNUMBER(F302:H302),F302:H302)))</f>
        <v>7</v>
      </c>
      <c r="V302" s="4" t="str">
        <f>IF(U302="","",IF(U302&gt;25,"Outlier","Normal"))</f>
        <v>Normal</v>
      </c>
    </row>
    <row r="303" spans="1:22" x14ac:dyDescent="0.3">
      <c r="A303" s="1" t="s">
        <v>8</v>
      </c>
      <c r="B303" s="1" t="s">
        <v>13</v>
      </c>
      <c r="C303" s="1" t="s">
        <v>86</v>
      </c>
      <c r="D303" s="1" t="s">
        <v>11</v>
      </c>
      <c r="E303" s="1" t="s">
        <v>15</v>
      </c>
      <c r="F303" s="4">
        <v>71</v>
      </c>
      <c r="G303" s="4">
        <v>77</v>
      </c>
      <c r="H303" s="4">
        <v>77</v>
      </c>
      <c r="I303" s="4">
        <f>AVERAGE(Student­­Performance[[#This Row],[Math Score]],Student­­Performance[[#This Row],[Reading Score]],Student­­Performance[[#This Row],[Writing Score]])</f>
        <v>75</v>
      </c>
      <c r="J303" s="10" t="str">
        <f>IF(Student­­Performance[[#This Row],[Average Score]]&gt;=50,"Pass","Fail")</f>
        <v>Pass</v>
      </c>
      <c r="K30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30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30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303" s="4">
        <f>IF(ISNUMBER(Student­­Performance[[#This Row],[Math Score]]),Student­­Performance[[#This Row],[Math Score]],0)</f>
        <v>71</v>
      </c>
      <c r="O303" s="4">
        <f>IF(ISNUMBER(Student­­Performance[[#This Row],[Reading Score]]),Student­­Performance[[#This Row],[Reading Score]],0)</f>
        <v>77</v>
      </c>
      <c r="P303" s="4">
        <f>IF(ISNUMBER(Student­­Performance[[#This Row],[Writing Score]]),Student­­Performance[[#This Row],[Writing Score]],0)</f>
        <v>77</v>
      </c>
      <c r="Q303" s="4" t="str">
        <f>IF(Student­­Performance[[#This Row],[Math Score]]&gt;=50,"Pass","Fail")</f>
        <v>Pass</v>
      </c>
      <c r="R303" s="4" t="str">
        <f>IF(Student­­Performance[[#This Row],[Reading Score]]&gt;=50,"Pass","Fail")</f>
        <v>Pass</v>
      </c>
      <c r="S303" s="4" t="str">
        <f>IF(Student­­Performance[[#This Row],[Writing Score]]&gt;=50,"Pass","Fail")</f>
        <v>Pass</v>
      </c>
      <c r="T30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225</v>
      </c>
      <c r="U303" s="4" cm="1">
        <f t="array" ref="U303">IF(COUNT(F303:H303)=0,"", MAX(IF(ISNUMBER(F303:H303),F303:H303)) - MIN(IF(ISNUMBER(F303:H303),F303:H303)))</f>
        <v>6</v>
      </c>
      <c r="V303" s="4" t="str">
        <f>IF(U303="","",IF(U303&gt;25,"Outlier","Normal"))</f>
        <v>Normal</v>
      </c>
    </row>
    <row r="304" spans="1:22" x14ac:dyDescent="0.3">
      <c r="A304" s="1" t="s">
        <v>8</v>
      </c>
      <c r="B304" s="1" t="s">
        <v>9</v>
      </c>
      <c r="C304" s="1" t="s">
        <v>86</v>
      </c>
      <c r="D304" s="1" t="s">
        <v>20</v>
      </c>
      <c r="E304" s="1" t="s">
        <v>15</v>
      </c>
      <c r="F304" s="4">
        <v>68</v>
      </c>
      <c r="G304" s="4">
        <v>77</v>
      </c>
      <c r="H304" s="4">
        <v>80</v>
      </c>
      <c r="I304" s="4">
        <f>AVERAGE(Student­­Performance[[#This Row],[Math Score]],Student­­Performance[[#This Row],[Reading Score]],Student­­Performance[[#This Row],[Writing Score]])</f>
        <v>75</v>
      </c>
      <c r="J304" s="10" t="str">
        <f>IF(Student­­Performance[[#This Row],[Average Score]]&gt;=50,"Pass","Fail")</f>
        <v>Pass</v>
      </c>
      <c r="K30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30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30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304" s="4">
        <f>IF(ISNUMBER(Student­­Performance[[#This Row],[Math Score]]),Student­­Performance[[#This Row],[Math Score]],0)</f>
        <v>68</v>
      </c>
      <c r="O304" s="4">
        <f>IF(ISNUMBER(Student­­Performance[[#This Row],[Reading Score]]),Student­­Performance[[#This Row],[Reading Score]],0)</f>
        <v>77</v>
      </c>
      <c r="P304" s="4">
        <f>IF(ISNUMBER(Student­­Performance[[#This Row],[Writing Score]]),Student­­Performance[[#This Row],[Writing Score]],0)</f>
        <v>80</v>
      </c>
      <c r="Q304" s="4" t="str">
        <f>IF(Student­­Performance[[#This Row],[Math Score]]&gt;=50,"Pass","Fail")</f>
        <v>Pass</v>
      </c>
      <c r="R304" s="4" t="str">
        <f>IF(Student­­Performance[[#This Row],[Reading Score]]&gt;=50,"Pass","Fail")</f>
        <v>Pass</v>
      </c>
      <c r="S304" s="4" t="str">
        <f>IF(Student­­Performance[[#This Row],[Writing Score]]&gt;=50,"Pass","Fail")</f>
        <v>Pass</v>
      </c>
      <c r="T30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225</v>
      </c>
      <c r="U304" s="4" cm="1">
        <f t="array" ref="U304">IF(COUNT(F304:H304)=0,"", MAX(IF(ISNUMBER(F304:H304),F304:H304)) - MIN(IF(ISNUMBER(F304:H304),F304:H304)))</f>
        <v>12</v>
      </c>
      <c r="V304" s="4" t="str">
        <f>IF(U304="","",IF(U304&gt;25,"Outlier","Normal"))</f>
        <v>Normal</v>
      </c>
    </row>
    <row r="305" spans="1:22" x14ac:dyDescent="0.3">
      <c r="A305" s="1" t="s">
        <v>17</v>
      </c>
      <c r="B305" s="1" t="s">
        <v>21</v>
      </c>
      <c r="C305" s="1" t="s">
        <v>86</v>
      </c>
      <c r="D305" s="1" t="s">
        <v>11</v>
      </c>
      <c r="E305" s="1" t="s">
        <v>12</v>
      </c>
      <c r="F305" s="4">
        <v>81</v>
      </c>
      <c r="G305" s="4">
        <v>71</v>
      </c>
      <c r="H305" s="4">
        <v>73</v>
      </c>
      <c r="I305" s="4">
        <f>AVERAGE(Student­­Performance[[#This Row],[Math Score]],Student­­Performance[[#This Row],[Reading Score]],Student­­Performance[[#This Row],[Writing Score]])</f>
        <v>75</v>
      </c>
      <c r="J305" s="10" t="str">
        <f>IF(Student­­Performance[[#This Row],[Average Score]]&gt;=50,"Pass","Fail")</f>
        <v>Pass</v>
      </c>
      <c r="K30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-10</v>
      </c>
      <c r="L30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30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305" s="4">
        <f>IF(ISNUMBER(Student­­Performance[[#This Row],[Math Score]]),Student­­Performance[[#This Row],[Math Score]],0)</f>
        <v>81</v>
      </c>
      <c r="O305" s="4">
        <f>IF(ISNUMBER(Student­­Performance[[#This Row],[Reading Score]]),Student­­Performance[[#This Row],[Reading Score]],0)</f>
        <v>71</v>
      </c>
      <c r="P305" s="4">
        <f>IF(ISNUMBER(Student­­Performance[[#This Row],[Writing Score]]),Student­­Performance[[#This Row],[Writing Score]],0)</f>
        <v>73</v>
      </c>
      <c r="Q305" s="4" t="str">
        <f>IF(Student­­Performance[[#This Row],[Math Score]]&gt;=50,"Pass","Fail")</f>
        <v>Pass</v>
      </c>
      <c r="R305" s="4" t="str">
        <f>IF(Student­­Performance[[#This Row],[Reading Score]]&gt;=50,"Pass","Fail")</f>
        <v>Pass</v>
      </c>
      <c r="S305" s="4" t="str">
        <f>IF(Student­­Performance[[#This Row],[Writing Score]]&gt;=50,"Pass","Fail")</f>
        <v>Pass</v>
      </c>
      <c r="T30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225</v>
      </c>
      <c r="U305" s="4" cm="1">
        <f t="array" ref="U305">IF(COUNT(F305:H305)=0,"", MAX(IF(ISNUMBER(F305:H305),F305:H305)) - MIN(IF(ISNUMBER(F305:H305),F305:H305)))</f>
        <v>10</v>
      </c>
      <c r="V305" s="4" t="str">
        <f>IF(U305="","",IF(U305&gt;25,"Outlier","Normal"))</f>
        <v>Normal</v>
      </c>
    </row>
    <row r="306" spans="1:22" x14ac:dyDescent="0.3">
      <c r="A306" s="1" t="s">
        <v>17</v>
      </c>
      <c r="B306" s="1" t="s">
        <v>21</v>
      </c>
      <c r="C306" s="1" t="s">
        <v>83</v>
      </c>
      <c r="D306" s="1" t="s">
        <v>11</v>
      </c>
      <c r="E306" s="1" t="s">
        <v>12</v>
      </c>
      <c r="F306" s="4">
        <v>80</v>
      </c>
      <c r="G306" s="4">
        <v>73</v>
      </c>
      <c r="H306" s="4">
        <v>72</v>
      </c>
      <c r="I306" s="4">
        <f>AVERAGE(Student­­Performance[[#This Row],[Math Score]],Student­­Performance[[#This Row],[Reading Score]],Student­­Performance[[#This Row],[Writing Score]])</f>
        <v>75</v>
      </c>
      <c r="J306" s="10" t="str">
        <f>IF(Student­­Performance[[#This Row],[Average Score]]&gt;=50,"Pass","Fail")</f>
        <v>Pass</v>
      </c>
      <c r="K30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-7</v>
      </c>
      <c r="L30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30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306" s="4">
        <f>IF(ISNUMBER(Student­­Performance[[#This Row],[Math Score]]),Student­­Performance[[#This Row],[Math Score]],0)</f>
        <v>80</v>
      </c>
      <c r="O306" s="4">
        <f>IF(ISNUMBER(Student­­Performance[[#This Row],[Reading Score]]),Student­­Performance[[#This Row],[Reading Score]],0)</f>
        <v>73</v>
      </c>
      <c r="P306" s="4">
        <f>IF(ISNUMBER(Student­­Performance[[#This Row],[Writing Score]]),Student­­Performance[[#This Row],[Writing Score]],0)</f>
        <v>72</v>
      </c>
      <c r="Q306" s="4" t="str">
        <f>IF(Student­­Performance[[#This Row],[Math Score]]&gt;=50,"Pass","Fail")</f>
        <v>Pass</v>
      </c>
      <c r="R306" s="4" t="str">
        <f>IF(Student­­Performance[[#This Row],[Reading Score]]&gt;=50,"Pass","Fail")</f>
        <v>Pass</v>
      </c>
      <c r="S306" s="4" t="str">
        <f>IF(Student­­Performance[[#This Row],[Writing Score]]&gt;=50,"Pass","Fail")</f>
        <v>Pass</v>
      </c>
      <c r="T30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225</v>
      </c>
      <c r="U306" s="4" cm="1">
        <f t="array" ref="U306">IF(COUNT(F306:H306)=0,"", MAX(IF(ISNUMBER(F306:H306),F306:H306)) - MIN(IF(ISNUMBER(F306:H306),F306:H306)))</f>
        <v>8</v>
      </c>
      <c r="V306" s="4" t="str">
        <f>IF(U306="","",IF(U306&gt;25,"Outlier","Normal"))</f>
        <v>Normal</v>
      </c>
    </row>
    <row r="307" spans="1:22" x14ac:dyDescent="0.3">
      <c r="A307" s="1" t="s">
        <v>17</v>
      </c>
      <c r="B307" s="1" t="s">
        <v>21</v>
      </c>
      <c r="C307" s="1" t="s">
        <v>86</v>
      </c>
      <c r="D307" s="1" t="s">
        <v>11</v>
      </c>
      <c r="E307" s="1" t="s">
        <v>12</v>
      </c>
      <c r="F307" s="4">
        <v>72</v>
      </c>
      <c r="G307" s="4">
        <v>79</v>
      </c>
      <c r="H307" s="4">
        <v>74</v>
      </c>
      <c r="I307" s="4">
        <f>AVERAGE(Student­­Performance[[#This Row],[Math Score]],Student­­Performance[[#This Row],[Reading Score]],Student­­Performance[[#This Row],[Writing Score]])</f>
        <v>75</v>
      </c>
      <c r="J307" s="10" t="str">
        <f>IF(Student­­Performance[[#This Row],[Average Score]]&gt;=50,"Pass","Fail")</f>
        <v>Pass</v>
      </c>
      <c r="K30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30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30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307" s="4">
        <f>IF(ISNUMBER(Student­­Performance[[#This Row],[Math Score]]),Student­­Performance[[#This Row],[Math Score]],0)</f>
        <v>72</v>
      </c>
      <c r="O307" s="4">
        <f>IF(ISNUMBER(Student­­Performance[[#This Row],[Reading Score]]),Student­­Performance[[#This Row],[Reading Score]],0)</f>
        <v>79</v>
      </c>
      <c r="P307" s="4">
        <f>IF(ISNUMBER(Student­­Performance[[#This Row],[Writing Score]]),Student­­Performance[[#This Row],[Writing Score]],0)</f>
        <v>74</v>
      </c>
      <c r="Q307" s="4" t="str">
        <f>IF(Student­­Performance[[#This Row],[Math Score]]&gt;=50,"Pass","Fail")</f>
        <v>Pass</v>
      </c>
      <c r="R307" s="4" t="str">
        <f>IF(Student­­Performance[[#This Row],[Reading Score]]&gt;=50,"Pass","Fail")</f>
        <v>Pass</v>
      </c>
      <c r="S307" s="4" t="str">
        <f>IF(Student­­Performance[[#This Row],[Writing Score]]&gt;=50,"Pass","Fail")</f>
        <v>Pass</v>
      </c>
      <c r="T30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225</v>
      </c>
      <c r="U307" s="4" cm="1">
        <f t="array" ref="U307">IF(COUNT(F307:H307)=0,"", MAX(IF(ISNUMBER(F307:H307),F307:H307)) - MIN(IF(ISNUMBER(F307:H307),F307:H307)))</f>
        <v>7</v>
      </c>
      <c r="V307" s="4" t="str">
        <f>IF(U307="","",IF(U307&gt;25,"Outlier","Normal"))</f>
        <v>Normal</v>
      </c>
    </row>
    <row r="308" spans="1:22" x14ac:dyDescent="0.3">
      <c r="A308" s="1" t="s">
        <v>8</v>
      </c>
      <c r="B308" s="1" t="s">
        <v>13</v>
      </c>
      <c r="C308" s="1" t="s">
        <v>83</v>
      </c>
      <c r="D308" s="1" t="s">
        <v>11</v>
      </c>
      <c r="E308" s="1" t="s">
        <v>12</v>
      </c>
      <c r="F308" s="4">
        <v>65</v>
      </c>
      <c r="G308" s="4">
        <v>79</v>
      </c>
      <c r="H308" s="4">
        <v>81</v>
      </c>
      <c r="I308" s="4">
        <f>AVERAGE(Student­­Performance[[#This Row],[Math Score]],Student­­Performance[[#This Row],[Reading Score]],Student­­Performance[[#This Row],[Writing Score]])</f>
        <v>75</v>
      </c>
      <c r="J308" s="10" t="str">
        <f>IF(Student­­Performance[[#This Row],[Average Score]]&gt;=50,"Pass","Fail")</f>
        <v>Pass</v>
      </c>
      <c r="K30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14</v>
      </c>
      <c r="L30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30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16</v>
      </c>
      <c r="N308" s="4">
        <f>IF(ISNUMBER(Student­­Performance[[#This Row],[Math Score]]),Student­­Performance[[#This Row],[Math Score]],0)</f>
        <v>65</v>
      </c>
      <c r="O308" s="4">
        <f>IF(ISNUMBER(Student­­Performance[[#This Row],[Reading Score]]),Student­­Performance[[#This Row],[Reading Score]],0)</f>
        <v>79</v>
      </c>
      <c r="P308" s="4">
        <f>IF(ISNUMBER(Student­­Performance[[#This Row],[Writing Score]]),Student­­Performance[[#This Row],[Writing Score]],0)</f>
        <v>81</v>
      </c>
      <c r="Q308" s="4" t="str">
        <f>IF(Student­­Performance[[#This Row],[Math Score]]&gt;=50,"Pass","Fail")</f>
        <v>Pass</v>
      </c>
      <c r="R308" s="4" t="str">
        <f>IF(Student­­Performance[[#This Row],[Reading Score]]&gt;=50,"Pass","Fail")</f>
        <v>Pass</v>
      </c>
      <c r="S308" s="4" t="str">
        <f>IF(Student­­Performance[[#This Row],[Writing Score]]&gt;=50,"Pass","Fail")</f>
        <v>Pass</v>
      </c>
      <c r="T30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225</v>
      </c>
      <c r="U308" s="4" cm="1">
        <f t="array" ref="U308">IF(COUNT(F308:H308)=0,"", MAX(IF(ISNUMBER(F308:H308),F308:H308)) - MIN(IF(ISNUMBER(F308:H308),F308:H308)))</f>
        <v>16</v>
      </c>
      <c r="V308" s="4" t="str">
        <f>IF(U308="","",IF(U308&gt;25,"Outlier","Normal"))</f>
        <v>Normal</v>
      </c>
    </row>
    <row r="309" spans="1:22" x14ac:dyDescent="0.3">
      <c r="A309" s="1" t="s">
        <v>8</v>
      </c>
      <c r="B309" s="1" t="s">
        <v>21</v>
      </c>
      <c r="C309" s="1" t="s">
        <v>88</v>
      </c>
      <c r="D309" s="1" t="s">
        <v>11</v>
      </c>
      <c r="E309" s="1" t="s">
        <v>15</v>
      </c>
      <c r="F309" s="4">
        <v>65</v>
      </c>
      <c r="G309" s="4">
        <v>78</v>
      </c>
      <c r="H309" s="4">
        <v>82</v>
      </c>
      <c r="I309" s="4">
        <f>AVERAGE(Student­­Performance[[#This Row],[Math Score]],Student­­Performance[[#This Row],[Reading Score]],Student­­Performance[[#This Row],[Writing Score]])</f>
        <v>75</v>
      </c>
      <c r="J309" s="10" t="str">
        <f>IF(Student­­Performance[[#This Row],[Average Score]]&gt;=50,"Pass","Fail")</f>
        <v>Pass</v>
      </c>
      <c r="K30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13</v>
      </c>
      <c r="L30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30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17</v>
      </c>
      <c r="N309" s="4">
        <f>IF(ISNUMBER(Student­­Performance[[#This Row],[Math Score]]),Student­­Performance[[#This Row],[Math Score]],0)</f>
        <v>65</v>
      </c>
      <c r="O309" s="4">
        <f>IF(ISNUMBER(Student­­Performance[[#This Row],[Reading Score]]),Student­­Performance[[#This Row],[Reading Score]],0)</f>
        <v>78</v>
      </c>
      <c r="P309" s="4">
        <f>IF(ISNUMBER(Student­­Performance[[#This Row],[Writing Score]]),Student­­Performance[[#This Row],[Writing Score]],0)</f>
        <v>82</v>
      </c>
      <c r="Q309" s="4" t="str">
        <f>IF(Student­­Performance[[#This Row],[Math Score]]&gt;=50,"Pass","Fail")</f>
        <v>Pass</v>
      </c>
      <c r="R309" s="4" t="str">
        <f>IF(Student­­Performance[[#This Row],[Reading Score]]&gt;=50,"Pass","Fail")</f>
        <v>Pass</v>
      </c>
      <c r="S309" s="4" t="str">
        <f>IF(Student­­Performance[[#This Row],[Writing Score]]&gt;=50,"Pass","Fail")</f>
        <v>Pass</v>
      </c>
      <c r="T30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225</v>
      </c>
      <c r="U309" s="4" cm="1">
        <f t="array" ref="U309">IF(COUNT(F309:H309)=0,"", MAX(IF(ISNUMBER(F309:H309),F309:H309)) - MIN(IF(ISNUMBER(F309:H309),F309:H309)))</f>
        <v>17</v>
      </c>
      <c r="V309" s="4" t="str">
        <f>IF(U309="","",IF(U309&gt;25,"Outlier","Normal"))</f>
        <v>Normal</v>
      </c>
    </row>
    <row r="310" spans="1:22" x14ac:dyDescent="0.3">
      <c r="A310" s="1" t="s">
        <v>8</v>
      </c>
      <c r="B310" s="1" t="s">
        <v>13</v>
      </c>
      <c r="C310" s="1" t="s">
        <v>85</v>
      </c>
      <c r="D310" s="1" t="s">
        <v>11</v>
      </c>
      <c r="E310" s="1" t="s">
        <v>12</v>
      </c>
      <c r="F310" s="4">
        <v>73</v>
      </c>
      <c r="G310" s="4">
        <v>78</v>
      </c>
      <c r="H310" s="4">
        <v>74</v>
      </c>
      <c r="I310" s="4">
        <f>AVERAGE(Student­­Performance[[#This Row],[Math Score]],Student­­Performance[[#This Row],[Reading Score]],Student­­Performance[[#This Row],[Writing Score]])</f>
        <v>75</v>
      </c>
      <c r="J310" s="10" t="str">
        <f>IF(Student­­Performance[[#This Row],[Average Score]]&gt;=50,"Pass","Fail")</f>
        <v>Pass</v>
      </c>
      <c r="K31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31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31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310" s="4">
        <f>IF(ISNUMBER(Student­­Performance[[#This Row],[Math Score]]),Student­­Performance[[#This Row],[Math Score]],0)</f>
        <v>73</v>
      </c>
      <c r="O310" s="4">
        <f>IF(ISNUMBER(Student­­Performance[[#This Row],[Reading Score]]),Student­­Performance[[#This Row],[Reading Score]],0)</f>
        <v>78</v>
      </c>
      <c r="P310" s="4">
        <f>IF(ISNUMBER(Student­­Performance[[#This Row],[Writing Score]]),Student­­Performance[[#This Row],[Writing Score]],0)</f>
        <v>74</v>
      </c>
      <c r="Q310" s="4" t="str">
        <f>IF(Student­­Performance[[#This Row],[Math Score]]&gt;=50,"Pass","Fail")</f>
        <v>Pass</v>
      </c>
      <c r="R310" s="4" t="str">
        <f>IF(Student­­Performance[[#This Row],[Reading Score]]&gt;=50,"Pass","Fail")</f>
        <v>Pass</v>
      </c>
      <c r="S310" s="4" t="str">
        <f>IF(Student­­Performance[[#This Row],[Writing Score]]&gt;=50,"Pass","Fail")</f>
        <v>Pass</v>
      </c>
      <c r="T31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225</v>
      </c>
      <c r="U310" s="4" cm="1">
        <f t="array" ref="U310">IF(COUNT(F310:H310)=0,"", MAX(IF(ISNUMBER(F310:H310),F310:H310)) - MIN(IF(ISNUMBER(F310:H310),F310:H310)))</f>
        <v>5</v>
      </c>
      <c r="V310" s="4" t="str">
        <f>IF(U310="","",IF(U310&gt;25,"Outlier","Normal"))</f>
        <v>Normal</v>
      </c>
    </row>
    <row r="311" spans="1:22" x14ac:dyDescent="0.3">
      <c r="A311" s="1" t="s">
        <v>8</v>
      </c>
      <c r="B311" s="1" t="s">
        <v>9</v>
      </c>
      <c r="C311" s="1" t="s">
        <v>88</v>
      </c>
      <c r="D311" s="1" t="s">
        <v>11</v>
      </c>
      <c r="E311" s="1" t="s">
        <v>15</v>
      </c>
      <c r="F311" s="4">
        <v>65</v>
      </c>
      <c r="G311" s="4">
        <v>82</v>
      </c>
      <c r="H311" s="4">
        <v>78</v>
      </c>
      <c r="I311" s="4">
        <f>AVERAGE(Student­­Performance[[#This Row],[Math Score]],Student­­Performance[[#This Row],[Reading Score]],Student­­Performance[[#This Row],[Writing Score]])</f>
        <v>75</v>
      </c>
      <c r="J311" s="10" t="str">
        <f>IF(Student­­Performance[[#This Row],[Average Score]]&gt;=50,"Pass","Fail")</f>
        <v>Pass</v>
      </c>
      <c r="K31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17</v>
      </c>
      <c r="L31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31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13</v>
      </c>
      <c r="N311" s="4">
        <f>IF(ISNUMBER(Student­­Performance[[#This Row],[Math Score]]),Student­­Performance[[#This Row],[Math Score]],0)</f>
        <v>65</v>
      </c>
      <c r="O311" s="4">
        <f>IF(ISNUMBER(Student­­Performance[[#This Row],[Reading Score]]),Student­­Performance[[#This Row],[Reading Score]],0)</f>
        <v>82</v>
      </c>
      <c r="P311" s="4">
        <f>IF(ISNUMBER(Student­­Performance[[#This Row],[Writing Score]]),Student­­Performance[[#This Row],[Writing Score]],0)</f>
        <v>78</v>
      </c>
      <c r="Q311" s="4" t="str">
        <f>IF(Student­­Performance[[#This Row],[Math Score]]&gt;=50,"Pass","Fail")</f>
        <v>Pass</v>
      </c>
      <c r="R311" s="4" t="str">
        <f>IF(Student­­Performance[[#This Row],[Reading Score]]&gt;=50,"Pass","Fail")</f>
        <v>Pass</v>
      </c>
      <c r="S311" s="4" t="str">
        <f>IF(Student­­Performance[[#This Row],[Writing Score]]&gt;=50,"Pass","Fail")</f>
        <v>Pass</v>
      </c>
      <c r="T31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225</v>
      </c>
      <c r="U311" s="4" cm="1">
        <f t="array" ref="U311">IF(COUNT(F311:H311)=0,"", MAX(IF(ISNUMBER(F311:H311),F311:H311)) - MIN(IF(ISNUMBER(F311:H311),F311:H311)))</f>
        <v>17</v>
      </c>
      <c r="V311" s="4" t="str">
        <f>IF(U311="","",IF(U311&gt;25,"Outlier","Normal"))</f>
        <v>Normal</v>
      </c>
    </row>
    <row r="312" spans="1:22" x14ac:dyDescent="0.3">
      <c r="A312" s="1" t="s">
        <v>8</v>
      </c>
      <c r="B312" s="1" t="s">
        <v>21</v>
      </c>
      <c r="C312" s="1" t="s">
        <v>83</v>
      </c>
      <c r="D312" s="1" t="s">
        <v>11</v>
      </c>
      <c r="E312" s="1" t="s">
        <v>15</v>
      </c>
      <c r="F312" s="4">
        <v>68</v>
      </c>
      <c r="G312" s="4">
        <v>75</v>
      </c>
      <c r="H312" s="4">
        <v>81</v>
      </c>
      <c r="I312" s="4">
        <f>AVERAGE(Student­­Performance[[#This Row],[Math Score]],Student­­Performance[[#This Row],[Reading Score]],Student­­Performance[[#This Row],[Writing Score]])</f>
        <v>74.666666666666671</v>
      </c>
      <c r="J312" s="10" t="str">
        <f>IF(Student­­Performance[[#This Row],[Average Score]]&gt;=50,"Pass","Fail")</f>
        <v>Pass</v>
      </c>
      <c r="K31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31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31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13</v>
      </c>
      <c r="N312" s="4">
        <f>IF(ISNUMBER(Student­­Performance[[#This Row],[Math Score]]),Student­­Performance[[#This Row],[Math Score]],0)</f>
        <v>68</v>
      </c>
      <c r="O312" s="4">
        <f>IF(ISNUMBER(Student­­Performance[[#This Row],[Reading Score]]),Student­­Performance[[#This Row],[Reading Score]],0)</f>
        <v>75</v>
      </c>
      <c r="P312" s="4">
        <f>IF(ISNUMBER(Student­­Performance[[#This Row],[Writing Score]]),Student­­Performance[[#This Row],[Writing Score]],0)</f>
        <v>81</v>
      </c>
      <c r="Q312" s="4" t="str">
        <f>IF(Student­­Performance[[#This Row],[Math Score]]&gt;=50,"Pass","Fail")</f>
        <v>Pass</v>
      </c>
      <c r="R312" s="4" t="str">
        <f>IF(Student­­Performance[[#This Row],[Reading Score]]&gt;=50,"Pass","Fail")</f>
        <v>Pass</v>
      </c>
      <c r="S312" s="4" t="str">
        <f>IF(Student­­Performance[[#This Row],[Writing Score]]&gt;=50,"Pass","Fail")</f>
        <v>Pass</v>
      </c>
      <c r="T31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224</v>
      </c>
      <c r="U312" s="4" cm="1">
        <f t="array" ref="U312">IF(COUNT(F312:H312)=0,"", MAX(IF(ISNUMBER(F312:H312),F312:H312)) - MIN(IF(ISNUMBER(F312:H312),F312:H312)))</f>
        <v>13</v>
      </c>
      <c r="V312" s="4" t="str">
        <f>IF(U312="","",IF(U312&gt;25,"Outlier","Normal"))</f>
        <v>Normal</v>
      </c>
    </row>
    <row r="313" spans="1:22" x14ac:dyDescent="0.3">
      <c r="A313" s="1" t="s">
        <v>8</v>
      </c>
      <c r="B313" s="1" t="s">
        <v>18</v>
      </c>
      <c r="C313" s="1" t="s">
        <v>88</v>
      </c>
      <c r="D313" s="1" t="s">
        <v>11</v>
      </c>
      <c r="E313" s="1" t="s">
        <v>15</v>
      </c>
      <c r="F313" s="4">
        <v>59</v>
      </c>
      <c r="G313" s="4">
        <v>85</v>
      </c>
      <c r="H313" s="4">
        <v>80</v>
      </c>
      <c r="I313" s="4">
        <f>AVERAGE(Student­­Performance[[#This Row],[Math Score]],Student­­Performance[[#This Row],[Reading Score]],Student­­Performance[[#This Row],[Writing Score]])</f>
        <v>74.666666666666671</v>
      </c>
      <c r="J313" s="10" t="str">
        <f>IF(Student­­Performance[[#This Row],[Average Score]]&gt;=50,"Pass","Fail")</f>
        <v>Pass</v>
      </c>
      <c r="K31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26</v>
      </c>
      <c r="L31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31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21</v>
      </c>
      <c r="N313" s="4">
        <f>IF(ISNUMBER(Student­­Performance[[#This Row],[Math Score]]),Student­­Performance[[#This Row],[Math Score]],0)</f>
        <v>59</v>
      </c>
      <c r="O313" s="4">
        <f>IF(ISNUMBER(Student­­Performance[[#This Row],[Reading Score]]),Student­­Performance[[#This Row],[Reading Score]],0)</f>
        <v>85</v>
      </c>
      <c r="P313" s="4">
        <f>IF(ISNUMBER(Student­­Performance[[#This Row],[Writing Score]]),Student­­Performance[[#This Row],[Writing Score]],0)</f>
        <v>80</v>
      </c>
      <c r="Q313" s="4" t="str">
        <f>IF(Student­­Performance[[#This Row],[Math Score]]&gt;=50,"Pass","Fail")</f>
        <v>Pass</v>
      </c>
      <c r="R313" s="4" t="str">
        <f>IF(Student­­Performance[[#This Row],[Reading Score]]&gt;=50,"Pass","Fail")</f>
        <v>Pass</v>
      </c>
      <c r="S313" s="4" t="str">
        <f>IF(Student­­Performance[[#This Row],[Writing Score]]&gt;=50,"Pass","Fail")</f>
        <v>Pass</v>
      </c>
      <c r="T31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224</v>
      </c>
      <c r="U313" s="4" cm="1">
        <f t="array" ref="U313">IF(COUNT(F313:H313)=0,"", MAX(IF(ISNUMBER(F313:H313),F313:H313)) - MIN(IF(ISNUMBER(F313:H313),F313:H313)))</f>
        <v>26</v>
      </c>
      <c r="V313" s="4" t="str">
        <f>IF(U313="","",IF(U313&gt;25,"Outlier","Normal"))</f>
        <v>Outlier</v>
      </c>
    </row>
    <row r="314" spans="1:22" x14ac:dyDescent="0.3">
      <c r="A314" s="1" t="s">
        <v>8</v>
      </c>
      <c r="B314" s="1" t="s">
        <v>9</v>
      </c>
      <c r="C314" s="1" t="s">
        <v>87</v>
      </c>
      <c r="D314" s="1" t="s">
        <v>20</v>
      </c>
      <c r="E314" s="1" t="s">
        <v>15</v>
      </c>
      <c r="F314" s="4">
        <v>67</v>
      </c>
      <c r="G314" s="4">
        <v>78</v>
      </c>
      <c r="H314" s="4">
        <v>79</v>
      </c>
      <c r="I314" s="4">
        <f>AVERAGE(Student­­Performance[[#This Row],[Math Score]],Student­­Performance[[#This Row],[Reading Score]],Student­­Performance[[#This Row],[Writing Score]])</f>
        <v>74.666666666666671</v>
      </c>
      <c r="J314" s="10" t="str">
        <f>IF(Student­­Performance[[#This Row],[Average Score]]&gt;=50,"Pass","Fail")</f>
        <v>Pass</v>
      </c>
      <c r="K31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31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31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314" s="4">
        <f>IF(ISNUMBER(Student­­Performance[[#This Row],[Math Score]]),Student­­Performance[[#This Row],[Math Score]],0)</f>
        <v>67</v>
      </c>
      <c r="O314" s="4">
        <f>IF(ISNUMBER(Student­­Performance[[#This Row],[Reading Score]]),Student­­Performance[[#This Row],[Reading Score]],0)</f>
        <v>78</v>
      </c>
      <c r="P314" s="4">
        <f>IF(ISNUMBER(Student­­Performance[[#This Row],[Writing Score]]),Student­­Performance[[#This Row],[Writing Score]],0)</f>
        <v>79</v>
      </c>
      <c r="Q314" s="4" t="str">
        <f>IF(Student­­Performance[[#This Row],[Math Score]]&gt;=50,"Pass","Fail")</f>
        <v>Pass</v>
      </c>
      <c r="R314" s="4" t="str">
        <f>IF(Student­­Performance[[#This Row],[Reading Score]]&gt;=50,"Pass","Fail")</f>
        <v>Pass</v>
      </c>
      <c r="S314" s="4" t="str">
        <f>IF(Student­­Performance[[#This Row],[Writing Score]]&gt;=50,"Pass","Fail")</f>
        <v>Pass</v>
      </c>
      <c r="T31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224</v>
      </c>
      <c r="U314" s="4" cm="1">
        <f t="array" ref="U314">IF(COUNT(F314:H314)=0,"", MAX(IF(ISNUMBER(F314:H314),F314:H314)) - MIN(IF(ISNUMBER(F314:H314),F314:H314)))</f>
        <v>12</v>
      </c>
      <c r="V314" s="4" t="str">
        <f>IF(U314="","",IF(U314&gt;25,"Outlier","Normal"))</f>
        <v>Normal</v>
      </c>
    </row>
    <row r="315" spans="1:22" x14ac:dyDescent="0.3">
      <c r="A315" s="1" t="s">
        <v>8</v>
      </c>
      <c r="B315" s="1" t="s">
        <v>18</v>
      </c>
      <c r="C315" s="1" t="s">
        <v>87</v>
      </c>
      <c r="D315" s="1" t="s">
        <v>11</v>
      </c>
      <c r="E315" s="1" t="s">
        <v>15</v>
      </c>
      <c r="F315" s="4">
        <v>68</v>
      </c>
      <c r="G315" s="4">
        <v>80</v>
      </c>
      <c r="H315" s="4">
        <v>76</v>
      </c>
      <c r="I315" s="4">
        <f>AVERAGE(Student­­Performance[[#This Row],[Math Score]],Student­­Performance[[#This Row],[Reading Score]],Student­­Performance[[#This Row],[Writing Score]])</f>
        <v>74.666666666666671</v>
      </c>
      <c r="J315" s="10" t="str">
        <f>IF(Student­­Performance[[#This Row],[Average Score]]&gt;=50,"Pass","Fail")</f>
        <v>Pass</v>
      </c>
      <c r="K31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31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31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315" s="4">
        <f>IF(ISNUMBER(Student­­Performance[[#This Row],[Math Score]]),Student­­Performance[[#This Row],[Math Score]],0)</f>
        <v>68</v>
      </c>
      <c r="O315" s="4">
        <f>IF(ISNUMBER(Student­­Performance[[#This Row],[Reading Score]]),Student­­Performance[[#This Row],[Reading Score]],0)</f>
        <v>80</v>
      </c>
      <c r="P315" s="4">
        <f>IF(ISNUMBER(Student­­Performance[[#This Row],[Writing Score]]),Student­­Performance[[#This Row],[Writing Score]],0)</f>
        <v>76</v>
      </c>
      <c r="Q315" s="4" t="str">
        <f>IF(Student­­Performance[[#This Row],[Math Score]]&gt;=50,"Pass","Fail")</f>
        <v>Pass</v>
      </c>
      <c r="R315" s="4" t="str">
        <f>IF(Student­­Performance[[#This Row],[Reading Score]]&gt;=50,"Pass","Fail")</f>
        <v>Pass</v>
      </c>
      <c r="S315" s="4" t="str">
        <f>IF(Student­­Performance[[#This Row],[Writing Score]]&gt;=50,"Pass","Fail")</f>
        <v>Pass</v>
      </c>
      <c r="T31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224</v>
      </c>
      <c r="U315" s="4" cm="1">
        <f t="array" ref="U315">IF(COUNT(F315:H315)=0,"", MAX(IF(ISNUMBER(F315:H315),F315:H315)) - MIN(IF(ISNUMBER(F315:H315),F315:H315)))</f>
        <v>12</v>
      </c>
      <c r="V315" s="4" t="str">
        <f>IF(U315="","",IF(U315&gt;25,"Outlier","Normal"))</f>
        <v>Normal</v>
      </c>
    </row>
    <row r="316" spans="1:22" x14ac:dyDescent="0.3">
      <c r="A316" s="1" t="s">
        <v>17</v>
      </c>
      <c r="B316" s="1" t="s">
        <v>13</v>
      </c>
      <c r="C316" s="1" t="s">
        <v>84</v>
      </c>
      <c r="D316" s="1" t="s">
        <v>20</v>
      </c>
      <c r="E316" s="1" t="s">
        <v>12</v>
      </c>
      <c r="F316" s="4">
        <v>74</v>
      </c>
      <c r="G316" s="4">
        <v>77</v>
      </c>
      <c r="H316" s="4">
        <v>73</v>
      </c>
      <c r="I316" s="4">
        <f>AVERAGE(Student­­Performance[[#This Row],[Math Score]],Student­­Performance[[#This Row],[Reading Score]],Student­­Performance[[#This Row],[Writing Score]])</f>
        <v>74.666666666666671</v>
      </c>
      <c r="J316" s="10" t="str">
        <f>IF(Student­­Performance[[#This Row],[Average Score]]&gt;=50,"Pass","Fail")</f>
        <v>Pass</v>
      </c>
      <c r="K31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31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31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316" s="4">
        <f>IF(ISNUMBER(Student­­Performance[[#This Row],[Math Score]]),Student­­Performance[[#This Row],[Math Score]],0)</f>
        <v>74</v>
      </c>
      <c r="O316" s="4">
        <f>IF(ISNUMBER(Student­­Performance[[#This Row],[Reading Score]]),Student­­Performance[[#This Row],[Reading Score]],0)</f>
        <v>77</v>
      </c>
      <c r="P316" s="4">
        <f>IF(ISNUMBER(Student­­Performance[[#This Row],[Writing Score]]),Student­­Performance[[#This Row],[Writing Score]],0)</f>
        <v>73</v>
      </c>
      <c r="Q316" s="4" t="str">
        <f>IF(Student­­Performance[[#This Row],[Math Score]]&gt;=50,"Pass","Fail")</f>
        <v>Pass</v>
      </c>
      <c r="R316" s="4" t="str">
        <f>IF(Student­­Performance[[#This Row],[Reading Score]]&gt;=50,"Pass","Fail")</f>
        <v>Pass</v>
      </c>
      <c r="S316" s="4" t="str">
        <f>IF(Student­­Performance[[#This Row],[Writing Score]]&gt;=50,"Pass","Fail")</f>
        <v>Pass</v>
      </c>
      <c r="T31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224</v>
      </c>
      <c r="U316" s="4" cm="1">
        <f t="array" ref="U316">IF(COUNT(F316:H316)=0,"", MAX(IF(ISNUMBER(F316:H316),F316:H316)) - MIN(IF(ISNUMBER(F316:H316),F316:H316)))</f>
        <v>4</v>
      </c>
      <c r="V316" s="4" t="str">
        <f>IF(U316="","",IF(U316&gt;25,"Outlier","Normal"))</f>
        <v>Normal</v>
      </c>
    </row>
    <row r="317" spans="1:22" x14ac:dyDescent="0.3">
      <c r="A317" s="1" t="s">
        <v>8</v>
      </c>
      <c r="B317" s="1" t="s">
        <v>21</v>
      </c>
      <c r="C317" s="1" t="s">
        <v>87</v>
      </c>
      <c r="D317" s="1" t="s">
        <v>11</v>
      </c>
      <c r="E317" s="1" t="s">
        <v>15</v>
      </c>
      <c r="F317" s="4">
        <v>69</v>
      </c>
      <c r="G317" s="4">
        <v>77</v>
      </c>
      <c r="H317" s="4">
        <v>78</v>
      </c>
      <c r="I317" s="4">
        <f>AVERAGE(Student­­Performance[[#This Row],[Math Score]],Student­­Performance[[#This Row],[Reading Score]],Student­­Performance[[#This Row],[Writing Score]])</f>
        <v>74.666666666666671</v>
      </c>
      <c r="J317" s="10" t="str">
        <f>IF(Student­­Performance[[#This Row],[Average Score]]&gt;=50,"Pass","Fail")</f>
        <v>Pass</v>
      </c>
      <c r="K31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31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31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317" s="4">
        <f>IF(ISNUMBER(Student­­Performance[[#This Row],[Math Score]]),Student­­Performance[[#This Row],[Math Score]],0)</f>
        <v>69</v>
      </c>
      <c r="O317" s="4">
        <f>IF(ISNUMBER(Student­­Performance[[#This Row],[Reading Score]]),Student­­Performance[[#This Row],[Reading Score]],0)</f>
        <v>77</v>
      </c>
      <c r="P317" s="4">
        <f>IF(ISNUMBER(Student­­Performance[[#This Row],[Writing Score]]),Student­­Performance[[#This Row],[Writing Score]],0)</f>
        <v>78</v>
      </c>
      <c r="Q317" s="4" t="str">
        <f>IF(Student­­Performance[[#This Row],[Math Score]]&gt;=50,"Pass","Fail")</f>
        <v>Pass</v>
      </c>
      <c r="R317" s="4" t="str">
        <f>IF(Student­­Performance[[#This Row],[Reading Score]]&gt;=50,"Pass","Fail")</f>
        <v>Pass</v>
      </c>
      <c r="S317" s="4" t="str">
        <f>IF(Student­­Performance[[#This Row],[Writing Score]]&gt;=50,"Pass","Fail")</f>
        <v>Pass</v>
      </c>
      <c r="T31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224</v>
      </c>
      <c r="U317" s="4" cm="1">
        <f t="array" ref="U317">IF(COUNT(F317:H317)=0,"", MAX(IF(ISNUMBER(F317:H317),F317:H317)) - MIN(IF(ISNUMBER(F317:H317),F317:H317)))</f>
        <v>9</v>
      </c>
      <c r="V317" s="4" t="str">
        <f>IF(U317="","",IF(U317&gt;25,"Outlier","Normal"))</f>
        <v>Normal</v>
      </c>
    </row>
    <row r="318" spans="1:22" x14ac:dyDescent="0.3">
      <c r="A318" s="1" t="s">
        <v>17</v>
      </c>
      <c r="B318" s="1" t="s">
        <v>21</v>
      </c>
      <c r="C318" s="1" t="s">
        <v>86</v>
      </c>
      <c r="D318" s="1" t="s">
        <v>11</v>
      </c>
      <c r="E318" s="1" t="s">
        <v>12</v>
      </c>
      <c r="F318" s="4">
        <v>80</v>
      </c>
      <c r="G318" s="4">
        <v>75</v>
      </c>
      <c r="H318" s="4">
        <v>69</v>
      </c>
      <c r="I318" s="4">
        <f>AVERAGE(Student­­Performance[[#This Row],[Math Score]],Student­­Performance[[#This Row],[Reading Score]],Student­­Performance[[#This Row],[Writing Score]])</f>
        <v>74.666666666666671</v>
      </c>
      <c r="J318" s="10" t="str">
        <f>IF(Student­­Performance[[#This Row],[Average Score]]&gt;=50,"Pass","Fail")</f>
        <v>Pass</v>
      </c>
      <c r="K31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31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31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-11</v>
      </c>
      <c r="N318" s="4">
        <f>IF(ISNUMBER(Student­­Performance[[#This Row],[Math Score]]),Student­­Performance[[#This Row],[Math Score]],0)</f>
        <v>80</v>
      </c>
      <c r="O318" s="4">
        <f>IF(ISNUMBER(Student­­Performance[[#This Row],[Reading Score]]),Student­­Performance[[#This Row],[Reading Score]],0)</f>
        <v>75</v>
      </c>
      <c r="P318" s="4">
        <f>IF(ISNUMBER(Student­­Performance[[#This Row],[Writing Score]]),Student­­Performance[[#This Row],[Writing Score]],0)</f>
        <v>69</v>
      </c>
      <c r="Q318" s="4" t="str">
        <f>IF(Student­­Performance[[#This Row],[Math Score]]&gt;=50,"Pass","Fail")</f>
        <v>Pass</v>
      </c>
      <c r="R318" s="4" t="str">
        <f>IF(Student­­Performance[[#This Row],[Reading Score]]&gt;=50,"Pass","Fail")</f>
        <v>Pass</v>
      </c>
      <c r="S318" s="4" t="str">
        <f>IF(Student­­Performance[[#This Row],[Writing Score]]&gt;=50,"Pass","Fail")</f>
        <v>Pass</v>
      </c>
      <c r="T31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224</v>
      </c>
      <c r="U318" s="4" cm="1">
        <f t="array" ref="U318">IF(COUNT(F318:H318)=0,"", MAX(IF(ISNUMBER(F318:H318),F318:H318)) - MIN(IF(ISNUMBER(F318:H318),F318:H318)))</f>
        <v>11</v>
      </c>
      <c r="V318" s="4" t="str">
        <f>IF(U318="","",IF(U318&gt;25,"Outlier","Normal"))</f>
        <v>Normal</v>
      </c>
    </row>
    <row r="319" spans="1:22" x14ac:dyDescent="0.3">
      <c r="A319" s="1" t="s">
        <v>17</v>
      </c>
      <c r="B319" s="1" t="s">
        <v>26</v>
      </c>
      <c r="C319" s="1" t="s">
        <v>86</v>
      </c>
      <c r="D319" s="1" t="s">
        <v>20</v>
      </c>
      <c r="E319" s="1" t="s">
        <v>15</v>
      </c>
      <c r="F319" s="4">
        <v>78</v>
      </c>
      <c r="G319" s="4">
        <v>74</v>
      </c>
      <c r="H319" s="4">
        <v>72</v>
      </c>
      <c r="I319" s="4">
        <f>AVERAGE(Student­­Performance[[#This Row],[Math Score]],Student­­Performance[[#This Row],[Reading Score]],Student­­Performance[[#This Row],[Writing Score]])</f>
        <v>74.666666666666671</v>
      </c>
      <c r="J319" s="10" t="str">
        <f>IF(Student­­Performance[[#This Row],[Average Score]]&gt;=50,"Pass","Fail")</f>
        <v>Pass</v>
      </c>
      <c r="K31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31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31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319" s="4">
        <f>IF(ISNUMBER(Student­­Performance[[#This Row],[Math Score]]),Student­­Performance[[#This Row],[Math Score]],0)</f>
        <v>78</v>
      </c>
      <c r="O319" s="4">
        <f>IF(ISNUMBER(Student­­Performance[[#This Row],[Reading Score]]),Student­­Performance[[#This Row],[Reading Score]],0)</f>
        <v>74</v>
      </c>
      <c r="P319" s="4">
        <f>IF(ISNUMBER(Student­­Performance[[#This Row],[Writing Score]]),Student­­Performance[[#This Row],[Writing Score]],0)</f>
        <v>72</v>
      </c>
      <c r="Q319" s="4" t="str">
        <f>IF(Student­­Performance[[#This Row],[Math Score]]&gt;=50,"Pass","Fail")</f>
        <v>Pass</v>
      </c>
      <c r="R319" s="4" t="str">
        <f>IF(Student­­Performance[[#This Row],[Reading Score]]&gt;=50,"Pass","Fail")</f>
        <v>Pass</v>
      </c>
      <c r="S319" s="4" t="str">
        <f>IF(Student­­Performance[[#This Row],[Writing Score]]&gt;=50,"Pass","Fail")</f>
        <v>Pass</v>
      </c>
      <c r="T31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224</v>
      </c>
      <c r="U319" s="4" cm="1">
        <f t="array" ref="U319">IF(COUNT(F319:H319)=0,"", MAX(IF(ISNUMBER(F319:H319),F319:H319)) - MIN(IF(ISNUMBER(F319:H319),F319:H319)))</f>
        <v>6</v>
      </c>
      <c r="V319" s="4" t="str">
        <f>IF(U319="","",IF(U319&gt;25,"Outlier","Normal"))</f>
        <v>Normal</v>
      </c>
    </row>
    <row r="320" spans="1:22" x14ac:dyDescent="0.3">
      <c r="A320" s="1" t="s">
        <v>17</v>
      </c>
      <c r="B320" s="1" t="s">
        <v>21</v>
      </c>
      <c r="C320" s="1" t="s">
        <v>88</v>
      </c>
      <c r="D320" s="1" t="s">
        <v>11</v>
      </c>
      <c r="E320" s="1" t="s">
        <v>15</v>
      </c>
      <c r="F320" s="4">
        <v>74</v>
      </c>
      <c r="G320" s="4">
        <v>71</v>
      </c>
      <c r="H320" s="4">
        <v>78</v>
      </c>
      <c r="I320" s="4">
        <f>AVERAGE(Student­­Performance[[#This Row],[Math Score]],Student­­Performance[[#This Row],[Reading Score]],Student­­Performance[[#This Row],[Writing Score]])</f>
        <v>74.333333333333329</v>
      </c>
      <c r="J320" s="10" t="str">
        <f>IF(Student­­Performance[[#This Row],[Average Score]]&gt;=50,"Pass","Fail")</f>
        <v>Pass</v>
      </c>
      <c r="K32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32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7</v>
      </c>
      <c r="M32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320" s="4">
        <f>IF(ISNUMBER(Student­­Performance[[#This Row],[Math Score]]),Student­­Performance[[#This Row],[Math Score]],0)</f>
        <v>74</v>
      </c>
      <c r="O320" s="4">
        <f>IF(ISNUMBER(Student­­Performance[[#This Row],[Reading Score]]),Student­­Performance[[#This Row],[Reading Score]],0)</f>
        <v>71</v>
      </c>
      <c r="P320" s="4">
        <f>IF(ISNUMBER(Student­­Performance[[#This Row],[Writing Score]]),Student­­Performance[[#This Row],[Writing Score]],0)</f>
        <v>78</v>
      </c>
      <c r="Q320" s="4" t="str">
        <f>IF(Student­­Performance[[#This Row],[Math Score]]&gt;=50,"Pass","Fail")</f>
        <v>Pass</v>
      </c>
      <c r="R320" s="4" t="str">
        <f>IF(Student­­Performance[[#This Row],[Reading Score]]&gt;=50,"Pass","Fail")</f>
        <v>Pass</v>
      </c>
      <c r="S320" s="4" t="str">
        <f>IF(Student­­Performance[[#This Row],[Writing Score]]&gt;=50,"Pass","Fail")</f>
        <v>Pass</v>
      </c>
      <c r="T32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223</v>
      </c>
      <c r="U320" s="4" cm="1">
        <f t="array" ref="U320">IF(COUNT(F320:H320)=0,"", MAX(IF(ISNUMBER(F320:H320),F320:H320)) - MIN(IF(ISNUMBER(F320:H320),F320:H320)))</f>
        <v>7</v>
      </c>
      <c r="V320" s="4" t="str">
        <f>IF(U320="","",IF(U320&gt;25,"Outlier","Normal"))</f>
        <v>Normal</v>
      </c>
    </row>
    <row r="321" spans="1:22" x14ac:dyDescent="0.3">
      <c r="A321" s="1" t="s">
        <v>8</v>
      </c>
      <c r="B321" s="1" t="s">
        <v>9</v>
      </c>
      <c r="C321" s="1" t="s">
        <v>84</v>
      </c>
      <c r="D321" s="1" t="s">
        <v>11</v>
      </c>
      <c r="E321" s="1" t="s">
        <v>12</v>
      </c>
      <c r="F321" s="4">
        <v>70</v>
      </c>
      <c r="G321" s="4">
        <v>75</v>
      </c>
      <c r="H321" s="4">
        <v>78</v>
      </c>
      <c r="I321" s="4">
        <f>AVERAGE(Student­­Performance[[#This Row],[Math Score]],Student­­Performance[[#This Row],[Reading Score]],Student­­Performance[[#This Row],[Writing Score]])</f>
        <v>74.333333333333329</v>
      </c>
      <c r="J321" s="10" t="str">
        <f>IF(Student­­Performance[[#This Row],[Average Score]]&gt;=50,"Pass","Fail")</f>
        <v>Pass</v>
      </c>
      <c r="K32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32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32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321" s="4">
        <f>IF(ISNUMBER(Student­­Performance[[#This Row],[Math Score]]),Student­­Performance[[#This Row],[Math Score]],0)</f>
        <v>70</v>
      </c>
      <c r="O321" s="4">
        <f>IF(ISNUMBER(Student­­Performance[[#This Row],[Reading Score]]),Student­­Performance[[#This Row],[Reading Score]],0)</f>
        <v>75</v>
      </c>
      <c r="P321" s="4">
        <f>IF(ISNUMBER(Student­­Performance[[#This Row],[Writing Score]]),Student­­Performance[[#This Row],[Writing Score]],0)</f>
        <v>78</v>
      </c>
      <c r="Q321" s="4" t="str">
        <f>IF(Student­­Performance[[#This Row],[Math Score]]&gt;=50,"Pass","Fail")</f>
        <v>Pass</v>
      </c>
      <c r="R321" s="4" t="str">
        <f>IF(Student­­Performance[[#This Row],[Reading Score]]&gt;=50,"Pass","Fail")</f>
        <v>Pass</v>
      </c>
      <c r="S321" s="4" t="str">
        <f>IF(Student­­Performance[[#This Row],[Writing Score]]&gt;=50,"Pass","Fail")</f>
        <v>Pass</v>
      </c>
      <c r="T32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223</v>
      </c>
      <c r="U321" s="4" cm="1">
        <f t="array" ref="U321">IF(COUNT(F321:H321)=0,"", MAX(IF(ISNUMBER(F321:H321),F321:H321)) - MIN(IF(ISNUMBER(F321:H321),F321:H321)))</f>
        <v>8</v>
      </c>
      <c r="V321" s="4" t="str">
        <f>IF(U321="","",IF(U321&gt;25,"Outlier","Normal"))</f>
        <v>Normal</v>
      </c>
    </row>
    <row r="322" spans="1:22" x14ac:dyDescent="0.3">
      <c r="A322" s="1" t="s">
        <v>8</v>
      </c>
      <c r="B322" s="1" t="s">
        <v>21</v>
      </c>
      <c r="C322" s="1" t="s">
        <v>84</v>
      </c>
      <c r="D322" s="1" t="s">
        <v>20</v>
      </c>
      <c r="E322" s="1" t="s">
        <v>15</v>
      </c>
      <c r="F322" s="4">
        <v>63</v>
      </c>
      <c r="G322" s="4">
        <v>80</v>
      </c>
      <c r="H322" s="4">
        <v>80</v>
      </c>
      <c r="I322" s="4">
        <f>AVERAGE(Student­­Performance[[#This Row],[Math Score]],Student­­Performance[[#This Row],[Reading Score]],Student­­Performance[[#This Row],[Writing Score]])</f>
        <v>74.333333333333329</v>
      </c>
      <c r="J322" s="10" t="str">
        <f>IF(Student­­Performance[[#This Row],[Average Score]]&gt;=50,"Pass","Fail")</f>
        <v>Pass</v>
      </c>
      <c r="K32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17</v>
      </c>
      <c r="L32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32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17</v>
      </c>
      <c r="N322" s="4">
        <f>IF(ISNUMBER(Student­­Performance[[#This Row],[Math Score]]),Student­­Performance[[#This Row],[Math Score]],0)</f>
        <v>63</v>
      </c>
      <c r="O322" s="4">
        <f>IF(ISNUMBER(Student­­Performance[[#This Row],[Reading Score]]),Student­­Performance[[#This Row],[Reading Score]],0)</f>
        <v>80</v>
      </c>
      <c r="P322" s="4">
        <f>IF(ISNUMBER(Student­­Performance[[#This Row],[Writing Score]]),Student­­Performance[[#This Row],[Writing Score]],0)</f>
        <v>80</v>
      </c>
      <c r="Q322" s="4" t="str">
        <f>IF(Student­­Performance[[#This Row],[Math Score]]&gt;=50,"Pass","Fail")</f>
        <v>Pass</v>
      </c>
      <c r="R322" s="4" t="str">
        <f>IF(Student­­Performance[[#This Row],[Reading Score]]&gt;=50,"Pass","Fail")</f>
        <v>Pass</v>
      </c>
      <c r="S322" s="4" t="str">
        <f>IF(Student­­Performance[[#This Row],[Writing Score]]&gt;=50,"Pass","Fail")</f>
        <v>Pass</v>
      </c>
      <c r="T32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223</v>
      </c>
      <c r="U322" s="4" cm="1">
        <f t="array" ref="U322">IF(COUNT(F322:H322)=0,"", MAX(IF(ISNUMBER(F322:H322),F322:H322)) - MIN(IF(ISNUMBER(F322:H322),F322:H322)))</f>
        <v>17</v>
      </c>
      <c r="V322" s="4" t="str">
        <f>IF(U322="","",IF(U322&gt;25,"Outlier","Normal"))</f>
        <v>Normal</v>
      </c>
    </row>
    <row r="323" spans="1:22" x14ac:dyDescent="0.3">
      <c r="A323" s="1" t="s">
        <v>8</v>
      </c>
      <c r="B323" s="1" t="s">
        <v>21</v>
      </c>
      <c r="C323" s="1" t="s">
        <v>84</v>
      </c>
      <c r="D323" s="1" t="s">
        <v>11</v>
      </c>
      <c r="E323" s="1" t="s">
        <v>12</v>
      </c>
      <c r="F323" s="4">
        <v>69</v>
      </c>
      <c r="G323" s="4">
        <v>77</v>
      </c>
      <c r="H323" s="4">
        <v>77</v>
      </c>
      <c r="I323" s="4">
        <f>AVERAGE(Student­­Performance[[#This Row],[Math Score]],Student­­Performance[[#This Row],[Reading Score]],Student­­Performance[[#This Row],[Writing Score]])</f>
        <v>74.333333333333329</v>
      </c>
      <c r="J323" s="10" t="str">
        <f>IF(Student­­Performance[[#This Row],[Average Score]]&gt;=50,"Pass","Fail")</f>
        <v>Pass</v>
      </c>
      <c r="K32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32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32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323" s="4">
        <f>IF(ISNUMBER(Student­­Performance[[#This Row],[Math Score]]),Student­­Performance[[#This Row],[Math Score]],0)</f>
        <v>69</v>
      </c>
      <c r="O323" s="4">
        <f>IF(ISNUMBER(Student­­Performance[[#This Row],[Reading Score]]),Student­­Performance[[#This Row],[Reading Score]],0)</f>
        <v>77</v>
      </c>
      <c r="P323" s="4">
        <f>IF(ISNUMBER(Student­­Performance[[#This Row],[Writing Score]]),Student­­Performance[[#This Row],[Writing Score]],0)</f>
        <v>77</v>
      </c>
      <c r="Q323" s="4" t="str">
        <f>IF(Student­­Performance[[#This Row],[Math Score]]&gt;=50,"Pass","Fail")</f>
        <v>Pass</v>
      </c>
      <c r="R323" s="4" t="str">
        <f>IF(Student­­Performance[[#This Row],[Reading Score]]&gt;=50,"Pass","Fail")</f>
        <v>Pass</v>
      </c>
      <c r="S323" s="4" t="str">
        <f>IF(Student­­Performance[[#This Row],[Writing Score]]&gt;=50,"Pass","Fail")</f>
        <v>Pass</v>
      </c>
      <c r="T32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223</v>
      </c>
      <c r="U323" s="4" cm="1">
        <f t="array" ref="U323">IF(COUNT(F323:H323)=0,"", MAX(IF(ISNUMBER(F323:H323),F323:H323)) - MIN(IF(ISNUMBER(F323:H323),F323:H323)))</f>
        <v>8</v>
      </c>
      <c r="V323" s="4" t="str">
        <f>IF(U323="","",IF(U323&gt;25,"Outlier","Normal"))</f>
        <v>Normal</v>
      </c>
    </row>
    <row r="324" spans="1:22" x14ac:dyDescent="0.3">
      <c r="A324" s="1" t="s">
        <v>8</v>
      </c>
      <c r="B324" s="1" t="s">
        <v>26</v>
      </c>
      <c r="C324" s="1" t="s">
        <v>87</v>
      </c>
      <c r="D324" s="1" t="s">
        <v>11</v>
      </c>
      <c r="E324" s="1" t="s">
        <v>12</v>
      </c>
      <c r="F324" s="4">
        <v>74</v>
      </c>
      <c r="G324" s="4">
        <v>76</v>
      </c>
      <c r="H324" s="4">
        <v>73</v>
      </c>
      <c r="I324" s="4">
        <f>AVERAGE(Student­­Performance[[#This Row],[Math Score]],Student­­Performance[[#This Row],[Reading Score]],Student­­Performance[[#This Row],[Writing Score]])</f>
        <v>74.333333333333329</v>
      </c>
      <c r="J324" s="10" t="str">
        <f>IF(Student­­Performance[[#This Row],[Average Score]]&gt;=50,"Pass","Fail")</f>
        <v>Pass</v>
      </c>
      <c r="K32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32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32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324" s="4">
        <f>IF(ISNUMBER(Student­­Performance[[#This Row],[Math Score]]),Student­­Performance[[#This Row],[Math Score]],0)</f>
        <v>74</v>
      </c>
      <c r="O324" s="4">
        <f>IF(ISNUMBER(Student­­Performance[[#This Row],[Reading Score]]),Student­­Performance[[#This Row],[Reading Score]],0)</f>
        <v>76</v>
      </c>
      <c r="P324" s="4">
        <f>IF(ISNUMBER(Student­­Performance[[#This Row],[Writing Score]]),Student­­Performance[[#This Row],[Writing Score]],0)</f>
        <v>73</v>
      </c>
      <c r="Q324" s="4" t="str">
        <f>IF(Student­­Performance[[#This Row],[Math Score]]&gt;=50,"Pass","Fail")</f>
        <v>Pass</v>
      </c>
      <c r="R324" s="4" t="str">
        <f>IF(Student­­Performance[[#This Row],[Reading Score]]&gt;=50,"Pass","Fail")</f>
        <v>Pass</v>
      </c>
      <c r="S324" s="4" t="str">
        <f>IF(Student­­Performance[[#This Row],[Writing Score]]&gt;=50,"Pass","Fail")</f>
        <v>Pass</v>
      </c>
      <c r="T32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223</v>
      </c>
      <c r="U324" s="4" cm="1">
        <f t="array" ref="U324">IF(COUNT(F324:H324)=0,"", MAX(IF(ISNUMBER(F324:H324),F324:H324)) - MIN(IF(ISNUMBER(F324:H324),F324:H324)))</f>
        <v>3</v>
      </c>
      <c r="V324" s="4" t="str">
        <f>IF(U324="","",IF(U324&gt;25,"Outlier","Normal"))</f>
        <v>Normal</v>
      </c>
    </row>
    <row r="325" spans="1:22" x14ac:dyDescent="0.3">
      <c r="A325" s="1" t="s">
        <v>8</v>
      </c>
      <c r="B325" s="1" t="s">
        <v>21</v>
      </c>
      <c r="C325" s="1" t="s">
        <v>86</v>
      </c>
      <c r="D325" s="1" t="s">
        <v>11</v>
      </c>
      <c r="E325" s="1" t="s">
        <v>12</v>
      </c>
      <c r="F325" s="4">
        <v>76</v>
      </c>
      <c r="G325" s="4">
        <v>74</v>
      </c>
      <c r="H325" s="4">
        <v>73</v>
      </c>
      <c r="I325" s="4">
        <f>AVERAGE(Student­­Performance[[#This Row],[Math Score]],Student­­Performance[[#This Row],[Reading Score]],Student­­Performance[[#This Row],[Writing Score]])</f>
        <v>74.333333333333329</v>
      </c>
      <c r="J325" s="10" t="str">
        <f>IF(Student­­Performance[[#This Row],[Average Score]]&gt;=50,"Pass","Fail")</f>
        <v>Pass</v>
      </c>
      <c r="K32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</v>
      </c>
      <c r="L32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32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325" s="4">
        <f>IF(ISNUMBER(Student­­Performance[[#This Row],[Math Score]]),Student­­Performance[[#This Row],[Math Score]],0)</f>
        <v>76</v>
      </c>
      <c r="O325" s="4">
        <f>IF(ISNUMBER(Student­­Performance[[#This Row],[Reading Score]]),Student­­Performance[[#This Row],[Reading Score]],0)</f>
        <v>74</v>
      </c>
      <c r="P325" s="4">
        <f>IF(ISNUMBER(Student­­Performance[[#This Row],[Writing Score]]),Student­­Performance[[#This Row],[Writing Score]],0)</f>
        <v>73</v>
      </c>
      <c r="Q325" s="4" t="str">
        <f>IF(Student­­Performance[[#This Row],[Math Score]]&gt;=50,"Pass","Fail")</f>
        <v>Pass</v>
      </c>
      <c r="R325" s="4" t="str">
        <f>IF(Student­­Performance[[#This Row],[Reading Score]]&gt;=50,"Pass","Fail")</f>
        <v>Pass</v>
      </c>
      <c r="S325" s="4" t="str">
        <f>IF(Student­­Performance[[#This Row],[Writing Score]]&gt;=50,"Pass","Fail")</f>
        <v>Pass</v>
      </c>
      <c r="T32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223</v>
      </c>
      <c r="U325" s="4" cm="1">
        <f t="array" ref="U325">IF(COUNT(F325:H325)=0,"", MAX(IF(ISNUMBER(F325:H325),F325:H325)) - MIN(IF(ISNUMBER(F325:H325),F325:H325)))</f>
        <v>3</v>
      </c>
      <c r="V325" s="4" t="str">
        <f>IF(U325="","",IF(U325&gt;25,"Outlier","Normal"))</f>
        <v>Normal</v>
      </c>
    </row>
    <row r="326" spans="1:22" x14ac:dyDescent="0.3">
      <c r="A326" s="1" t="s">
        <v>8</v>
      </c>
      <c r="B326" s="1" t="s">
        <v>13</v>
      </c>
      <c r="C326" s="1" t="s">
        <v>84</v>
      </c>
      <c r="D326" s="1" t="s">
        <v>11</v>
      </c>
      <c r="E326" s="1" t="s">
        <v>12</v>
      </c>
      <c r="F326" s="4">
        <v>69</v>
      </c>
      <c r="G326" s="4">
        <v>78</v>
      </c>
      <c r="H326" s="4">
        <v>76</v>
      </c>
      <c r="I326" s="4">
        <f>AVERAGE(Student­­Performance[[#This Row],[Math Score]],Student­­Performance[[#This Row],[Reading Score]],Student­­Performance[[#This Row],[Writing Score]])</f>
        <v>74.333333333333329</v>
      </c>
      <c r="J326" s="10" t="str">
        <f>IF(Student­­Performance[[#This Row],[Average Score]]&gt;=50,"Pass","Fail")</f>
        <v>Pass</v>
      </c>
      <c r="K32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32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32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326" s="4">
        <f>IF(ISNUMBER(Student­­Performance[[#This Row],[Math Score]]),Student­­Performance[[#This Row],[Math Score]],0)</f>
        <v>69</v>
      </c>
      <c r="O326" s="4">
        <f>IF(ISNUMBER(Student­­Performance[[#This Row],[Reading Score]]),Student­­Performance[[#This Row],[Reading Score]],0)</f>
        <v>78</v>
      </c>
      <c r="P326" s="4">
        <f>IF(ISNUMBER(Student­­Performance[[#This Row],[Writing Score]]),Student­­Performance[[#This Row],[Writing Score]],0)</f>
        <v>76</v>
      </c>
      <c r="Q326" s="4" t="str">
        <f>IF(Student­­Performance[[#This Row],[Math Score]]&gt;=50,"Pass","Fail")</f>
        <v>Pass</v>
      </c>
      <c r="R326" s="4" t="str">
        <f>IF(Student­­Performance[[#This Row],[Reading Score]]&gt;=50,"Pass","Fail")</f>
        <v>Pass</v>
      </c>
      <c r="S326" s="4" t="str">
        <f>IF(Student­­Performance[[#This Row],[Writing Score]]&gt;=50,"Pass","Fail")</f>
        <v>Pass</v>
      </c>
      <c r="T32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223</v>
      </c>
      <c r="U326" s="4" cm="1">
        <f t="array" ref="U326">IF(COUNT(F326:H326)=0,"", MAX(IF(ISNUMBER(F326:H326),F326:H326)) - MIN(IF(ISNUMBER(F326:H326),F326:H326)))</f>
        <v>9</v>
      </c>
      <c r="V326" s="4" t="str">
        <f>IF(U326="","",IF(U326&gt;25,"Outlier","Normal"))</f>
        <v>Normal</v>
      </c>
    </row>
    <row r="327" spans="1:22" x14ac:dyDescent="0.3">
      <c r="A327" s="1" t="s">
        <v>17</v>
      </c>
      <c r="B327" s="1" t="s">
        <v>13</v>
      </c>
      <c r="C327" s="1" t="s">
        <v>86</v>
      </c>
      <c r="D327" s="1" t="s">
        <v>11</v>
      </c>
      <c r="E327" s="1" t="s">
        <v>15</v>
      </c>
      <c r="F327" s="4">
        <v>73</v>
      </c>
      <c r="G327" s="4">
        <v>78</v>
      </c>
      <c r="H327" s="4">
        <v>72</v>
      </c>
      <c r="I327" s="4">
        <f>AVERAGE(Student­­Performance[[#This Row],[Math Score]],Student­­Performance[[#This Row],[Reading Score]],Student­­Performance[[#This Row],[Writing Score]])</f>
        <v>74.333333333333329</v>
      </c>
      <c r="J327" s="10" t="str">
        <f>IF(Student­­Performance[[#This Row],[Average Score]]&gt;=50,"Pass","Fail")</f>
        <v>Pass</v>
      </c>
      <c r="K32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32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32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327" s="4">
        <f>IF(ISNUMBER(Student­­Performance[[#This Row],[Math Score]]),Student­­Performance[[#This Row],[Math Score]],0)</f>
        <v>73</v>
      </c>
      <c r="O327" s="4">
        <f>IF(ISNUMBER(Student­­Performance[[#This Row],[Reading Score]]),Student­­Performance[[#This Row],[Reading Score]],0)</f>
        <v>78</v>
      </c>
      <c r="P327" s="4">
        <f>IF(ISNUMBER(Student­­Performance[[#This Row],[Writing Score]]),Student­­Performance[[#This Row],[Writing Score]],0)</f>
        <v>72</v>
      </c>
      <c r="Q327" s="4" t="str">
        <f>IF(Student­­Performance[[#This Row],[Math Score]]&gt;=50,"Pass","Fail")</f>
        <v>Pass</v>
      </c>
      <c r="R327" s="4" t="str">
        <f>IF(Student­­Performance[[#This Row],[Reading Score]]&gt;=50,"Pass","Fail")</f>
        <v>Pass</v>
      </c>
      <c r="S327" s="4" t="str">
        <f>IF(Student­­Performance[[#This Row],[Writing Score]]&gt;=50,"Pass","Fail")</f>
        <v>Pass</v>
      </c>
      <c r="T32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223</v>
      </c>
      <c r="U327" s="4" cm="1">
        <f t="array" ref="U327">IF(COUNT(F327:H327)=0,"", MAX(IF(ISNUMBER(F327:H327),F327:H327)) - MIN(IF(ISNUMBER(F327:H327),F327:H327)))</f>
        <v>6</v>
      </c>
      <c r="V327" s="4" t="str">
        <f>IF(U327="","",IF(U327&gt;25,"Outlier","Normal"))</f>
        <v>Normal</v>
      </c>
    </row>
    <row r="328" spans="1:22" x14ac:dyDescent="0.3">
      <c r="A328" s="1" t="s">
        <v>17</v>
      </c>
      <c r="B328" s="1" t="s">
        <v>9</v>
      </c>
      <c r="C328" s="1" t="s">
        <v>84</v>
      </c>
      <c r="D328" s="1" t="s">
        <v>11</v>
      </c>
      <c r="E328" s="1" t="s">
        <v>15</v>
      </c>
      <c r="F328" s="4">
        <v>69</v>
      </c>
      <c r="G328" s="4">
        <v>77</v>
      </c>
      <c r="H328" s="4">
        <v>77</v>
      </c>
      <c r="I328" s="4">
        <f>AVERAGE(Student­­Performance[[#This Row],[Math Score]],Student­­Performance[[#This Row],[Reading Score]],Student­­Performance[[#This Row],[Writing Score]])</f>
        <v>74.333333333333329</v>
      </c>
      <c r="J328" s="10" t="str">
        <f>IF(Student­­Performance[[#This Row],[Average Score]]&gt;=50,"Pass","Fail")</f>
        <v>Pass</v>
      </c>
      <c r="K32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32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32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328" s="4">
        <f>IF(ISNUMBER(Student­­Performance[[#This Row],[Math Score]]),Student­­Performance[[#This Row],[Math Score]],0)</f>
        <v>69</v>
      </c>
      <c r="O328" s="4">
        <f>IF(ISNUMBER(Student­­Performance[[#This Row],[Reading Score]]),Student­­Performance[[#This Row],[Reading Score]],0)</f>
        <v>77</v>
      </c>
      <c r="P328" s="4">
        <f>IF(ISNUMBER(Student­­Performance[[#This Row],[Writing Score]]),Student­­Performance[[#This Row],[Writing Score]],0)</f>
        <v>77</v>
      </c>
      <c r="Q328" s="4" t="str">
        <f>IF(Student­­Performance[[#This Row],[Math Score]]&gt;=50,"Pass","Fail")</f>
        <v>Pass</v>
      </c>
      <c r="R328" s="4" t="str">
        <f>IF(Student­­Performance[[#This Row],[Reading Score]]&gt;=50,"Pass","Fail")</f>
        <v>Pass</v>
      </c>
      <c r="S328" s="4" t="str">
        <f>IF(Student­­Performance[[#This Row],[Writing Score]]&gt;=50,"Pass","Fail")</f>
        <v>Pass</v>
      </c>
      <c r="T32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223</v>
      </c>
      <c r="U328" s="4" cm="1">
        <f t="array" ref="U328">IF(COUNT(F328:H328)=0,"", MAX(IF(ISNUMBER(F328:H328),F328:H328)) - MIN(IF(ISNUMBER(F328:H328),F328:H328)))</f>
        <v>8</v>
      </c>
      <c r="V328" s="4" t="str">
        <f>IF(U328="","",IF(U328&gt;25,"Outlier","Normal"))</f>
        <v>Normal</v>
      </c>
    </row>
    <row r="329" spans="1:22" x14ac:dyDescent="0.3">
      <c r="A329" s="1" t="s">
        <v>8</v>
      </c>
      <c r="B329" s="1" t="s">
        <v>13</v>
      </c>
      <c r="C329" s="1" t="s">
        <v>84</v>
      </c>
      <c r="D329" s="1" t="s">
        <v>11</v>
      </c>
      <c r="E329" s="1" t="s">
        <v>15</v>
      </c>
      <c r="F329" s="4">
        <v>64</v>
      </c>
      <c r="G329" s="4">
        <v>82</v>
      </c>
      <c r="H329" s="4">
        <v>77</v>
      </c>
      <c r="I329" s="4">
        <f>AVERAGE(Student­­Performance[[#This Row],[Math Score]],Student­­Performance[[#This Row],[Reading Score]],Student­­Performance[[#This Row],[Writing Score]])</f>
        <v>74.333333333333329</v>
      </c>
      <c r="J329" s="10" t="str">
        <f>IF(Student­­Performance[[#This Row],[Average Score]]&gt;=50,"Pass","Fail")</f>
        <v>Pass</v>
      </c>
      <c r="K32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18</v>
      </c>
      <c r="L32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32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13</v>
      </c>
      <c r="N329" s="4">
        <f>IF(ISNUMBER(Student­­Performance[[#This Row],[Math Score]]),Student­­Performance[[#This Row],[Math Score]],0)</f>
        <v>64</v>
      </c>
      <c r="O329" s="4">
        <f>IF(ISNUMBER(Student­­Performance[[#This Row],[Reading Score]]),Student­­Performance[[#This Row],[Reading Score]],0)</f>
        <v>82</v>
      </c>
      <c r="P329" s="4">
        <f>IF(ISNUMBER(Student­­Performance[[#This Row],[Writing Score]]),Student­­Performance[[#This Row],[Writing Score]],0)</f>
        <v>77</v>
      </c>
      <c r="Q329" s="4" t="str">
        <f>IF(Student­­Performance[[#This Row],[Math Score]]&gt;=50,"Pass","Fail")</f>
        <v>Pass</v>
      </c>
      <c r="R329" s="4" t="str">
        <f>IF(Student­­Performance[[#This Row],[Reading Score]]&gt;=50,"Pass","Fail")</f>
        <v>Pass</v>
      </c>
      <c r="S329" s="4" t="str">
        <f>IF(Student­­Performance[[#This Row],[Writing Score]]&gt;=50,"Pass","Fail")</f>
        <v>Pass</v>
      </c>
      <c r="T32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223</v>
      </c>
      <c r="U329" s="4" cm="1">
        <f t="array" ref="U329">IF(COUNT(F329:H329)=0,"", MAX(IF(ISNUMBER(F329:H329),F329:H329)) - MIN(IF(ISNUMBER(F329:H329),F329:H329)))</f>
        <v>18</v>
      </c>
      <c r="V329" s="4" t="str">
        <f>IF(U329="","",IF(U329&gt;25,"Outlier","Normal"))</f>
        <v>Normal</v>
      </c>
    </row>
    <row r="330" spans="1:22" x14ac:dyDescent="0.3">
      <c r="A330" s="1" t="s">
        <v>8</v>
      </c>
      <c r="B330" s="1" t="s">
        <v>21</v>
      </c>
      <c r="C330" s="1" t="s">
        <v>84</v>
      </c>
      <c r="D330" s="1" t="s">
        <v>11</v>
      </c>
      <c r="E330" s="1" t="s">
        <v>15</v>
      </c>
      <c r="F330" s="4">
        <v>68</v>
      </c>
      <c r="G330" s="4">
        <v>78</v>
      </c>
      <c r="H330" s="4">
        <v>77</v>
      </c>
      <c r="I330" s="4">
        <f>AVERAGE(Student­­Performance[[#This Row],[Math Score]],Student­­Performance[[#This Row],[Reading Score]],Student­­Performance[[#This Row],[Writing Score]])</f>
        <v>74.333333333333329</v>
      </c>
      <c r="J330" s="10" t="str">
        <f>IF(Student­­Performance[[#This Row],[Average Score]]&gt;=50,"Pass","Fail")</f>
        <v>Pass</v>
      </c>
      <c r="K33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33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33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330" s="4">
        <f>IF(ISNUMBER(Student­­Performance[[#This Row],[Math Score]]),Student­­Performance[[#This Row],[Math Score]],0)</f>
        <v>68</v>
      </c>
      <c r="O330" s="4">
        <f>IF(ISNUMBER(Student­­Performance[[#This Row],[Reading Score]]),Student­­Performance[[#This Row],[Reading Score]],0)</f>
        <v>78</v>
      </c>
      <c r="P330" s="4">
        <f>IF(ISNUMBER(Student­­Performance[[#This Row],[Writing Score]]),Student­­Performance[[#This Row],[Writing Score]],0)</f>
        <v>77</v>
      </c>
      <c r="Q330" s="4" t="str">
        <f>IF(Student­­Performance[[#This Row],[Math Score]]&gt;=50,"Pass","Fail")</f>
        <v>Pass</v>
      </c>
      <c r="R330" s="4" t="str">
        <f>IF(Student­­Performance[[#This Row],[Reading Score]]&gt;=50,"Pass","Fail")</f>
        <v>Pass</v>
      </c>
      <c r="S330" s="4" t="str">
        <f>IF(Student­­Performance[[#This Row],[Writing Score]]&gt;=50,"Pass","Fail")</f>
        <v>Pass</v>
      </c>
      <c r="T33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223</v>
      </c>
      <c r="U330" s="4" cm="1">
        <f t="array" ref="U330">IF(COUNT(F330:H330)=0,"", MAX(IF(ISNUMBER(F330:H330),F330:H330)) - MIN(IF(ISNUMBER(F330:H330),F330:H330)))</f>
        <v>10</v>
      </c>
      <c r="V330" s="4" t="str">
        <f>IF(U330="","",IF(U330&gt;25,"Outlier","Normal"))</f>
        <v>Normal</v>
      </c>
    </row>
    <row r="331" spans="1:22" x14ac:dyDescent="0.3">
      <c r="A331" s="1" t="s">
        <v>8</v>
      </c>
      <c r="B331" s="1" t="s">
        <v>13</v>
      </c>
      <c r="C331" s="1" t="s">
        <v>88</v>
      </c>
      <c r="D331" s="1" t="s">
        <v>11</v>
      </c>
      <c r="E331" s="1" t="s">
        <v>12</v>
      </c>
      <c r="F331" s="4">
        <v>69</v>
      </c>
      <c r="G331" s="4">
        <v>75</v>
      </c>
      <c r="H331" s="4">
        <v>78</v>
      </c>
      <c r="I331" s="4">
        <f>AVERAGE(Student­­Performance[[#This Row],[Math Score]],Student­­Performance[[#This Row],[Reading Score]],Student­­Performance[[#This Row],[Writing Score]])</f>
        <v>74</v>
      </c>
      <c r="J331" s="10" t="str">
        <f>IF(Student­­Performance[[#This Row],[Average Score]]&gt;=50,"Pass","Fail")</f>
        <v>Pass</v>
      </c>
      <c r="K33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33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33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331" s="4">
        <f>IF(ISNUMBER(Student­­Performance[[#This Row],[Math Score]]),Student­­Performance[[#This Row],[Math Score]],0)</f>
        <v>69</v>
      </c>
      <c r="O331" s="4">
        <f>IF(ISNUMBER(Student­­Performance[[#This Row],[Reading Score]]),Student­­Performance[[#This Row],[Reading Score]],0)</f>
        <v>75</v>
      </c>
      <c r="P331" s="4">
        <f>IF(ISNUMBER(Student­­Performance[[#This Row],[Writing Score]]),Student­­Performance[[#This Row],[Writing Score]],0)</f>
        <v>78</v>
      </c>
      <c r="Q331" s="4" t="str">
        <f>IF(Student­­Performance[[#This Row],[Math Score]]&gt;=50,"Pass","Fail")</f>
        <v>Pass</v>
      </c>
      <c r="R331" s="4" t="str">
        <f>IF(Student­­Performance[[#This Row],[Reading Score]]&gt;=50,"Pass","Fail")</f>
        <v>Pass</v>
      </c>
      <c r="S331" s="4" t="str">
        <f>IF(Student­­Performance[[#This Row],[Writing Score]]&gt;=50,"Pass","Fail")</f>
        <v>Pass</v>
      </c>
      <c r="T33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222</v>
      </c>
      <c r="U331" s="4" cm="1">
        <f t="array" ref="U331">IF(COUNT(F331:H331)=0,"", MAX(IF(ISNUMBER(F331:H331),F331:H331)) - MIN(IF(ISNUMBER(F331:H331),F331:H331)))</f>
        <v>9</v>
      </c>
      <c r="V331" s="4" t="str">
        <f>IF(U331="","",IF(U331&gt;25,"Outlier","Normal"))</f>
        <v>Normal</v>
      </c>
    </row>
    <row r="332" spans="1:22" x14ac:dyDescent="0.3">
      <c r="A332" s="1" t="s">
        <v>8</v>
      </c>
      <c r="B332" s="1" t="s">
        <v>21</v>
      </c>
      <c r="C332" s="1" t="s">
        <v>84</v>
      </c>
      <c r="D332" s="1" t="s">
        <v>11</v>
      </c>
      <c r="E332" s="1" t="s">
        <v>12</v>
      </c>
      <c r="F332" s="4">
        <v>77</v>
      </c>
      <c r="G332" s="4">
        <v>68</v>
      </c>
      <c r="H332" s="4">
        <v>77</v>
      </c>
      <c r="I332" s="4">
        <f>AVERAGE(Student­­Performance[[#This Row],[Math Score]],Student­­Performance[[#This Row],[Reading Score]],Student­­Performance[[#This Row],[Writing Score]])</f>
        <v>74</v>
      </c>
      <c r="J332" s="10" t="str">
        <f>IF(Student­­Performance[[#This Row],[Average Score]]&gt;=50,"Pass","Fail")</f>
        <v>Pass</v>
      </c>
      <c r="K33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-9</v>
      </c>
      <c r="L33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9</v>
      </c>
      <c r="M33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332" s="4">
        <f>IF(ISNUMBER(Student­­Performance[[#This Row],[Math Score]]),Student­­Performance[[#This Row],[Math Score]],0)</f>
        <v>77</v>
      </c>
      <c r="O332" s="4">
        <f>IF(ISNUMBER(Student­­Performance[[#This Row],[Reading Score]]),Student­­Performance[[#This Row],[Reading Score]],0)</f>
        <v>68</v>
      </c>
      <c r="P332" s="4">
        <f>IF(ISNUMBER(Student­­Performance[[#This Row],[Writing Score]]),Student­­Performance[[#This Row],[Writing Score]],0)</f>
        <v>77</v>
      </c>
      <c r="Q332" s="4" t="str">
        <f>IF(Student­­Performance[[#This Row],[Math Score]]&gt;=50,"Pass","Fail")</f>
        <v>Pass</v>
      </c>
      <c r="R332" s="4" t="str">
        <f>IF(Student­­Performance[[#This Row],[Reading Score]]&gt;=50,"Pass","Fail")</f>
        <v>Pass</v>
      </c>
      <c r="S332" s="4" t="str">
        <f>IF(Student­­Performance[[#This Row],[Writing Score]]&gt;=50,"Pass","Fail")</f>
        <v>Pass</v>
      </c>
      <c r="T33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222</v>
      </c>
      <c r="U332" s="4" cm="1">
        <f t="array" ref="U332">IF(COUNT(F332:H332)=0,"", MAX(IF(ISNUMBER(F332:H332),F332:H332)) - MIN(IF(ISNUMBER(F332:H332),F332:H332)))</f>
        <v>9</v>
      </c>
      <c r="V332" s="4" t="str">
        <f>IF(U332="","",IF(U332&gt;25,"Outlier","Normal"))</f>
        <v>Normal</v>
      </c>
    </row>
    <row r="333" spans="1:22" x14ac:dyDescent="0.3">
      <c r="A333" s="1" t="s">
        <v>8</v>
      </c>
      <c r="B333" s="1" t="s">
        <v>21</v>
      </c>
      <c r="C333" s="1" t="s">
        <v>88</v>
      </c>
      <c r="D333" s="1" t="s">
        <v>11</v>
      </c>
      <c r="E333" s="1" t="s">
        <v>15</v>
      </c>
      <c r="F333" s="4">
        <v>66</v>
      </c>
      <c r="G333" s="4">
        <v>78</v>
      </c>
      <c r="H333" s="4">
        <v>78</v>
      </c>
      <c r="I333" s="4">
        <f>AVERAGE(Student­­Performance[[#This Row],[Math Score]],Student­­Performance[[#This Row],[Reading Score]],Student­­Performance[[#This Row],[Writing Score]])</f>
        <v>74</v>
      </c>
      <c r="J333" s="10" t="str">
        <f>IF(Student­­Performance[[#This Row],[Average Score]]&gt;=50,"Pass","Fail")</f>
        <v>Pass</v>
      </c>
      <c r="K33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33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33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333" s="4">
        <f>IF(ISNUMBER(Student­­Performance[[#This Row],[Math Score]]),Student­­Performance[[#This Row],[Math Score]],0)</f>
        <v>66</v>
      </c>
      <c r="O333" s="4">
        <f>IF(ISNUMBER(Student­­Performance[[#This Row],[Reading Score]]),Student­­Performance[[#This Row],[Reading Score]],0)</f>
        <v>78</v>
      </c>
      <c r="P333" s="4">
        <f>IF(ISNUMBER(Student­­Performance[[#This Row],[Writing Score]]),Student­­Performance[[#This Row],[Writing Score]],0)</f>
        <v>78</v>
      </c>
      <c r="Q333" s="4" t="str">
        <f>IF(Student­­Performance[[#This Row],[Math Score]]&gt;=50,"Pass","Fail")</f>
        <v>Pass</v>
      </c>
      <c r="R333" s="4" t="str">
        <f>IF(Student­­Performance[[#This Row],[Reading Score]]&gt;=50,"Pass","Fail")</f>
        <v>Pass</v>
      </c>
      <c r="S333" s="4" t="str">
        <f>IF(Student­­Performance[[#This Row],[Writing Score]]&gt;=50,"Pass","Fail")</f>
        <v>Pass</v>
      </c>
      <c r="T33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222</v>
      </c>
      <c r="U333" s="4" cm="1">
        <f t="array" ref="U333">IF(COUNT(F333:H333)=0,"", MAX(IF(ISNUMBER(F333:H333),F333:H333)) - MIN(IF(ISNUMBER(F333:H333),F333:H333)))</f>
        <v>12</v>
      </c>
      <c r="V333" s="4" t="str">
        <f>IF(U333="","",IF(U333&gt;25,"Outlier","Normal"))</f>
        <v>Normal</v>
      </c>
    </row>
    <row r="334" spans="1:22" x14ac:dyDescent="0.3">
      <c r="A334" s="1" t="s">
        <v>17</v>
      </c>
      <c r="B334" s="1" t="s">
        <v>26</v>
      </c>
      <c r="C334" s="1" t="s">
        <v>83</v>
      </c>
      <c r="D334" s="1" t="s">
        <v>11</v>
      </c>
      <c r="E334" s="1" t="s">
        <v>15</v>
      </c>
      <c r="F334" s="4">
        <v>85</v>
      </c>
      <c r="G334" s="4">
        <v>66</v>
      </c>
      <c r="H334" s="4">
        <v>71</v>
      </c>
      <c r="I334" s="4">
        <f>AVERAGE(Student­­Performance[[#This Row],[Math Score]],Student­­Performance[[#This Row],[Reading Score]],Student­­Performance[[#This Row],[Writing Score]])</f>
        <v>74</v>
      </c>
      <c r="J334" s="10" t="str">
        <f>IF(Student­­Performance[[#This Row],[Average Score]]&gt;=50,"Pass","Fail")</f>
        <v>Pass</v>
      </c>
      <c r="K33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-19</v>
      </c>
      <c r="L33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33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-14</v>
      </c>
      <c r="N334" s="4">
        <f>IF(ISNUMBER(Student­­Performance[[#This Row],[Math Score]]),Student­­Performance[[#This Row],[Math Score]],0)</f>
        <v>85</v>
      </c>
      <c r="O334" s="4">
        <f>IF(ISNUMBER(Student­­Performance[[#This Row],[Reading Score]]),Student­­Performance[[#This Row],[Reading Score]],0)</f>
        <v>66</v>
      </c>
      <c r="P334" s="4">
        <f>IF(ISNUMBER(Student­­Performance[[#This Row],[Writing Score]]),Student­­Performance[[#This Row],[Writing Score]],0)</f>
        <v>71</v>
      </c>
      <c r="Q334" s="4" t="str">
        <f>IF(Student­­Performance[[#This Row],[Math Score]]&gt;=50,"Pass","Fail")</f>
        <v>Pass</v>
      </c>
      <c r="R334" s="4" t="str">
        <f>IF(Student­­Performance[[#This Row],[Reading Score]]&gt;=50,"Pass","Fail")</f>
        <v>Pass</v>
      </c>
      <c r="S334" s="4" t="str">
        <f>IF(Student­­Performance[[#This Row],[Writing Score]]&gt;=50,"Pass","Fail")</f>
        <v>Pass</v>
      </c>
      <c r="T33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222</v>
      </c>
      <c r="U334" s="4" cm="1">
        <f t="array" ref="U334">IF(COUNT(F334:H334)=0,"", MAX(IF(ISNUMBER(F334:H334),F334:H334)) - MIN(IF(ISNUMBER(F334:H334),F334:H334)))</f>
        <v>19</v>
      </c>
      <c r="V334" s="4" t="str">
        <f>IF(U334="","",IF(U334&gt;25,"Outlier","Normal"))</f>
        <v>Normal</v>
      </c>
    </row>
    <row r="335" spans="1:22" x14ac:dyDescent="0.3">
      <c r="A335" s="1" t="s">
        <v>17</v>
      </c>
      <c r="B335" s="1" t="s">
        <v>21</v>
      </c>
      <c r="C335" s="1" t="s">
        <v>83</v>
      </c>
      <c r="D335" s="1" t="s">
        <v>11</v>
      </c>
      <c r="E335" s="1" t="s">
        <v>12</v>
      </c>
      <c r="F335" s="4">
        <v>75</v>
      </c>
      <c r="G335" s="4">
        <v>73</v>
      </c>
      <c r="H335" s="4">
        <v>74</v>
      </c>
      <c r="I335" s="4">
        <f>AVERAGE(Student­­Performance[[#This Row],[Math Score]],Student­­Performance[[#This Row],[Reading Score]],Student­­Performance[[#This Row],[Writing Score]])</f>
        <v>74</v>
      </c>
      <c r="J335" s="10" t="str">
        <f>IF(Student­­Performance[[#This Row],[Average Score]]&gt;=50,"Pass","Fail")</f>
        <v>Pass</v>
      </c>
      <c r="K33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</v>
      </c>
      <c r="L33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33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335" s="4">
        <f>IF(ISNUMBER(Student­­Performance[[#This Row],[Math Score]]),Student­­Performance[[#This Row],[Math Score]],0)</f>
        <v>75</v>
      </c>
      <c r="O335" s="4">
        <f>IF(ISNUMBER(Student­­Performance[[#This Row],[Reading Score]]),Student­­Performance[[#This Row],[Reading Score]],0)</f>
        <v>73</v>
      </c>
      <c r="P335" s="4">
        <f>IF(ISNUMBER(Student­­Performance[[#This Row],[Writing Score]]),Student­­Performance[[#This Row],[Writing Score]],0)</f>
        <v>74</v>
      </c>
      <c r="Q335" s="4" t="str">
        <f>IF(Student­­Performance[[#This Row],[Math Score]]&gt;=50,"Pass","Fail")</f>
        <v>Pass</v>
      </c>
      <c r="R335" s="4" t="str">
        <f>IF(Student­­Performance[[#This Row],[Reading Score]]&gt;=50,"Pass","Fail")</f>
        <v>Pass</v>
      </c>
      <c r="S335" s="4" t="str">
        <f>IF(Student­­Performance[[#This Row],[Writing Score]]&gt;=50,"Pass","Fail")</f>
        <v>Pass</v>
      </c>
      <c r="T33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222</v>
      </c>
      <c r="U335" s="4" cm="1">
        <f t="array" ref="U335">IF(COUNT(F335:H335)=0,"", MAX(IF(ISNUMBER(F335:H335),F335:H335)) - MIN(IF(ISNUMBER(F335:H335),F335:H335)))</f>
        <v>2</v>
      </c>
      <c r="V335" s="4" t="str">
        <f>IF(U335="","",IF(U335&gt;25,"Outlier","Normal"))</f>
        <v>Normal</v>
      </c>
    </row>
    <row r="336" spans="1:22" x14ac:dyDescent="0.3">
      <c r="A336" s="1" t="s">
        <v>8</v>
      </c>
      <c r="B336" s="1" t="s">
        <v>13</v>
      </c>
      <c r="C336" s="1" t="s">
        <v>84</v>
      </c>
      <c r="D336" s="1" t="s">
        <v>11</v>
      </c>
      <c r="E336" s="1" t="s">
        <v>15</v>
      </c>
      <c r="F336" s="4">
        <v>71</v>
      </c>
      <c r="G336" s="4">
        <v>71</v>
      </c>
      <c r="H336" s="4">
        <v>80</v>
      </c>
      <c r="I336" s="4">
        <f>AVERAGE(Student­­Performance[[#This Row],[Math Score]],Student­­Performance[[#This Row],[Reading Score]],Student­­Performance[[#This Row],[Writing Score]])</f>
        <v>74</v>
      </c>
      <c r="J336" s="10" t="str">
        <f>IF(Student­­Performance[[#This Row],[Average Score]]&gt;=50,"Pass","Fail")</f>
        <v>Pass</v>
      </c>
      <c r="K33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33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9</v>
      </c>
      <c r="M33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336" s="4">
        <f>IF(ISNUMBER(Student­­Performance[[#This Row],[Math Score]]),Student­­Performance[[#This Row],[Math Score]],0)</f>
        <v>71</v>
      </c>
      <c r="O336" s="4">
        <f>IF(ISNUMBER(Student­­Performance[[#This Row],[Reading Score]]),Student­­Performance[[#This Row],[Reading Score]],0)</f>
        <v>71</v>
      </c>
      <c r="P336" s="4">
        <f>IF(ISNUMBER(Student­­Performance[[#This Row],[Writing Score]]),Student­­Performance[[#This Row],[Writing Score]],0)</f>
        <v>80</v>
      </c>
      <c r="Q336" s="4" t="str">
        <f>IF(Student­­Performance[[#This Row],[Math Score]]&gt;=50,"Pass","Fail")</f>
        <v>Pass</v>
      </c>
      <c r="R336" s="4" t="str">
        <f>IF(Student­­Performance[[#This Row],[Reading Score]]&gt;=50,"Pass","Fail")</f>
        <v>Pass</v>
      </c>
      <c r="S336" s="4" t="str">
        <f>IF(Student­­Performance[[#This Row],[Writing Score]]&gt;=50,"Pass","Fail")</f>
        <v>Pass</v>
      </c>
      <c r="T33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222</v>
      </c>
      <c r="U336" s="4" cm="1">
        <f t="array" ref="U336">IF(COUNT(F336:H336)=0,"", MAX(IF(ISNUMBER(F336:H336),F336:H336)) - MIN(IF(ISNUMBER(F336:H336),F336:H336)))</f>
        <v>9</v>
      </c>
      <c r="V336" s="4" t="str">
        <f>IF(U336="","",IF(U336&gt;25,"Outlier","Normal"))</f>
        <v>Normal</v>
      </c>
    </row>
    <row r="337" spans="1:22" x14ac:dyDescent="0.3">
      <c r="A337" s="1" t="s">
        <v>17</v>
      </c>
      <c r="B337" s="1" t="s">
        <v>13</v>
      </c>
      <c r="C337" s="1" t="s">
        <v>87</v>
      </c>
      <c r="D337" s="1" t="s">
        <v>11</v>
      </c>
      <c r="E337" s="1" t="s">
        <v>12</v>
      </c>
      <c r="F337" s="4">
        <v>71</v>
      </c>
      <c r="G337" s="4">
        <v>79</v>
      </c>
      <c r="H337" s="4">
        <v>71</v>
      </c>
      <c r="I337" s="4">
        <f>AVERAGE(Student­­Performance[[#This Row],[Math Score]],Student­­Performance[[#This Row],[Reading Score]],Student­­Performance[[#This Row],[Writing Score]])</f>
        <v>73.666666666666671</v>
      </c>
      <c r="J337" s="10" t="str">
        <f>IF(Student­­Performance[[#This Row],[Average Score]]&gt;=50,"Pass","Fail")</f>
        <v>Pass</v>
      </c>
      <c r="K33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33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-8</v>
      </c>
      <c r="M33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337" s="4">
        <f>IF(ISNUMBER(Student­­Performance[[#This Row],[Math Score]]),Student­­Performance[[#This Row],[Math Score]],0)</f>
        <v>71</v>
      </c>
      <c r="O337" s="4">
        <f>IF(ISNUMBER(Student­­Performance[[#This Row],[Reading Score]]),Student­­Performance[[#This Row],[Reading Score]],0)</f>
        <v>79</v>
      </c>
      <c r="P337" s="4">
        <f>IF(ISNUMBER(Student­­Performance[[#This Row],[Writing Score]]),Student­­Performance[[#This Row],[Writing Score]],0)</f>
        <v>71</v>
      </c>
      <c r="Q337" s="4" t="str">
        <f>IF(Student­­Performance[[#This Row],[Math Score]]&gt;=50,"Pass","Fail")</f>
        <v>Pass</v>
      </c>
      <c r="R337" s="4" t="str">
        <f>IF(Student­­Performance[[#This Row],[Reading Score]]&gt;=50,"Pass","Fail")</f>
        <v>Pass</v>
      </c>
      <c r="S337" s="4" t="str">
        <f>IF(Student­­Performance[[#This Row],[Writing Score]]&gt;=50,"Pass","Fail")</f>
        <v>Pass</v>
      </c>
      <c r="T33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221</v>
      </c>
      <c r="U337" s="4" cm="1">
        <f t="array" ref="U337">IF(COUNT(F337:H337)=0,"", MAX(IF(ISNUMBER(F337:H337),F337:H337)) - MIN(IF(ISNUMBER(F337:H337),F337:H337)))</f>
        <v>8</v>
      </c>
      <c r="V337" s="4" t="str">
        <f>IF(U337="","",IF(U337&gt;25,"Outlier","Normal"))</f>
        <v>Normal</v>
      </c>
    </row>
    <row r="338" spans="1:22" x14ac:dyDescent="0.3">
      <c r="A338" s="1" t="s">
        <v>17</v>
      </c>
      <c r="B338" s="1" t="s">
        <v>26</v>
      </c>
      <c r="C338" s="1" t="s">
        <v>87</v>
      </c>
      <c r="D338" s="1" t="s">
        <v>11</v>
      </c>
      <c r="E338" s="1" t="s">
        <v>12</v>
      </c>
      <c r="F338" s="4">
        <v>80</v>
      </c>
      <c r="G338" s="4">
        <v>76</v>
      </c>
      <c r="H338" s="4">
        <v>65</v>
      </c>
      <c r="I338" s="4">
        <f>AVERAGE(Student­­Performance[[#This Row],[Math Score]],Student­­Performance[[#This Row],[Reading Score]],Student­­Performance[[#This Row],[Writing Score]])</f>
        <v>73.666666666666671</v>
      </c>
      <c r="J338" s="10" t="str">
        <f>IF(Student­­Performance[[#This Row],[Average Score]]&gt;=50,"Pass","Fail")</f>
        <v>Pass</v>
      </c>
      <c r="K33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33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-11</v>
      </c>
      <c r="M33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-15</v>
      </c>
      <c r="N338" s="4">
        <f>IF(ISNUMBER(Student­­Performance[[#This Row],[Math Score]]),Student­­Performance[[#This Row],[Math Score]],0)</f>
        <v>80</v>
      </c>
      <c r="O338" s="4">
        <f>IF(ISNUMBER(Student­­Performance[[#This Row],[Reading Score]]),Student­­Performance[[#This Row],[Reading Score]],0)</f>
        <v>76</v>
      </c>
      <c r="P338" s="4">
        <f>IF(ISNUMBER(Student­­Performance[[#This Row],[Writing Score]]),Student­­Performance[[#This Row],[Writing Score]],0)</f>
        <v>65</v>
      </c>
      <c r="Q338" s="4" t="str">
        <f>IF(Student­­Performance[[#This Row],[Math Score]]&gt;=50,"Pass","Fail")</f>
        <v>Pass</v>
      </c>
      <c r="R338" s="4" t="str">
        <f>IF(Student­­Performance[[#This Row],[Reading Score]]&gt;=50,"Pass","Fail")</f>
        <v>Pass</v>
      </c>
      <c r="S338" s="4" t="str">
        <f>IF(Student­­Performance[[#This Row],[Writing Score]]&gt;=50,"Pass","Fail")</f>
        <v>Pass</v>
      </c>
      <c r="T33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221</v>
      </c>
      <c r="U338" s="4" cm="1">
        <f t="array" ref="U338">IF(COUNT(F338:H338)=0,"", MAX(IF(ISNUMBER(F338:H338),F338:H338)) - MIN(IF(ISNUMBER(F338:H338),F338:H338)))</f>
        <v>15</v>
      </c>
      <c r="V338" s="4" t="str">
        <f>IF(U338="","",IF(U338&gt;25,"Outlier","Normal"))</f>
        <v>Normal</v>
      </c>
    </row>
    <row r="339" spans="1:22" x14ac:dyDescent="0.3">
      <c r="A339" s="1" t="s">
        <v>8</v>
      </c>
      <c r="B339" s="1" t="s">
        <v>13</v>
      </c>
      <c r="C339" s="1" t="s">
        <v>84</v>
      </c>
      <c r="D339" s="1" t="s">
        <v>11</v>
      </c>
      <c r="E339" s="1" t="s">
        <v>15</v>
      </c>
      <c r="F339" s="4">
        <v>63</v>
      </c>
      <c r="G339" s="4">
        <v>78</v>
      </c>
      <c r="H339" s="4">
        <v>80</v>
      </c>
      <c r="I339" s="4">
        <f>AVERAGE(Student­­Performance[[#This Row],[Math Score]],Student­­Performance[[#This Row],[Reading Score]],Student­­Performance[[#This Row],[Writing Score]])</f>
        <v>73.666666666666671</v>
      </c>
      <c r="J339" s="10" t="str">
        <f>IF(Student­­Performance[[#This Row],[Average Score]]&gt;=50,"Pass","Fail")</f>
        <v>Pass</v>
      </c>
      <c r="K33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15</v>
      </c>
      <c r="L33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33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17</v>
      </c>
      <c r="N339" s="4">
        <f>IF(ISNUMBER(Student­­Performance[[#This Row],[Math Score]]),Student­­Performance[[#This Row],[Math Score]],0)</f>
        <v>63</v>
      </c>
      <c r="O339" s="4">
        <f>IF(ISNUMBER(Student­­Performance[[#This Row],[Reading Score]]),Student­­Performance[[#This Row],[Reading Score]],0)</f>
        <v>78</v>
      </c>
      <c r="P339" s="4">
        <f>IF(ISNUMBER(Student­­Performance[[#This Row],[Writing Score]]),Student­­Performance[[#This Row],[Writing Score]],0)</f>
        <v>80</v>
      </c>
      <c r="Q339" s="4" t="str">
        <f>IF(Student­­Performance[[#This Row],[Math Score]]&gt;=50,"Pass","Fail")</f>
        <v>Pass</v>
      </c>
      <c r="R339" s="4" t="str">
        <f>IF(Student­­Performance[[#This Row],[Reading Score]]&gt;=50,"Pass","Fail")</f>
        <v>Pass</v>
      </c>
      <c r="S339" s="4" t="str">
        <f>IF(Student­­Performance[[#This Row],[Writing Score]]&gt;=50,"Pass","Fail")</f>
        <v>Pass</v>
      </c>
      <c r="T33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221</v>
      </c>
      <c r="U339" s="4" cm="1">
        <f t="array" ref="U339">IF(COUNT(F339:H339)=0,"", MAX(IF(ISNUMBER(F339:H339),F339:H339)) - MIN(IF(ISNUMBER(F339:H339),F339:H339)))</f>
        <v>17</v>
      </c>
      <c r="V339" s="4" t="str">
        <f>IF(U339="","",IF(U339&gt;25,"Outlier","Normal"))</f>
        <v>Normal</v>
      </c>
    </row>
    <row r="340" spans="1:22" x14ac:dyDescent="0.3">
      <c r="A340" s="1" t="s">
        <v>8</v>
      </c>
      <c r="B340" s="1" t="s">
        <v>9</v>
      </c>
      <c r="C340" s="1" t="s">
        <v>83</v>
      </c>
      <c r="D340" s="1" t="s">
        <v>11</v>
      </c>
      <c r="E340" s="1" t="s">
        <v>15</v>
      </c>
      <c r="F340" s="4">
        <v>66</v>
      </c>
      <c r="G340" s="4">
        <v>74</v>
      </c>
      <c r="H340" s="4">
        <v>81</v>
      </c>
      <c r="I340" s="4">
        <f>AVERAGE(Student­­Performance[[#This Row],[Math Score]],Student­­Performance[[#This Row],[Reading Score]],Student­­Performance[[#This Row],[Writing Score]])</f>
        <v>73.666666666666671</v>
      </c>
      <c r="J340" s="10" t="str">
        <f>IF(Student­­Performance[[#This Row],[Average Score]]&gt;=50,"Pass","Fail")</f>
        <v>Pass</v>
      </c>
      <c r="K34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34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7</v>
      </c>
      <c r="M34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15</v>
      </c>
      <c r="N340" s="4">
        <f>IF(ISNUMBER(Student­­Performance[[#This Row],[Math Score]]),Student­­Performance[[#This Row],[Math Score]],0)</f>
        <v>66</v>
      </c>
      <c r="O340" s="4">
        <f>IF(ISNUMBER(Student­­Performance[[#This Row],[Reading Score]]),Student­­Performance[[#This Row],[Reading Score]],0)</f>
        <v>74</v>
      </c>
      <c r="P340" s="4">
        <f>IF(ISNUMBER(Student­­Performance[[#This Row],[Writing Score]]),Student­­Performance[[#This Row],[Writing Score]],0)</f>
        <v>81</v>
      </c>
      <c r="Q340" s="4" t="str">
        <f>IF(Student­­Performance[[#This Row],[Math Score]]&gt;=50,"Pass","Fail")</f>
        <v>Pass</v>
      </c>
      <c r="R340" s="4" t="str">
        <f>IF(Student­­Performance[[#This Row],[Reading Score]]&gt;=50,"Pass","Fail")</f>
        <v>Pass</v>
      </c>
      <c r="S340" s="4" t="str">
        <f>IF(Student­­Performance[[#This Row],[Writing Score]]&gt;=50,"Pass","Fail")</f>
        <v>Pass</v>
      </c>
      <c r="T34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221</v>
      </c>
      <c r="U340" s="4" cm="1">
        <f t="array" ref="U340">IF(COUNT(F340:H340)=0,"", MAX(IF(ISNUMBER(F340:H340),F340:H340)) - MIN(IF(ISNUMBER(F340:H340),F340:H340)))</f>
        <v>15</v>
      </c>
      <c r="V340" s="4" t="str">
        <f>IF(U340="","",IF(U340&gt;25,"Outlier","Normal"))</f>
        <v>Normal</v>
      </c>
    </row>
    <row r="341" spans="1:22" x14ac:dyDescent="0.3">
      <c r="A341" s="1" t="s">
        <v>8</v>
      </c>
      <c r="B341" s="1" t="s">
        <v>13</v>
      </c>
      <c r="C341" s="1" t="s">
        <v>83</v>
      </c>
      <c r="D341" s="1" t="s">
        <v>20</v>
      </c>
      <c r="E341" s="1" t="s">
        <v>15</v>
      </c>
      <c r="F341" s="4">
        <v>66</v>
      </c>
      <c r="G341" s="4">
        <v>74</v>
      </c>
      <c r="H341" s="4">
        <v>81</v>
      </c>
      <c r="I341" s="4">
        <f>AVERAGE(Student­­Performance[[#This Row],[Math Score]],Student­­Performance[[#This Row],[Reading Score]],Student­­Performance[[#This Row],[Writing Score]])</f>
        <v>73.666666666666671</v>
      </c>
      <c r="J341" s="10" t="str">
        <f>IF(Student­­Performance[[#This Row],[Average Score]]&gt;=50,"Pass","Fail")</f>
        <v>Pass</v>
      </c>
      <c r="K34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34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7</v>
      </c>
      <c r="M34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15</v>
      </c>
      <c r="N341" s="4">
        <f>IF(ISNUMBER(Student­­Performance[[#This Row],[Math Score]]),Student­­Performance[[#This Row],[Math Score]],0)</f>
        <v>66</v>
      </c>
      <c r="O341" s="4">
        <f>IF(ISNUMBER(Student­­Performance[[#This Row],[Reading Score]]),Student­­Performance[[#This Row],[Reading Score]],0)</f>
        <v>74</v>
      </c>
      <c r="P341" s="4">
        <f>IF(ISNUMBER(Student­­Performance[[#This Row],[Writing Score]]),Student­­Performance[[#This Row],[Writing Score]],0)</f>
        <v>81</v>
      </c>
      <c r="Q341" s="4" t="str">
        <f>IF(Student­­Performance[[#This Row],[Math Score]]&gt;=50,"Pass","Fail")</f>
        <v>Pass</v>
      </c>
      <c r="R341" s="4" t="str">
        <f>IF(Student­­Performance[[#This Row],[Reading Score]]&gt;=50,"Pass","Fail")</f>
        <v>Pass</v>
      </c>
      <c r="S341" s="4" t="str">
        <f>IF(Student­­Performance[[#This Row],[Writing Score]]&gt;=50,"Pass","Fail")</f>
        <v>Pass</v>
      </c>
      <c r="T34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221</v>
      </c>
      <c r="U341" s="4" cm="1">
        <f t="array" ref="U341">IF(COUNT(F341:H341)=0,"", MAX(IF(ISNUMBER(F341:H341),F341:H341)) - MIN(IF(ISNUMBER(F341:H341),F341:H341)))</f>
        <v>15</v>
      </c>
      <c r="V341" s="4" t="str">
        <f>IF(U341="","",IF(U341&gt;25,"Outlier","Normal"))</f>
        <v>Normal</v>
      </c>
    </row>
    <row r="342" spans="1:22" x14ac:dyDescent="0.3">
      <c r="A342" s="1" t="s">
        <v>17</v>
      </c>
      <c r="B342" s="1" t="s">
        <v>18</v>
      </c>
      <c r="C342" s="1" t="s">
        <v>84</v>
      </c>
      <c r="D342" s="1" t="s">
        <v>11</v>
      </c>
      <c r="E342" s="1" t="s">
        <v>15</v>
      </c>
      <c r="F342" s="4">
        <v>78</v>
      </c>
      <c r="G342" s="4">
        <v>72</v>
      </c>
      <c r="H342" s="4">
        <v>70</v>
      </c>
      <c r="I342" s="4">
        <f>AVERAGE(Student­­Performance[[#This Row],[Math Score]],Student­­Performance[[#This Row],[Reading Score]],Student­­Performance[[#This Row],[Writing Score]])</f>
        <v>73.333333333333329</v>
      </c>
      <c r="J342" s="10" t="str">
        <f>IF(Student­­Performance[[#This Row],[Average Score]]&gt;=50,"Pass","Fail")</f>
        <v>Pass</v>
      </c>
      <c r="K34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34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34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342" s="4">
        <f>IF(ISNUMBER(Student­­Performance[[#This Row],[Math Score]]),Student­­Performance[[#This Row],[Math Score]],0)</f>
        <v>78</v>
      </c>
      <c r="O342" s="4">
        <f>IF(ISNUMBER(Student­­Performance[[#This Row],[Reading Score]]),Student­­Performance[[#This Row],[Reading Score]],0)</f>
        <v>72</v>
      </c>
      <c r="P342" s="4">
        <f>IF(ISNUMBER(Student­­Performance[[#This Row],[Writing Score]]),Student­­Performance[[#This Row],[Writing Score]],0)</f>
        <v>70</v>
      </c>
      <c r="Q342" s="4" t="str">
        <f>IF(Student­­Performance[[#This Row],[Math Score]]&gt;=50,"Pass","Fail")</f>
        <v>Pass</v>
      </c>
      <c r="R342" s="4" t="str">
        <f>IF(Student­­Performance[[#This Row],[Reading Score]]&gt;=50,"Pass","Fail")</f>
        <v>Pass</v>
      </c>
      <c r="S342" s="4" t="str">
        <f>IF(Student­­Performance[[#This Row],[Writing Score]]&gt;=50,"Pass","Fail")</f>
        <v>Pass</v>
      </c>
      <c r="T34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220</v>
      </c>
      <c r="U342" s="4" cm="1">
        <f t="array" ref="U342">IF(COUNT(F342:H342)=0,"", MAX(IF(ISNUMBER(F342:H342),F342:H342)) - MIN(IF(ISNUMBER(F342:H342),F342:H342)))</f>
        <v>8</v>
      </c>
      <c r="V342" s="4" t="str">
        <f>IF(U342="","",IF(U342&gt;25,"Outlier","Normal"))</f>
        <v>Normal</v>
      </c>
    </row>
    <row r="343" spans="1:22" x14ac:dyDescent="0.3">
      <c r="A343" s="1" t="s">
        <v>8</v>
      </c>
      <c r="B343" s="1" t="s">
        <v>13</v>
      </c>
      <c r="C343" s="1" t="s">
        <v>86</v>
      </c>
      <c r="D343" s="1" t="s">
        <v>11</v>
      </c>
      <c r="E343" s="1" t="s">
        <v>12</v>
      </c>
      <c r="F343" s="4">
        <v>69</v>
      </c>
      <c r="G343" s="4">
        <v>80</v>
      </c>
      <c r="H343" s="4">
        <v>71</v>
      </c>
      <c r="I343" s="4">
        <f>AVERAGE(Student­­Performance[[#This Row],[Math Score]],Student­­Performance[[#This Row],[Reading Score]],Student­­Performance[[#This Row],[Writing Score]])</f>
        <v>73.333333333333329</v>
      </c>
      <c r="J343" s="10" t="str">
        <f>IF(Student­­Performance[[#This Row],[Average Score]]&gt;=50,"Pass","Fail")</f>
        <v>Pass</v>
      </c>
      <c r="K34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34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-9</v>
      </c>
      <c r="M34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343" s="4">
        <f>IF(ISNUMBER(Student­­Performance[[#This Row],[Math Score]]),Student­­Performance[[#This Row],[Math Score]],0)</f>
        <v>69</v>
      </c>
      <c r="O343" s="4">
        <f>IF(ISNUMBER(Student­­Performance[[#This Row],[Reading Score]]),Student­­Performance[[#This Row],[Reading Score]],0)</f>
        <v>80</v>
      </c>
      <c r="P343" s="4">
        <f>IF(ISNUMBER(Student­­Performance[[#This Row],[Writing Score]]),Student­­Performance[[#This Row],[Writing Score]],0)</f>
        <v>71</v>
      </c>
      <c r="Q343" s="4" t="str">
        <f>IF(Student­­Performance[[#This Row],[Math Score]]&gt;=50,"Pass","Fail")</f>
        <v>Pass</v>
      </c>
      <c r="R343" s="4" t="str">
        <f>IF(Student­­Performance[[#This Row],[Reading Score]]&gt;=50,"Pass","Fail")</f>
        <v>Pass</v>
      </c>
      <c r="S343" s="4" t="str">
        <f>IF(Student­­Performance[[#This Row],[Writing Score]]&gt;=50,"Pass","Fail")</f>
        <v>Pass</v>
      </c>
      <c r="T34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220</v>
      </c>
      <c r="U343" s="4" cm="1">
        <f t="array" ref="U343">IF(COUNT(F343:H343)=0,"", MAX(IF(ISNUMBER(F343:H343),F343:H343)) - MIN(IF(ISNUMBER(F343:H343),F343:H343)))</f>
        <v>11</v>
      </c>
      <c r="V343" s="4" t="str">
        <f>IF(U343="","",IF(U343&gt;25,"Outlier","Normal"))</f>
        <v>Normal</v>
      </c>
    </row>
    <row r="344" spans="1:22" x14ac:dyDescent="0.3">
      <c r="A344" s="1" t="s">
        <v>8</v>
      </c>
      <c r="B344" s="1" t="s">
        <v>13</v>
      </c>
      <c r="C344" s="1" t="s">
        <v>88</v>
      </c>
      <c r="D344" s="1" t="s">
        <v>20</v>
      </c>
      <c r="E344" s="1" t="s">
        <v>15</v>
      </c>
      <c r="F344" s="4">
        <v>64</v>
      </c>
      <c r="G344" s="4">
        <v>79</v>
      </c>
      <c r="H344" s="4">
        <v>77</v>
      </c>
      <c r="I344" s="4">
        <f>AVERAGE(Student­­Performance[[#This Row],[Math Score]],Student­­Performance[[#This Row],[Reading Score]],Student­­Performance[[#This Row],[Writing Score]])</f>
        <v>73.333333333333329</v>
      </c>
      <c r="J344" s="10" t="str">
        <f>IF(Student­­Performance[[#This Row],[Average Score]]&gt;=50,"Pass","Fail")</f>
        <v>Pass</v>
      </c>
      <c r="K34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15</v>
      </c>
      <c r="L34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34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13</v>
      </c>
      <c r="N344" s="4">
        <f>IF(ISNUMBER(Student­­Performance[[#This Row],[Math Score]]),Student­­Performance[[#This Row],[Math Score]],0)</f>
        <v>64</v>
      </c>
      <c r="O344" s="4">
        <f>IF(ISNUMBER(Student­­Performance[[#This Row],[Reading Score]]),Student­­Performance[[#This Row],[Reading Score]],0)</f>
        <v>79</v>
      </c>
      <c r="P344" s="4">
        <f>IF(ISNUMBER(Student­­Performance[[#This Row],[Writing Score]]),Student­­Performance[[#This Row],[Writing Score]],0)</f>
        <v>77</v>
      </c>
      <c r="Q344" s="4" t="str">
        <f>IF(Student­­Performance[[#This Row],[Math Score]]&gt;=50,"Pass","Fail")</f>
        <v>Pass</v>
      </c>
      <c r="R344" s="4" t="str">
        <f>IF(Student­­Performance[[#This Row],[Reading Score]]&gt;=50,"Pass","Fail")</f>
        <v>Pass</v>
      </c>
      <c r="S344" s="4" t="str">
        <f>IF(Student­­Performance[[#This Row],[Writing Score]]&gt;=50,"Pass","Fail")</f>
        <v>Pass</v>
      </c>
      <c r="T34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220</v>
      </c>
      <c r="U344" s="4" cm="1">
        <f t="array" ref="U344">IF(COUNT(F344:H344)=0,"", MAX(IF(ISNUMBER(F344:H344),F344:H344)) - MIN(IF(ISNUMBER(F344:H344),F344:H344)))</f>
        <v>15</v>
      </c>
      <c r="V344" s="4" t="str">
        <f>IF(U344="","",IF(U344&gt;25,"Outlier","Normal"))</f>
        <v>Normal</v>
      </c>
    </row>
    <row r="345" spans="1:22" x14ac:dyDescent="0.3">
      <c r="A345" s="1" t="s">
        <v>17</v>
      </c>
      <c r="B345" s="1" t="s">
        <v>9</v>
      </c>
      <c r="C345" s="1" t="s">
        <v>86</v>
      </c>
      <c r="D345" s="1" t="s">
        <v>11</v>
      </c>
      <c r="E345" s="1" t="s">
        <v>12</v>
      </c>
      <c r="F345" s="4">
        <v>80</v>
      </c>
      <c r="G345" s="4">
        <v>76</v>
      </c>
      <c r="H345" s="4">
        <v>64</v>
      </c>
      <c r="I345" s="4">
        <f>AVERAGE(Student­­Performance[[#This Row],[Math Score]],Student­­Performance[[#This Row],[Reading Score]],Student­­Performance[[#This Row],[Writing Score]])</f>
        <v>73.333333333333329</v>
      </c>
      <c r="J345" s="10" t="str">
        <f>IF(Student­­Performance[[#This Row],[Average Score]]&gt;=50,"Pass","Fail")</f>
        <v>Pass</v>
      </c>
      <c r="K34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34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-12</v>
      </c>
      <c r="M34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-16</v>
      </c>
      <c r="N345" s="4">
        <f>IF(ISNUMBER(Student­­Performance[[#This Row],[Math Score]]),Student­­Performance[[#This Row],[Math Score]],0)</f>
        <v>80</v>
      </c>
      <c r="O345" s="4">
        <f>IF(ISNUMBER(Student­­Performance[[#This Row],[Reading Score]]),Student­­Performance[[#This Row],[Reading Score]],0)</f>
        <v>76</v>
      </c>
      <c r="P345" s="4">
        <f>IF(ISNUMBER(Student­­Performance[[#This Row],[Writing Score]]),Student­­Performance[[#This Row],[Writing Score]],0)</f>
        <v>64</v>
      </c>
      <c r="Q345" s="4" t="str">
        <f>IF(Student­­Performance[[#This Row],[Math Score]]&gt;=50,"Pass","Fail")</f>
        <v>Pass</v>
      </c>
      <c r="R345" s="4" t="str">
        <f>IF(Student­­Performance[[#This Row],[Reading Score]]&gt;=50,"Pass","Fail")</f>
        <v>Pass</v>
      </c>
      <c r="S345" s="4" t="str">
        <f>IF(Student­­Performance[[#This Row],[Writing Score]]&gt;=50,"Pass","Fail")</f>
        <v>Pass</v>
      </c>
      <c r="T34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220</v>
      </c>
      <c r="U345" s="4" cm="1">
        <f t="array" ref="U345">IF(COUNT(F345:H345)=0,"", MAX(IF(ISNUMBER(F345:H345),F345:H345)) - MIN(IF(ISNUMBER(F345:H345),F345:H345)))</f>
        <v>16</v>
      </c>
      <c r="V345" s="4" t="str">
        <f>IF(U345="","",IF(U345&gt;25,"Outlier","Normal"))</f>
        <v>Normal</v>
      </c>
    </row>
    <row r="346" spans="1:22" x14ac:dyDescent="0.3">
      <c r="A346" s="1" t="s">
        <v>17</v>
      </c>
      <c r="B346" s="1" t="s">
        <v>21</v>
      </c>
      <c r="C346" s="1" t="s">
        <v>88</v>
      </c>
      <c r="D346" s="1" t="s">
        <v>11</v>
      </c>
      <c r="E346" s="1" t="s">
        <v>12</v>
      </c>
      <c r="F346" s="4">
        <v>74</v>
      </c>
      <c r="G346" s="4">
        <v>74</v>
      </c>
      <c r="H346" s="4">
        <v>72</v>
      </c>
      <c r="I346" s="4">
        <f>AVERAGE(Student­­Performance[[#This Row],[Math Score]],Student­­Performance[[#This Row],[Reading Score]],Student­­Performance[[#This Row],[Writing Score]])</f>
        <v>73.333333333333329</v>
      </c>
      <c r="J346" s="10" t="str">
        <f>IF(Student­­Performance[[#This Row],[Average Score]]&gt;=50,"Pass","Fail")</f>
        <v>Pass</v>
      </c>
      <c r="K34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34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34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346" s="4">
        <f>IF(ISNUMBER(Student­­Performance[[#This Row],[Math Score]]),Student­­Performance[[#This Row],[Math Score]],0)</f>
        <v>74</v>
      </c>
      <c r="O346" s="4">
        <f>IF(ISNUMBER(Student­­Performance[[#This Row],[Reading Score]]),Student­­Performance[[#This Row],[Reading Score]],0)</f>
        <v>74</v>
      </c>
      <c r="P346" s="4">
        <f>IF(ISNUMBER(Student­­Performance[[#This Row],[Writing Score]]),Student­­Performance[[#This Row],[Writing Score]],0)</f>
        <v>72</v>
      </c>
      <c r="Q346" s="4" t="str">
        <f>IF(Student­­Performance[[#This Row],[Math Score]]&gt;=50,"Pass","Fail")</f>
        <v>Pass</v>
      </c>
      <c r="R346" s="4" t="str">
        <f>IF(Student­­Performance[[#This Row],[Reading Score]]&gt;=50,"Pass","Fail")</f>
        <v>Pass</v>
      </c>
      <c r="S346" s="4" t="str">
        <f>IF(Student­­Performance[[#This Row],[Writing Score]]&gt;=50,"Pass","Fail")</f>
        <v>Pass</v>
      </c>
      <c r="T34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220</v>
      </c>
      <c r="U346" s="4" cm="1">
        <f t="array" ref="U346">IF(COUNT(F346:H346)=0,"", MAX(IF(ISNUMBER(F346:H346),F346:H346)) - MIN(IF(ISNUMBER(F346:H346),F346:H346)))</f>
        <v>2</v>
      </c>
      <c r="V346" s="4" t="str">
        <f>IF(U346="","",IF(U346&gt;25,"Outlier","Normal"))</f>
        <v>Normal</v>
      </c>
    </row>
    <row r="347" spans="1:22" x14ac:dyDescent="0.3">
      <c r="A347" s="1" t="s">
        <v>17</v>
      </c>
      <c r="B347" s="1" t="s">
        <v>21</v>
      </c>
      <c r="C347" s="1" t="s">
        <v>86</v>
      </c>
      <c r="D347" s="1" t="s">
        <v>11</v>
      </c>
      <c r="E347" s="1" t="s">
        <v>12</v>
      </c>
      <c r="F347" s="4">
        <v>80</v>
      </c>
      <c r="G347" s="4">
        <v>68</v>
      </c>
      <c r="H347" s="4">
        <v>72</v>
      </c>
      <c r="I347" s="4">
        <f>AVERAGE(Student­­Performance[[#This Row],[Math Score]],Student­­Performance[[#This Row],[Reading Score]],Student­­Performance[[#This Row],[Writing Score]])</f>
        <v>73.333333333333329</v>
      </c>
      <c r="J347" s="10" t="str">
        <f>IF(Student­­Performance[[#This Row],[Average Score]]&gt;=50,"Pass","Fail")</f>
        <v>Pass</v>
      </c>
      <c r="K34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-12</v>
      </c>
      <c r="L34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34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347" s="4">
        <f>IF(ISNUMBER(Student­­Performance[[#This Row],[Math Score]]),Student­­Performance[[#This Row],[Math Score]],0)</f>
        <v>80</v>
      </c>
      <c r="O347" s="4">
        <f>IF(ISNUMBER(Student­­Performance[[#This Row],[Reading Score]]),Student­­Performance[[#This Row],[Reading Score]],0)</f>
        <v>68</v>
      </c>
      <c r="P347" s="4">
        <f>IF(ISNUMBER(Student­­Performance[[#This Row],[Writing Score]]),Student­­Performance[[#This Row],[Writing Score]],0)</f>
        <v>72</v>
      </c>
      <c r="Q347" s="4" t="str">
        <f>IF(Student­­Performance[[#This Row],[Math Score]]&gt;=50,"Pass","Fail")</f>
        <v>Pass</v>
      </c>
      <c r="R347" s="4" t="str">
        <f>IF(Student­­Performance[[#This Row],[Reading Score]]&gt;=50,"Pass","Fail")</f>
        <v>Pass</v>
      </c>
      <c r="S347" s="4" t="str">
        <f>IF(Student­­Performance[[#This Row],[Writing Score]]&gt;=50,"Pass","Fail")</f>
        <v>Pass</v>
      </c>
      <c r="T34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220</v>
      </c>
      <c r="U347" s="4" cm="1">
        <f t="array" ref="U347">IF(COUNT(F347:H347)=0,"", MAX(IF(ISNUMBER(F347:H347),F347:H347)) - MIN(IF(ISNUMBER(F347:H347),F347:H347)))</f>
        <v>12</v>
      </c>
      <c r="V347" s="4" t="str">
        <f>IF(U347="","",IF(U347&gt;25,"Outlier","Normal"))</f>
        <v>Normal</v>
      </c>
    </row>
    <row r="348" spans="1:22" x14ac:dyDescent="0.3">
      <c r="A348" s="1" t="s">
        <v>17</v>
      </c>
      <c r="B348" s="1" t="s">
        <v>21</v>
      </c>
      <c r="C348" s="1" t="s">
        <v>84</v>
      </c>
      <c r="D348" s="1" t="s">
        <v>11</v>
      </c>
      <c r="E348" s="1" t="s">
        <v>12</v>
      </c>
      <c r="F348" s="4">
        <v>76</v>
      </c>
      <c r="G348" s="4">
        <v>71</v>
      </c>
      <c r="H348" s="4">
        <v>73</v>
      </c>
      <c r="I348" s="4">
        <f>AVERAGE(Student­­Performance[[#This Row],[Math Score]],Student­­Performance[[#This Row],[Reading Score]],Student­­Performance[[#This Row],[Writing Score]])</f>
        <v>73.333333333333329</v>
      </c>
      <c r="J348" s="10" t="str">
        <f>IF(Student­­Performance[[#This Row],[Average Score]]&gt;=50,"Pass","Fail")</f>
        <v>Pass</v>
      </c>
      <c r="K34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34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34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348" s="4">
        <f>IF(ISNUMBER(Student­­Performance[[#This Row],[Math Score]]),Student­­Performance[[#This Row],[Math Score]],0)</f>
        <v>76</v>
      </c>
      <c r="O348" s="4">
        <f>IF(ISNUMBER(Student­­Performance[[#This Row],[Reading Score]]),Student­­Performance[[#This Row],[Reading Score]],0)</f>
        <v>71</v>
      </c>
      <c r="P348" s="4">
        <f>IF(ISNUMBER(Student­­Performance[[#This Row],[Writing Score]]),Student­­Performance[[#This Row],[Writing Score]],0)</f>
        <v>73</v>
      </c>
      <c r="Q348" s="4" t="str">
        <f>IF(Student­­Performance[[#This Row],[Math Score]]&gt;=50,"Pass","Fail")</f>
        <v>Pass</v>
      </c>
      <c r="R348" s="4" t="str">
        <f>IF(Student­­Performance[[#This Row],[Reading Score]]&gt;=50,"Pass","Fail")</f>
        <v>Pass</v>
      </c>
      <c r="S348" s="4" t="str">
        <f>IF(Student­­Performance[[#This Row],[Writing Score]]&gt;=50,"Pass","Fail")</f>
        <v>Pass</v>
      </c>
      <c r="T34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220</v>
      </c>
      <c r="U348" s="4" cm="1">
        <f t="array" ref="U348">IF(COUNT(F348:H348)=0,"", MAX(IF(ISNUMBER(F348:H348),F348:H348)) - MIN(IF(ISNUMBER(F348:H348),F348:H348)))</f>
        <v>5</v>
      </c>
      <c r="V348" s="4" t="str">
        <f>IF(U348="","",IF(U348&gt;25,"Outlier","Normal"))</f>
        <v>Normal</v>
      </c>
    </row>
    <row r="349" spans="1:22" x14ac:dyDescent="0.3">
      <c r="A349" s="1" t="s">
        <v>17</v>
      </c>
      <c r="B349" s="1" t="s">
        <v>13</v>
      </c>
      <c r="C349" s="1" t="s">
        <v>85</v>
      </c>
      <c r="D349" s="1" t="s">
        <v>11</v>
      </c>
      <c r="E349" s="1" t="s">
        <v>12</v>
      </c>
      <c r="F349" s="4">
        <v>79</v>
      </c>
      <c r="G349" s="4">
        <v>72</v>
      </c>
      <c r="H349" s="4">
        <v>69</v>
      </c>
      <c r="I349" s="4">
        <f>AVERAGE(Student­­Performance[[#This Row],[Math Score]],Student­­Performance[[#This Row],[Reading Score]],Student­­Performance[[#This Row],[Writing Score]])</f>
        <v>73.333333333333329</v>
      </c>
      <c r="J349" s="10" t="str">
        <f>IF(Student­­Performance[[#This Row],[Average Score]]&gt;=50,"Pass","Fail")</f>
        <v>Pass</v>
      </c>
      <c r="K34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-7</v>
      </c>
      <c r="L34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34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-10</v>
      </c>
      <c r="N349" s="4">
        <f>IF(ISNUMBER(Student­­Performance[[#This Row],[Math Score]]),Student­­Performance[[#This Row],[Math Score]],0)</f>
        <v>79</v>
      </c>
      <c r="O349" s="4">
        <f>IF(ISNUMBER(Student­­Performance[[#This Row],[Reading Score]]),Student­­Performance[[#This Row],[Reading Score]],0)</f>
        <v>72</v>
      </c>
      <c r="P349" s="4">
        <f>IF(ISNUMBER(Student­­Performance[[#This Row],[Writing Score]]),Student­­Performance[[#This Row],[Writing Score]],0)</f>
        <v>69</v>
      </c>
      <c r="Q349" s="4" t="str">
        <f>IF(Student­­Performance[[#This Row],[Math Score]]&gt;=50,"Pass","Fail")</f>
        <v>Pass</v>
      </c>
      <c r="R349" s="4" t="str">
        <f>IF(Student­­Performance[[#This Row],[Reading Score]]&gt;=50,"Pass","Fail")</f>
        <v>Pass</v>
      </c>
      <c r="S349" s="4" t="str">
        <f>IF(Student­­Performance[[#This Row],[Writing Score]]&gt;=50,"Pass","Fail")</f>
        <v>Pass</v>
      </c>
      <c r="T34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220</v>
      </c>
      <c r="U349" s="4" cm="1">
        <f t="array" ref="U349">IF(COUNT(F349:H349)=0,"", MAX(IF(ISNUMBER(F349:H349),F349:H349)) - MIN(IF(ISNUMBER(F349:H349),F349:H349)))</f>
        <v>10</v>
      </c>
      <c r="V349" s="4" t="str">
        <f>IF(U349="","",IF(U349&gt;25,"Outlier","Normal"))</f>
        <v>Normal</v>
      </c>
    </row>
    <row r="350" spans="1:22" x14ac:dyDescent="0.3">
      <c r="A350" s="1" t="s">
        <v>8</v>
      </c>
      <c r="B350" s="1" t="s">
        <v>9</v>
      </c>
      <c r="C350" s="1" t="s">
        <v>88</v>
      </c>
      <c r="D350" s="1" t="s">
        <v>20</v>
      </c>
      <c r="E350" s="1" t="s">
        <v>15</v>
      </c>
      <c r="F350" s="4">
        <v>63</v>
      </c>
      <c r="G350" s="4">
        <v>78</v>
      </c>
      <c r="H350" s="4">
        <v>79</v>
      </c>
      <c r="I350" s="4">
        <f>AVERAGE(Student­­Performance[[#This Row],[Math Score]],Student­­Performance[[#This Row],[Reading Score]],Student­­Performance[[#This Row],[Writing Score]])</f>
        <v>73.333333333333329</v>
      </c>
      <c r="J350" s="10" t="str">
        <f>IF(Student­­Performance[[#This Row],[Average Score]]&gt;=50,"Pass","Fail")</f>
        <v>Pass</v>
      </c>
      <c r="K35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15</v>
      </c>
      <c r="L35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35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16</v>
      </c>
      <c r="N350" s="4">
        <f>IF(ISNUMBER(Student­­Performance[[#This Row],[Math Score]]),Student­­Performance[[#This Row],[Math Score]],0)</f>
        <v>63</v>
      </c>
      <c r="O350" s="4">
        <f>IF(ISNUMBER(Student­­Performance[[#This Row],[Reading Score]]),Student­­Performance[[#This Row],[Reading Score]],0)</f>
        <v>78</v>
      </c>
      <c r="P350" s="4">
        <f>IF(ISNUMBER(Student­­Performance[[#This Row],[Writing Score]]),Student­­Performance[[#This Row],[Writing Score]],0)</f>
        <v>79</v>
      </c>
      <c r="Q350" s="4" t="str">
        <f>IF(Student­­Performance[[#This Row],[Math Score]]&gt;=50,"Pass","Fail")</f>
        <v>Pass</v>
      </c>
      <c r="R350" s="4" t="str">
        <f>IF(Student­­Performance[[#This Row],[Reading Score]]&gt;=50,"Pass","Fail")</f>
        <v>Pass</v>
      </c>
      <c r="S350" s="4" t="str">
        <f>IF(Student­­Performance[[#This Row],[Writing Score]]&gt;=50,"Pass","Fail")</f>
        <v>Pass</v>
      </c>
      <c r="T35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220</v>
      </c>
      <c r="U350" s="4" cm="1">
        <f t="array" ref="U350">IF(COUNT(F350:H350)=0,"", MAX(IF(ISNUMBER(F350:H350),F350:H350)) - MIN(IF(ISNUMBER(F350:H350),F350:H350)))</f>
        <v>16</v>
      </c>
      <c r="V350" s="4" t="str">
        <f>IF(U350="","",IF(U350&gt;25,"Outlier","Normal"))</f>
        <v>Normal</v>
      </c>
    </row>
    <row r="351" spans="1:22" x14ac:dyDescent="0.3">
      <c r="A351" s="1" t="s">
        <v>8</v>
      </c>
      <c r="B351" s="1" t="s">
        <v>26</v>
      </c>
      <c r="C351" s="1" t="s">
        <v>88</v>
      </c>
      <c r="D351" s="1" t="s">
        <v>20</v>
      </c>
      <c r="E351" s="1" t="s">
        <v>12</v>
      </c>
      <c r="F351" s="4">
        <v>74</v>
      </c>
      <c r="G351" s="4">
        <v>74</v>
      </c>
      <c r="H351" s="4">
        <v>72</v>
      </c>
      <c r="I351" s="4">
        <f>AVERAGE(Student­­Performance[[#This Row],[Math Score]],Student­­Performance[[#This Row],[Reading Score]],Student­­Performance[[#This Row],[Writing Score]])</f>
        <v>73.333333333333329</v>
      </c>
      <c r="J351" s="10" t="str">
        <f>IF(Student­­Performance[[#This Row],[Average Score]]&gt;=50,"Pass","Fail")</f>
        <v>Pass</v>
      </c>
      <c r="K35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35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35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351" s="4">
        <f>IF(ISNUMBER(Student­­Performance[[#This Row],[Math Score]]),Student­­Performance[[#This Row],[Math Score]],0)</f>
        <v>74</v>
      </c>
      <c r="O351" s="4">
        <f>IF(ISNUMBER(Student­­Performance[[#This Row],[Reading Score]]),Student­­Performance[[#This Row],[Reading Score]],0)</f>
        <v>74</v>
      </c>
      <c r="P351" s="4">
        <f>IF(ISNUMBER(Student­­Performance[[#This Row],[Writing Score]]),Student­­Performance[[#This Row],[Writing Score]],0)</f>
        <v>72</v>
      </c>
      <c r="Q351" s="4" t="str">
        <f>IF(Student­­Performance[[#This Row],[Math Score]]&gt;=50,"Pass","Fail")</f>
        <v>Pass</v>
      </c>
      <c r="R351" s="4" t="str">
        <f>IF(Student­­Performance[[#This Row],[Reading Score]]&gt;=50,"Pass","Fail")</f>
        <v>Pass</v>
      </c>
      <c r="S351" s="4" t="str">
        <f>IF(Student­­Performance[[#This Row],[Writing Score]]&gt;=50,"Pass","Fail")</f>
        <v>Pass</v>
      </c>
      <c r="T35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220</v>
      </c>
      <c r="U351" s="4" cm="1">
        <f t="array" ref="U351">IF(COUNT(F351:H351)=0,"", MAX(IF(ISNUMBER(F351:H351),F351:H351)) - MIN(IF(ISNUMBER(F351:H351),F351:H351)))</f>
        <v>2</v>
      </c>
      <c r="V351" s="4" t="str">
        <f>IF(U351="","",IF(U351&gt;25,"Outlier","Normal"))</f>
        <v>Normal</v>
      </c>
    </row>
    <row r="352" spans="1:22" x14ac:dyDescent="0.3">
      <c r="A352" s="1" t="s">
        <v>8</v>
      </c>
      <c r="B352" s="1" t="s">
        <v>9</v>
      </c>
      <c r="C352" s="1" t="s">
        <v>87</v>
      </c>
      <c r="D352" s="1" t="s">
        <v>11</v>
      </c>
      <c r="E352" s="1" t="s">
        <v>12</v>
      </c>
      <c r="F352" s="4">
        <v>65</v>
      </c>
      <c r="G352" s="4">
        <v>81</v>
      </c>
      <c r="H352" s="4">
        <v>73</v>
      </c>
      <c r="I352" s="4">
        <f>AVERAGE(Student­­Performance[[#This Row],[Math Score]],Student­­Performance[[#This Row],[Reading Score]],Student­­Performance[[#This Row],[Writing Score]])</f>
        <v>73</v>
      </c>
      <c r="J352" s="10" t="str">
        <f>IF(Student­­Performance[[#This Row],[Average Score]]&gt;=50,"Pass","Fail")</f>
        <v>Pass</v>
      </c>
      <c r="K35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16</v>
      </c>
      <c r="L35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-8</v>
      </c>
      <c r="M35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352" s="4">
        <f>IF(ISNUMBER(Student­­Performance[[#This Row],[Math Score]]),Student­­Performance[[#This Row],[Math Score]],0)</f>
        <v>65</v>
      </c>
      <c r="O352" s="4">
        <f>IF(ISNUMBER(Student­­Performance[[#This Row],[Reading Score]]),Student­­Performance[[#This Row],[Reading Score]],0)</f>
        <v>81</v>
      </c>
      <c r="P352" s="4">
        <f>IF(ISNUMBER(Student­­Performance[[#This Row],[Writing Score]]),Student­­Performance[[#This Row],[Writing Score]],0)</f>
        <v>73</v>
      </c>
      <c r="Q352" s="4" t="str">
        <f>IF(Student­­Performance[[#This Row],[Math Score]]&gt;=50,"Pass","Fail")</f>
        <v>Pass</v>
      </c>
      <c r="R352" s="4" t="str">
        <f>IF(Student­­Performance[[#This Row],[Reading Score]]&gt;=50,"Pass","Fail")</f>
        <v>Pass</v>
      </c>
      <c r="S352" s="4" t="str">
        <f>IF(Student­­Performance[[#This Row],[Writing Score]]&gt;=50,"Pass","Fail")</f>
        <v>Pass</v>
      </c>
      <c r="T35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219</v>
      </c>
      <c r="U352" s="4" cm="1">
        <f t="array" ref="U352">IF(COUNT(F352:H352)=0,"", MAX(IF(ISNUMBER(F352:H352),F352:H352)) - MIN(IF(ISNUMBER(F352:H352),F352:H352)))</f>
        <v>16</v>
      </c>
      <c r="V352" s="4" t="str">
        <f>IF(U352="","",IF(U352&gt;25,"Outlier","Normal"))</f>
        <v>Normal</v>
      </c>
    </row>
    <row r="353" spans="1:22" x14ac:dyDescent="0.3">
      <c r="A353" s="1" t="s">
        <v>17</v>
      </c>
      <c r="B353" s="1" t="s">
        <v>18</v>
      </c>
      <c r="C353" s="1" t="s">
        <v>85</v>
      </c>
      <c r="D353" s="1" t="s">
        <v>20</v>
      </c>
      <c r="E353" s="1" t="s">
        <v>12</v>
      </c>
      <c r="F353" s="4">
        <v>73</v>
      </c>
      <c r="G353" s="4">
        <v>74</v>
      </c>
      <c r="H353" s="4">
        <v>72</v>
      </c>
      <c r="I353" s="4">
        <f>AVERAGE(Student­­Performance[[#This Row],[Math Score]],Student­­Performance[[#This Row],[Reading Score]],Student­­Performance[[#This Row],[Writing Score]])</f>
        <v>73</v>
      </c>
      <c r="J353" s="10" t="str">
        <f>IF(Student­­Performance[[#This Row],[Average Score]]&gt;=50,"Pass","Fail")</f>
        <v>Pass</v>
      </c>
      <c r="K35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35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35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353" s="4">
        <f>IF(ISNUMBER(Student­­Performance[[#This Row],[Math Score]]),Student­­Performance[[#This Row],[Math Score]],0)</f>
        <v>73</v>
      </c>
      <c r="O353" s="4">
        <f>IF(ISNUMBER(Student­­Performance[[#This Row],[Reading Score]]),Student­­Performance[[#This Row],[Reading Score]],0)</f>
        <v>74</v>
      </c>
      <c r="P353" s="4">
        <f>IF(ISNUMBER(Student­­Performance[[#This Row],[Writing Score]]),Student­­Performance[[#This Row],[Writing Score]],0)</f>
        <v>72</v>
      </c>
      <c r="Q353" s="4" t="str">
        <f>IF(Student­­Performance[[#This Row],[Math Score]]&gt;=50,"Pass","Fail")</f>
        <v>Pass</v>
      </c>
      <c r="R353" s="4" t="str">
        <f>IF(Student­­Performance[[#This Row],[Reading Score]]&gt;=50,"Pass","Fail")</f>
        <v>Pass</v>
      </c>
      <c r="S353" s="4" t="str">
        <f>IF(Student­­Performance[[#This Row],[Writing Score]]&gt;=50,"Pass","Fail")</f>
        <v>Pass</v>
      </c>
      <c r="T35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219</v>
      </c>
      <c r="U353" s="4" cm="1">
        <f t="array" ref="U353">IF(COUNT(F353:H353)=0,"", MAX(IF(ISNUMBER(F353:H353),F353:H353)) - MIN(IF(ISNUMBER(F353:H353),F353:H353)))</f>
        <v>2</v>
      </c>
      <c r="V353" s="4" t="str">
        <f>IF(U353="","",IF(U353&gt;25,"Outlier","Normal"))</f>
        <v>Normal</v>
      </c>
    </row>
    <row r="354" spans="1:22" x14ac:dyDescent="0.3">
      <c r="A354" s="1" t="s">
        <v>8</v>
      </c>
      <c r="B354" s="1" t="s">
        <v>21</v>
      </c>
      <c r="C354" s="1" t="s">
        <v>88</v>
      </c>
      <c r="D354" s="1" t="s">
        <v>11</v>
      </c>
      <c r="E354" s="1" t="s">
        <v>12</v>
      </c>
      <c r="F354" s="4">
        <v>76</v>
      </c>
      <c r="G354" s="4">
        <v>72</v>
      </c>
      <c r="H354" s="4">
        <v>71</v>
      </c>
      <c r="I354" s="4">
        <f>AVERAGE(Student­­Performance[[#This Row],[Math Score]],Student­­Performance[[#This Row],[Reading Score]],Student­­Performance[[#This Row],[Writing Score]])</f>
        <v>73</v>
      </c>
      <c r="J354" s="10" t="str">
        <f>IF(Student­­Performance[[#This Row],[Average Score]]&gt;=50,"Pass","Fail")</f>
        <v>Pass</v>
      </c>
      <c r="K35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35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35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-5</v>
      </c>
      <c r="N354" s="4">
        <f>IF(ISNUMBER(Student­­Performance[[#This Row],[Math Score]]),Student­­Performance[[#This Row],[Math Score]],0)</f>
        <v>76</v>
      </c>
      <c r="O354" s="4">
        <f>IF(ISNUMBER(Student­­Performance[[#This Row],[Reading Score]]),Student­­Performance[[#This Row],[Reading Score]],0)</f>
        <v>72</v>
      </c>
      <c r="P354" s="4">
        <f>IF(ISNUMBER(Student­­Performance[[#This Row],[Writing Score]]),Student­­Performance[[#This Row],[Writing Score]],0)</f>
        <v>71</v>
      </c>
      <c r="Q354" s="4" t="str">
        <f>IF(Student­­Performance[[#This Row],[Math Score]]&gt;=50,"Pass","Fail")</f>
        <v>Pass</v>
      </c>
      <c r="R354" s="4" t="str">
        <f>IF(Student­­Performance[[#This Row],[Reading Score]]&gt;=50,"Pass","Fail")</f>
        <v>Pass</v>
      </c>
      <c r="S354" s="4" t="str">
        <f>IF(Student­­Performance[[#This Row],[Writing Score]]&gt;=50,"Pass","Fail")</f>
        <v>Pass</v>
      </c>
      <c r="T35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219</v>
      </c>
      <c r="U354" s="4" cm="1">
        <f t="array" ref="U354">IF(COUNT(F354:H354)=0,"", MAX(IF(ISNUMBER(F354:H354),F354:H354)) - MIN(IF(ISNUMBER(F354:H354),F354:H354)))</f>
        <v>5</v>
      </c>
      <c r="V354" s="4" t="str">
        <f>IF(U354="","",IF(U354&gt;25,"Outlier","Normal"))</f>
        <v>Normal</v>
      </c>
    </row>
    <row r="355" spans="1:22" x14ac:dyDescent="0.3">
      <c r="A355" s="1" t="s">
        <v>8</v>
      </c>
      <c r="B355" s="1" t="s">
        <v>9</v>
      </c>
      <c r="C355" s="1" t="s">
        <v>87</v>
      </c>
      <c r="D355" s="1" t="s">
        <v>11</v>
      </c>
      <c r="E355" s="1" t="s">
        <v>15</v>
      </c>
      <c r="F355" s="4">
        <v>69</v>
      </c>
      <c r="G355" s="4">
        <v>76</v>
      </c>
      <c r="H355" s="4">
        <v>74</v>
      </c>
      <c r="I355" s="4">
        <f>AVERAGE(Student­­Performance[[#This Row],[Math Score]],Student­­Performance[[#This Row],[Reading Score]],Student­­Performance[[#This Row],[Writing Score]])</f>
        <v>73</v>
      </c>
      <c r="J355" s="10" t="str">
        <f>IF(Student­­Performance[[#This Row],[Average Score]]&gt;=50,"Pass","Fail")</f>
        <v>Pass</v>
      </c>
      <c r="K35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35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35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355" s="4">
        <f>IF(ISNUMBER(Student­­Performance[[#This Row],[Math Score]]),Student­­Performance[[#This Row],[Math Score]],0)</f>
        <v>69</v>
      </c>
      <c r="O355" s="4">
        <f>IF(ISNUMBER(Student­­Performance[[#This Row],[Reading Score]]),Student­­Performance[[#This Row],[Reading Score]],0)</f>
        <v>76</v>
      </c>
      <c r="P355" s="4">
        <f>IF(ISNUMBER(Student­­Performance[[#This Row],[Writing Score]]),Student­­Performance[[#This Row],[Writing Score]],0)</f>
        <v>74</v>
      </c>
      <c r="Q355" s="4" t="str">
        <f>IF(Student­­Performance[[#This Row],[Math Score]]&gt;=50,"Pass","Fail")</f>
        <v>Pass</v>
      </c>
      <c r="R355" s="4" t="str">
        <f>IF(Student­­Performance[[#This Row],[Reading Score]]&gt;=50,"Pass","Fail")</f>
        <v>Pass</v>
      </c>
      <c r="S355" s="4" t="str">
        <f>IF(Student­­Performance[[#This Row],[Writing Score]]&gt;=50,"Pass","Fail")</f>
        <v>Pass</v>
      </c>
      <c r="T35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219</v>
      </c>
      <c r="U355" s="4" cm="1">
        <f t="array" ref="U355">IF(COUNT(F355:H355)=0,"", MAX(IF(ISNUMBER(F355:H355),F355:H355)) - MIN(IF(ISNUMBER(F355:H355),F355:H355)))</f>
        <v>7</v>
      </c>
      <c r="V355" s="4" t="str">
        <f>IF(U355="","",IF(U355&gt;25,"Outlier","Normal"))</f>
        <v>Normal</v>
      </c>
    </row>
    <row r="356" spans="1:22" x14ac:dyDescent="0.3">
      <c r="A356" s="1" t="s">
        <v>17</v>
      </c>
      <c r="B356" s="1" t="s">
        <v>21</v>
      </c>
      <c r="C356" s="1" t="s">
        <v>84</v>
      </c>
      <c r="D356" s="1" t="s">
        <v>11</v>
      </c>
      <c r="E356" s="1" t="s">
        <v>12</v>
      </c>
      <c r="F356" s="4">
        <v>79</v>
      </c>
      <c r="G356" s="4">
        <v>73</v>
      </c>
      <c r="H356" s="4">
        <v>67</v>
      </c>
      <c r="I356" s="4">
        <f>AVERAGE(Student­­Performance[[#This Row],[Math Score]],Student­­Performance[[#This Row],[Reading Score]],Student­­Performance[[#This Row],[Writing Score]])</f>
        <v>73</v>
      </c>
      <c r="J356" s="10" t="str">
        <f>IF(Student­­Performance[[#This Row],[Average Score]]&gt;=50,"Pass","Fail")</f>
        <v>Pass</v>
      </c>
      <c r="K35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35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35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-12</v>
      </c>
      <c r="N356" s="4">
        <f>IF(ISNUMBER(Student­­Performance[[#This Row],[Math Score]]),Student­­Performance[[#This Row],[Math Score]],0)</f>
        <v>79</v>
      </c>
      <c r="O356" s="4">
        <f>IF(ISNUMBER(Student­­Performance[[#This Row],[Reading Score]]),Student­­Performance[[#This Row],[Reading Score]],0)</f>
        <v>73</v>
      </c>
      <c r="P356" s="4">
        <f>IF(ISNUMBER(Student­­Performance[[#This Row],[Writing Score]]),Student­­Performance[[#This Row],[Writing Score]],0)</f>
        <v>67</v>
      </c>
      <c r="Q356" s="4" t="str">
        <f>IF(Student­­Performance[[#This Row],[Math Score]]&gt;=50,"Pass","Fail")</f>
        <v>Pass</v>
      </c>
      <c r="R356" s="4" t="str">
        <f>IF(Student­­Performance[[#This Row],[Reading Score]]&gt;=50,"Pass","Fail")</f>
        <v>Pass</v>
      </c>
      <c r="S356" s="4" t="str">
        <f>IF(Student­­Performance[[#This Row],[Writing Score]]&gt;=50,"Pass","Fail")</f>
        <v>Pass</v>
      </c>
      <c r="T35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219</v>
      </c>
      <c r="U356" s="4" cm="1">
        <f t="array" ref="U356">IF(COUNT(F356:H356)=0,"", MAX(IF(ISNUMBER(F356:H356),F356:H356)) - MIN(IF(ISNUMBER(F356:H356),F356:H356)))</f>
        <v>12</v>
      </c>
      <c r="V356" s="4" t="str">
        <f>IF(U356="","",IF(U356&gt;25,"Outlier","Normal"))</f>
        <v>Normal</v>
      </c>
    </row>
    <row r="357" spans="1:22" x14ac:dyDescent="0.3">
      <c r="A357" s="1" t="s">
        <v>17</v>
      </c>
      <c r="B357" s="1" t="s">
        <v>26</v>
      </c>
      <c r="C357" s="1" t="s">
        <v>84</v>
      </c>
      <c r="D357" s="1" t="s">
        <v>11</v>
      </c>
      <c r="E357" s="1" t="s">
        <v>12</v>
      </c>
      <c r="F357" s="4">
        <v>76</v>
      </c>
      <c r="G357" s="4">
        <v>71</v>
      </c>
      <c r="H357" s="4">
        <v>72</v>
      </c>
      <c r="I357" s="4">
        <f>AVERAGE(Student­­Performance[[#This Row],[Math Score]],Student­­Performance[[#This Row],[Reading Score]],Student­­Performance[[#This Row],[Writing Score]])</f>
        <v>73</v>
      </c>
      <c r="J357" s="10" t="str">
        <f>IF(Student­­Performance[[#This Row],[Average Score]]&gt;=50,"Pass","Fail")</f>
        <v>Pass</v>
      </c>
      <c r="K35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35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35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357" s="4">
        <f>IF(ISNUMBER(Student­­Performance[[#This Row],[Math Score]]),Student­­Performance[[#This Row],[Math Score]],0)</f>
        <v>76</v>
      </c>
      <c r="O357" s="4">
        <f>IF(ISNUMBER(Student­­Performance[[#This Row],[Reading Score]]),Student­­Performance[[#This Row],[Reading Score]],0)</f>
        <v>71</v>
      </c>
      <c r="P357" s="4">
        <f>IF(ISNUMBER(Student­­Performance[[#This Row],[Writing Score]]),Student­­Performance[[#This Row],[Writing Score]],0)</f>
        <v>72</v>
      </c>
      <c r="Q357" s="4" t="str">
        <f>IF(Student­­Performance[[#This Row],[Math Score]]&gt;=50,"Pass","Fail")</f>
        <v>Pass</v>
      </c>
      <c r="R357" s="4" t="str">
        <f>IF(Student­­Performance[[#This Row],[Reading Score]]&gt;=50,"Pass","Fail")</f>
        <v>Pass</v>
      </c>
      <c r="S357" s="4" t="str">
        <f>IF(Student­­Performance[[#This Row],[Writing Score]]&gt;=50,"Pass","Fail")</f>
        <v>Pass</v>
      </c>
      <c r="T35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219</v>
      </c>
      <c r="U357" s="4" cm="1">
        <f t="array" ref="U357">IF(COUNT(F357:H357)=0,"", MAX(IF(ISNUMBER(F357:H357),F357:H357)) - MIN(IF(ISNUMBER(F357:H357),F357:H357)))</f>
        <v>5</v>
      </c>
      <c r="V357" s="4" t="str">
        <f>IF(U357="","",IF(U357&gt;25,"Outlier","Normal"))</f>
        <v>Normal</v>
      </c>
    </row>
    <row r="358" spans="1:22" x14ac:dyDescent="0.3">
      <c r="A358" s="1" t="s">
        <v>8</v>
      </c>
      <c r="B358" s="1" t="s">
        <v>21</v>
      </c>
      <c r="C358" s="1" t="s">
        <v>87</v>
      </c>
      <c r="D358" s="1" t="s">
        <v>11</v>
      </c>
      <c r="E358" s="1" t="s">
        <v>12</v>
      </c>
      <c r="F358" s="4">
        <v>69</v>
      </c>
      <c r="G358" s="4">
        <v>77</v>
      </c>
      <c r="H358" s="4">
        <v>73</v>
      </c>
      <c r="I358" s="4">
        <f>AVERAGE(Student­­Performance[[#This Row],[Math Score]],Student­­Performance[[#This Row],[Reading Score]],Student­­Performance[[#This Row],[Writing Score]])</f>
        <v>73</v>
      </c>
      <c r="J358" s="10" t="str">
        <f>IF(Student­­Performance[[#This Row],[Average Score]]&gt;=50,"Pass","Fail")</f>
        <v>Pass</v>
      </c>
      <c r="K35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35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35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358" s="4">
        <f>IF(ISNUMBER(Student­­Performance[[#This Row],[Math Score]]),Student­­Performance[[#This Row],[Math Score]],0)</f>
        <v>69</v>
      </c>
      <c r="O358" s="4">
        <f>IF(ISNUMBER(Student­­Performance[[#This Row],[Reading Score]]),Student­­Performance[[#This Row],[Reading Score]],0)</f>
        <v>77</v>
      </c>
      <c r="P358" s="4">
        <f>IF(ISNUMBER(Student­­Performance[[#This Row],[Writing Score]]),Student­­Performance[[#This Row],[Writing Score]],0)</f>
        <v>73</v>
      </c>
      <c r="Q358" s="4" t="str">
        <f>IF(Student­­Performance[[#This Row],[Math Score]]&gt;=50,"Pass","Fail")</f>
        <v>Pass</v>
      </c>
      <c r="R358" s="4" t="str">
        <f>IF(Student­­Performance[[#This Row],[Reading Score]]&gt;=50,"Pass","Fail")</f>
        <v>Pass</v>
      </c>
      <c r="S358" s="4" t="str">
        <f>IF(Student­­Performance[[#This Row],[Writing Score]]&gt;=50,"Pass","Fail")</f>
        <v>Pass</v>
      </c>
      <c r="T35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219</v>
      </c>
      <c r="U358" s="4" cm="1">
        <f t="array" ref="U358">IF(COUNT(F358:H358)=0,"", MAX(IF(ISNUMBER(F358:H358),F358:H358)) - MIN(IF(ISNUMBER(F358:H358),F358:H358)))</f>
        <v>8</v>
      </c>
      <c r="V358" s="4" t="str">
        <f>IF(U358="","",IF(U358&gt;25,"Outlier","Normal"))</f>
        <v>Normal</v>
      </c>
    </row>
    <row r="359" spans="1:22" x14ac:dyDescent="0.3">
      <c r="A359" s="1" t="s">
        <v>8</v>
      </c>
      <c r="B359" s="1" t="s">
        <v>13</v>
      </c>
      <c r="C359" s="1" t="s">
        <v>83</v>
      </c>
      <c r="D359" s="1" t="s">
        <v>20</v>
      </c>
      <c r="E359" s="1" t="s">
        <v>12</v>
      </c>
      <c r="F359" s="4">
        <v>62</v>
      </c>
      <c r="G359" s="4">
        <v>78</v>
      </c>
      <c r="H359" s="4">
        <v>79</v>
      </c>
      <c r="I359" s="4">
        <f>AVERAGE(Student­­Performance[[#This Row],[Math Score]],Student­­Performance[[#This Row],[Reading Score]],Student­­Performance[[#This Row],[Writing Score]])</f>
        <v>73</v>
      </c>
      <c r="J359" s="10" t="str">
        <f>IF(Student­­Performance[[#This Row],[Average Score]]&gt;=50,"Pass","Fail")</f>
        <v>Pass</v>
      </c>
      <c r="K35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16</v>
      </c>
      <c r="L35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35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17</v>
      </c>
      <c r="N359" s="4">
        <f>IF(ISNUMBER(Student­­Performance[[#This Row],[Math Score]]),Student­­Performance[[#This Row],[Math Score]],0)</f>
        <v>62</v>
      </c>
      <c r="O359" s="4">
        <f>IF(ISNUMBER(Student­­Performance[[#This Row],[Reading Score]]),Student­­Performance[[#This Row],[Reading Score]],0)</f>
        <v>78</v>
      </c>
      <c r="P359" s="4">
        <f>IF(ISNUMBER(Student­­Performance[[#This Row],[Writing Score]]),Student­­Performance[[#This Row],[Writing Score]],0)</f>
        <v>79</v>
      </c>
      <c r="Q359" s="4" t="str">
        <f>IF(Student­­Performance[[#This Row],[Math Score]]&gt;=50,"Pass","Fail")</f>
        <v>Pass</v>
      </c>
      <c r="R359" s="4" t="str">
        <f>IF(Student­­Performance[[#This Row],[Reading Score]]&gt;=50,"Pass","Fail")</f>
        <v>Pass</v>
      </c>
      <c r="S359" s="4" t="str">
        <f>IF(Student­­Performance[[#This Row],[Writing Score]]&gt;=50,"Pass","Fail")</f>
        <v>Pass</v>
      </c>
      <c r="T35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219</v>
      </c>
      <c r="U359" s="4" cm="1">
        <f t="array" ref="U359">IF(COUNT(F359:H359)=0,"", MAX(IF(ISNUMBER(F359:H359),F359:H359)) - MIN(IF(ISNUMBER(F359:H359),F359:H359)))</f>
        <v>17</v>
      </c>
      <c r="V359" s="4" t="str">
        <f>IF(U359="","",IF(U359&gt;25,"Outlier","Normal"))</f>
        <v>Normal</v>
      </c>
    </row>
    <row r="360" spans="1:22" x14ac:dyDescent="0.3">
      <c r="A360" s="1" t="s">
        <v>17</v>
      </c>
      <c r="B360" s="1" t="s">
        <v>13</v>
      </c>
      <c r="C360" s="1" t="s">
        <v>88</v>
      </c>
      <c r="D360" s="1" t="s">
        <v>11</v>
      </c>
      <c r="E360" s="1" t="s">
        <v>15</v>
      </c>
      <c r="F360" s="4">
        <v>78</v>
      </c>
      <c r="G360" s="4">
        <v>72</v>
      </c>
      <c r="H360" s="4">
        <v>69</v>
      </c>
      <c r="I360" s="4">
        <f>AVERAGE(Student­­Performance[[#This Row],[Math Score]],Student­­Performance[[#This Row],[Reading Score]],Student­­Performance[[#This Row],[Writing Score]])</f>
        <v>73</v>
      </c>
      <c r="J360" s="10" t="str">
        <f>IF(Student­­Performance[[#This Row],[Average Score]]&gt;=50,"Pass","Fail")</f>
        <v>Pass</v>
      </c>
      <c r="K36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36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36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-9</v>
      </c>
      <c r="N360" s="4">
        <f>IF(ISNUMBER(Student­­Performance[[#This Row],[Math Score]]),Student­­Performance[[#This Row],[Math Score]],0)</f>
        <v>78</v>
      </c>
      <c r="O360" s="4">
        <f>IF(ISNUMBER(Student­­Performance[[#This Row],[Reading Score]]),Student­­Performance[[#This Row],[Reading Score]],0)</f>
        <v>72</v>
      </c>
      <c r="P360" s="4">
        <f>IF(ISNUMBER(Student­­Performance[[#This Row],[Writing Score]]),Student­­Performance[[#This Row],[Writing Score]],0)</f>
        <v>69</v>
      </c>
      <c r="Q360" s="4" t="str">
        <f>IF(Student­­Performance[[#This Row],[Math Score]]&gt;=50,"Pass","Fail")</f>
        <v>Pass</v>
      </c>
      <c r="R360" s="4" t="str">
        <f>IF(Student­­Performance[[#This Row],[Reading Score]]&gt;=50,"Pass","Fail")</f>
        <v>Pass</v>
      </c>
      <c r="S360" s="4" t="str">
        <f>IF(Student­­Performance[[#This Row],[Writing Score]]&gt;=50,"Pass","Fail")</f>
        <v>Pass</v>
      </c>
      <c r="T36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219</v>
      </c>
      <c r="U360" s="4" cm="1">
        <f t="array" ref="U360">IF(COUNT(F360:H360)=0,"", MAX(IF(ISNUMBER(F360:H360),F360:H360)) - MIN(IF(ISNUMBER(F360:H360),F360:H360)))</f>
        <v>9</v>
      </c>
      <c r="V360" s="4" t="str">
        <f>IF(U360="","",IF(U360&gt;25,"Outlier","Normal"))</f>
        <v>Normal</v>
      </c>
    </row>
    <row r="361" spans="1:22" x14ac:dyDescent="0.3">
      <c r="A361" s="1" t="s">
        <v>8</v>
      </c>
      <c r="B361" s="1" t="s">
        <v>9</v>
      </c>
      <c r="C361" s="1" t="s">
        <v>83</v>
      </c>
      <c r="D361" s="1" t="s">
        <v>11</v>
      </c>
      <c r="E361" s="1" t="s">
        <v>12</v>
      </c>
      <c r="F361" s="4">
        <v>72</v>
      </c>
      <c r="G361" s="4">
        <v>72</v>
      </c>
      <c r="H361" s="4">
        <v>74</v>
      </c>
      <c r="I361" s="4">
        <f>AVERAGE(Student­­Performance[[#This Row],[Math Score]],Student­­Performance[[#This Row],[Reading Score]],Student­­Performance[[#This Row],[Writing Score]])</f>
        <v>72.666666666666671</v>
      </c>
      <c r="J361" s="10" t="str">
        <f>IF(Student­­Performance[[#This Row],[Average Score]]&gt;=50,"Pass","Fail")</f>
        <v>Pass</v>
      </c>
      <c r="K36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36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36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361" s="4">
        <f>IF(ISNUMBER(Student­­Performance[[#This Row],[Math Score]]),Student­­Performance[[#This Row],[Math Score]],0)</f>
        <v>72</v>
      </c>
      <c r="O361" s="4">
        <f>IF(ISNUMBER(Student­­Performance[[#This Row],[Reading Score]]),Student­­Performance[[#This Row],[Reading Score]],0)</f>
        <v>72</v>
      </c>
      <c r="P361" s="4">
        <f>IF(ISNUMBER(Student­­Performance[[#This Row],[Writing Score]]),Student­­Performance[[#This Row],[Writing Score]],0)</f>
        <v>74</v>
      </c>
      <c r="Q361" s="4" t="str">
        <f>IF(Student­­Performance[[#This Row],[Math Score]]&gt;=50,"Pass","Fail")</f>
        <v>Pass</v>
      </c>
      <c r="R361" s="4" t="str">
        <f>IF(Student­­Performance[[#This Row],[Reading Score]]&gt;=50,"Pass","Fail")</f>
        <v>Pass</v>
      </c>
      <c r="S361" s="4" t="str">
        <f>IF(Student­­Performance[[#This Row],[Writing Score]]&gt;=50,"Pass","Fail")</f>
        <v>Pass</v>
      </c>
      <c r="T36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218</v>
      </c>
      <c r="U361" s="4" cm="1">
        <f t="array" ref="U361">IF(COUNT(F361:H361)=0,"", MAX(IF(ISNUMBER(F361:H361),F361:H361)) - MIN(IF(ISNUMBER(F361:H361),F361:H361)))</f>
        <v>2</v>
      </c>
      <c r="V361" s="4" t="str">
        <f>IF(U361="","",IF(U361&gt;25,"Outlier","Normal"))</f>
        <v>Normal</v>
      </c>
    </row>
    <row r="362" spans="1:22" x14ac:dyDescent="0.3">
      <c r="A362" s="1" t="s">
        <v>8</v>
      </c>
      <c r="B362" s="1" t="s">
        <v>26</v>
      </c>
      <c r="C362" s="1" t="s">
        <v>87</v>
      </c>
      <c r="D362" s="1" t="s">
        <v>20</v>
      </c>
      <c r="E362" s="1" t="s">
        <v>15</v>
      </c>
      <c r="F362" s="4">
        <v>66</v>
      </c>
      <c r="G362" s="4">
        <v>74</v>
      </c>
      <c r="H362" s="4">
        <v>78</v>
      </c>
      <c r="I362" s="4">
        <f>AVERAGE(Student­­Performance[[#This Row],[Math Score]],Student­­Performance[[#This Row],[Reading Score]],Student­­Performance[[#This Row],[Writing Score]])</f>
        <v>72.666666666666671</v>
      </c>
      <c r="J362" s="10" t="str">
        <f>IF(Student­­Performance[[#This Row],[Average Score]]&gt;=50,"Pass","Fail")</f>
        <v>Pass</v>
      </c>
      <c r="K36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36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36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362" s="4">
        <f>IF(ISNUMBER(Student­­Performance[[#This Row],[Math Score]]),Student­­Performance[[#This Row],[Math Score]],0)</f>
        <v>66</v>
      </c>
      <c r="O362" s="4">
        <f>IF(ISNUMBER(Student­­Performance[[#This Row],[Reading Score]]),Student­­Performance[[#This Row],[Reading Score]],0)</f>
        <v>74</v>
      </c>
      <c r="P362" s="4">
        <f>IF(ISNUMBER(Student­­Performance[[#This Row],[Writing Score]]),Student­­Performance[[#This Row],[Writing Score]],0)</f>
        <v>78</v>
      </c>
      <c r="Q362" s="4" t="str">
        <f>IF(Student­­Performance[[#This Row],[Math Score]]&gt;=50,"Pass","Fail")</f>
        <v>Pass</v>
      </c>
      <c r="R362" s="4" t="str">
        <f>IF(Student­­Performance[[#This Row],[Reading Score]]&gt;=50,"Pass","Fail")</f>
        <v>Pass</v>
      </c>
      <c r="S362" s="4" t="str">
        <f>IF(Student­­Performance[[#This Row],[Writing Score]]&gt;=50,"Pass","Fail")</f>
        <v>Pass</v>
      </c>
      <c r="T36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218</v>
      </c>
      <c r="U362" s="4" cm="1">
        <f t="array" ref="U362">IF(COUNT(F362:H362)=0,"", MAX(IF(ISNUMBER(F362:H362),F362:H362)) - MIN(IF(ISNUMBER(F362:H362),F362:H362)))</f>
        <v>12</v>
      </c>
      <c r="V362" s="4" t="str">
        <f>IF(U362="","",IF(U362&gt;25,"Outlier","Normal"))</f>
        <v>Normal</v>
      </c>
    </row>
    <row r="363" spans="1:22" x14ac:dyDescent="0.3">
      <c r="A363" s="1" t="s">
        <v>17</v>
      </c>
      <c r="B363" s="1" t="s">
        <v>21</v>
      </c>
      <c r="C363" s="1" t="s">
        <v>88</v>
      </c>
      <c r="D363" s="1" t="s">
        <v>11</v>
      </c>
      <c r="E363" s="1" t="s">
        <v>12</v>
      </c>
      <c r="F363" s="4">
        <v>75</v>
      </c>
      <c r="G363" s="4">
        <v>74</v>
      </c>
      <c r="H363" s="4">
        <v>69</v>
      </c>
      <c r="I363" s="4">
        <f>AVERAGE(Student­­Performance[[#This Row],[Math Score]],Student­­Performance[[#This Row],[Reading Score]],Student­­Performance[[#This Row],[Writing Score]])</f>
        <v>72.666666666666671</v>
      </c>
      <c r="J363" s="10" t="str">
        <f>IF(Student­­Performance[[#This Row],[Average Score]]&gt;=50,"Pass","Fail")</f>
        <v>Pass</v>
      </c>
      <c r="K36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36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36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363" s="4">
        <f>IF(ISNUMBER(Student­­Performance[[#This Row],[Math Score]]),Student­­Performance[[#This Row],[Math Score]],0)</f>
        <v>75</v>
      </c>
      <c r="O363" s="4">
        <f>IF(ISNUMBER(Student­­Performance[[#This Row],[Reading Score]]),Student­­Performance[[#This Row],[Reading Score]],0)</f>
        <v>74</v>
      </c>
      <c r="P363" s="4">
        <f>IF(ISNUMBER(Student­­Performance[[#This Row],[Writing Score]]),Student­­Performance[[#This Row],[Writing Score]],0)</f>
        <v>69</v>
      </c>
      <c r="Q363" s="4" t="str">
        <f>IF(Student­­Performance[[#This Row],[Math Score]]&gt;=50,"Pass","Fail")</f>
        <v>Pass</v>
      </c>
      <c r="R363" s="4" t="str">
        <f>IF(Student­­Performance[[#This Row],[Reading Score]]&gt;=50,"Pass","Fail")</f>
        <v>Pass</v>
      </c>
      <c r="S363" s="4" t="str">
        <f>IF(Student­­Performance[[#This Row],[Writing Score]]&gt;=50,"Pass","Fail")</f>
        <v>Pass</v>
      </c>
      <c r="T36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218</v>
      </c>
      <c r="U363" s="4" cm="1">
        <f t="array" ref="U363">IF(COUNT(F363:H363)=0,"", MAX(IF(ISNUMBER(F363:H363),F363:H363)) - MIN(IF(ISNUMBER(F363:H363),F363:H363)))</f>
        <v>6</v>
      </c>
      <c r="V363" s="4" t="str">
        <f>IF(U363="","",IF(U363&gt;25,"Outlier","Normal"))</f>
        <v>Normal</v>
      </c>
    </row>
    <row r="364" spans="1:22" x14ac:dyDescent="0.3">
      <c r="A364" s="1" t="s">
        <v>8</v>
      </c>
      <c r="B364" s="1" t="s">
        <v>21</v>
      </c>
      <c r="C364" s="1" t="s">
        <v>87</v>
      </c>
      <c r="D364" s="1" t="s">
        <v>11</v>
      </c>
      <c r="E364" s="1" t="s">
        <v>12</v>
      </c>
      <c r="F364" s="4">
        <v>69</v>
      </c>
      <c r="G364" s="4">
        <v>72</v>
      </c>
      <c r="H364" s="4">
        <v>77</v>
      </c>
      <c r="I364" s="4">
        <f>AVERAGE(Student­­Performance[[#This Row],[Math Score]],Student­­Performance[[#This Row],[Reading Score]],Student­­Performance[[#This Row],[Writing Score]])</f>
        <v>72.666666666666671</v>
      </c>
      <c r="J364" s="10" t="str">
        <f>IF(Student­­Performance[[#This Row],[Average Score]]&gt;=50,"Pass","Fail")</f>
        <v>Pass</v>
      </c>
      <c r="K36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36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36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364" s="4">
        <f>IF(ISNUMBER(Student­­Performance[[#This Row],[Math Score]]),Student­­Performance[[#This Row],[Math Score]],0)</f>
        <v>69</v>
      </c>
      <c r="O364" s="4">
        <f>IF(ISNUMBER(Student­­Performance[[#This Row],[Reading Score]]),Student­­Performance[[#This Row],[Reading Score]],0)</f>
        <v>72</v>
      </c>
      <c r="P364" s="4">
        <f>IF(ISNUMBER(Student­­Performance[[#This Row],[Writing Score]]),Student­­Performance[[#This Row],[Writing Score]],0)</f>
        <v>77</v>
      </c>
      <c r="Q364" s="4" t="str">
        <f>IF(Student­­Performance[[#This Row],[Math Score]]&gt;=50,"Pass","Fail")</f>
        <v>Pass</v>
      </c>
      <c r="R364" s="4" t="str">
        <f>IF(Student­­Performance[[#This Row],[Reading Score]]&gt;=50,"Pass","Fail")</f>
        <v>Pass</v>
      </c>
      <c r="S364" s="4" t="str">
        <f>IF(Student­­Performance[[#This Row],[Writing Score]]&gt;=50,"Pass","Fail")</f>
        <v>Pass</v>
      </c>
      <c r="T36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218</v>
      </c>
      <c r="U364" s="4" cm="1">
        <f t="array" ref="U364">IF(COUNT(F364:H364)=0,"", MAX(IF(ISNUMBER(F364:H364),F364:H364)) - MIN(IF(ISNUMBER(F364:H364),F364:H364)))</f>
        <v>8</v>
      </c>
      <c r="V364" s="4" t="str">
        <f>IF(U364="","",IF(U364&gt;25,"Outlier","Normal"))</f>
        <v>Normal</v>
      </c>
    </row>
    <row r="365" spans="1:22" x14ac:dyDescent="0.3">
      <c r="A365" s="1" t="s">
        <v>8</v>
      </c>
      <c r="B365" s="1" t="s">
        <v>26</v>
      </c>
      <c r="C365" s="1" t="s">
        <v>84</v>
      </c>
      <c r="D365" s="1" t="s">
        <v>11</v>
      </c>
      <c r="E365" s="1" t="s">
        <v>12</v>
      </c>
      <c r="F365" s="4">
        <v>67</v>
      </c>
      <c r="G365" s="4">
        <v>76</v>
      </c>
      <c r="H365" s="4">
        <v>75</v>
      </c>
      <c r="I365" s="4">
        <f>AVERAGE(Student­­Performance[[#This Row],[Math Score]],Student­­Performance[[#This Row],[Reading Score]],Student­­Performance[[#This Row],[Writing Score]])</f>
        <v>72.666666666666671</v>
      </c>
      <c r="J365" s="10" t="str">
        <f>IF(Student­­Performance[[#This Row],[Average Score]]&gt;=50,"Pass","Fail")</f>
        <v>Pass</v>
      </c>
      <c r="K36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36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36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365" s="4">
        <f>IF(ISNUMBER(Student­­Performance[[#This Row],[Math Score]]),Student­­Performance[[#This Row],[Math Score]],0)</f>
        <v>67</v>
      </c>
      <c r="O365" s="4">
        <f>IF(ISNUMBER(Student­­Performance[[#This Row],[Reading Score]]),Student­­Performance[[#This Row],[Reading Score]],0)</f>
        <v>76</v>
      </c>
      <c r="P365" s="4">
        <f>IF(ISNUMBER(Student­­Performance[[#This Row],[Writing Score]]),Student­­Performance[[#This Row],[Writing Score]],0)</f>
        <v>75</v>
      </c>
      <c r="Q365" s="4" t="str">
        <f>IF(Student­­Performance[[#This Row],[Math Score]]&gt;=50,"Pass","Fail")</f>
        <v>Pass</v>
      </c>
      <c r="R365" s="4" t="str">
        <f>IF(Student­­Performance[[#This Row],[Reading Score]]&gt;=50,"Pass","Fail")</f>
        <v>Pass</v>
      </c>
      <c r="S365" s="4" t="str">
        <f>IF(Student­­Performance[[#This Row],[Writing Score]]&gt;=50,"Pass","Fail")</f>
        <v>Pass</v>
      </c>
      <c r="T36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218</v>
      </c>
      <c r="U365" s="4" cm="1">
        <f t="array" ref="U365">IF(COUNT(F365:H365)=0,"", MAX(IF(ISNUMBER(F365:H365),F365:H365)) - MIN(IF(ISNUMBER(F365:H365),F365:H365)))</f>
        <v>9</v>
      </c>
      <c r="V365" s="4" t="str">
        <f>IF(U365="","",IF(U365&gt;25,"Outlier","Normal"))</f>
        <v>Normal</v>
      </c>
    </row>
    <row r="366" spans="1:22" x14ac:dyDescent="0.3">
      <c r="A366" s="1" t="s">
        <v>17</v>
      </c>
      <c r="B366" s="1" t="s">
        <v>21</v>
      </c>
      <c r="C366" s="1" t="s">
        <v>85</v>
      </c>
      <c r="D366" s="1" t="s">
        <v>11</v>
      </c>
      <c r="E366" s="1" t="s">
        <v>12</v>
      </c>
      <c r="F366" s="4">
        <v>73</v>
      </c>
      <c r="G366" s="4">
        <v>70</v>
      </c>
      <c r="H366" s="4">
        <v>75</v>
      </c>
      <c r="I366" s="4">
        <f>AVERAGE(Student­­Performance[[#This Row],[Math Score]],Student­­Performance[[#This Row],[Reading Score]],Student­­Performance[[#This Row],[Writing Score]])</f>
        <v>72.666666666666671</v>
      </c>
      <c r="J366" s="10" t="str">
        <f>IF(Student­­Performance[[#This Row],[Average Score]]&gt;=50,"Pass","Fail")</f>
        <v>Pass</v>
      </c>
      <c r="K36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36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36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366" s="4">
        <f>IF(ISNUMBER(Student­­Performance[[#This Row],[Math Score]]),Student­­Performance[[#This Row],[Math Score]],0)</f>
        <v>73</v>
      </c>
      <c r="O366" s="4">
        <f>IF(ISNUMBER(Student­­Performance[[#This Row],[Reading Score]]),Student­­Performance[[#This Row],[Reading Score]],0)</f>
        <v>70</v>
      </c>
      <c r="P366" s="4">
        <f>IF(ISNUMBER(Student­­Performance[[#This Row],[Writing Score]]),Student­­Performance[[#This Row],[Writing Score]],0)</f>
        <v>75</v>
      </c>
      <c r="Q366" s="4" t="str">
        <f>IF(Student­­Performance[[#This Row],[Math Score]]&gt;=50,"Pass","Fail")</f>
        <v>Pass</v>
      </c>
      <c r="R366" s="4" t="str">
        <f>IF(Student­­Performance[[#This Row],[Reading Score]]&gt;=50,"Pass","Fail")</f>
        <v>Pass</v>
      </c>
      <c r="S366" s="4" t="str">
        <f>IF(Student­­Performance[[#This Row],[Writing Score]]&gt;=50,"Pass","Fail")</f>
        <v>Pass</v>
      </c>
      <c r="T36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218</v>
      </c>
      <c r="U366" s="4" cm="1">
        <f t="array" ref="U366">IF(COUNT(F366:H366)=0,"", MAX(IF(ISNUMBER(F366:H366),F366:H366)) - MIN(IF(ISNUMBER(F366:H366),F366:H366)))</f>
        <v>5</v>
      </c>
      <c r="V366" s="4" t="str">
        <f>IF(U366="","",IF(U366&gt;25,"Outlier","Normal"))</f>
        <v>Normal</v>
      </c>
    </row>
    <row r="367" spans="1:22" x14ac:dyDescent="0.3">
      <c r="A367" s="1" t="s">
        <v>8</v>
      </c>
      <c r="B367" s="1" t="s">
        <v>13</v>
      </c>
      <c r="C367" s="1" t="s">
        <v>88</v>
      </c>
      <c r="D367" s="1" t="s">
        <v>11</v>
      </c>
      <c r="E367" s="1" t="s">
        <v>15</v>
      </c>
      <c r="F367" s="4">
        <v>67</v>
      </c>
      <c r="G367" s="4">
        <v>74</v>
      </c>
      <c r="H367" s="4">
        <v>77</v>
      </c>
      <c r="I367" s="4">
        <f>AVERAGE(Student­­Performance[[#This Row],[Math Score]],Student­­Performance[[#This Row],[Reading Score]],Student­­Performance[[#This Row],[Writing Score]])</f>
        <v>72.666666666666671</v>
      </c>
      <c r="J367" s="10" t="str">
        <f>IF(Student­­Performance[[#This Row],[Average Score]]&gt;=50,"Pass","Fail")</f>
        <v>Pass</v>
      </c>
      <c r="K36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36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36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367" s="4">
        <f>IF(ISNUMBER(Student­­Performance[[#This Row],[Math Score]]),Student­­Performance[[#This Row],[Math Score]],0)</f>
        <v>67</v>
      </c>
      <c r="O367" s="4">
        <f>IF(ISNUMBER(Student­­Performance[[#This Row],[Reading Score]]),Student­­Performance[[#This Row],[Reading Score]],0)</f>
        <v>74</v>
      </c>
      <c r="P367" s="4">
        <f>IF(ISNUMBER(Student­­Performance[[#This Row],[Writing Score]]),Student­­Performance[[#This Row],[Writing Score]],0)</f>
        <v>77</v>
      </c>
      <c r="Q367" s="4" t="str">
        <f>IF(Student­­Performance[[#This Row],[Math Score]]&gt;=50,"Pass","Fail")</f>
        <v>Pass</v>
      </c>
      <c r="R367" s="4" t="str">
        <f>IF(Student­­Performance[[#This Row],[Reading Score]]&gt;=50,"Pass","Fail")</f>
        <v>Pass</v>
      </c>
      <c r="S367" s="4" t="str">
        <f>IF(Student­­Performance[[#This Row],[Writing Score]]&gt;=50,"Pass","Fail")</f>
        <v>Pass</v>
      </c>
      <c r="T36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218</v>
      </c>
      <c r="U367" s="4" cm="1">
        <f t="array" ref="U367">IF(COUNT(F367:H367)=0,"", MAX(IF(ISNUMBER(F367:H367),F367:H367)) - MIN(IF(ISNUMBER(F367:H367),F367:H367)))</f>
        <v>10</v>
      </c>
      <c r="V367" s="4" t="str">
        <f>IF(U367="","",IF(U367&gt;25,"Outlier","Normal"))</f>
        <v>Normal</v>
      </c>
    </row>
    <row r="368" spans="1:22" x14ac:dyDescent="0.3">
      <c r="A368" s="1" t="s">
        <v>8</v>
      </c>
      <c r="B368" s="1" t="s">
        <v>9</v>
      </c>
      <c r="C368" s="1" t="s">
        <v>87</v>
      </c>
      <c r="D368" s="1" t="s">
        <v>11</v>
      </c>
      <c r="E368" s="1" t="s">
        <v>12</v>
      </c>
      <c r="F368" s="4">
        <v>74</v>
      </c>
      <c r="G368" s="4">
        <v>72</v>
      </c>
      <c r="H368" s="4">
        <v>72</v>
      </c>
      <c r="I368" s="4">
        <f>AVERAGE(Student­­Performance[[#This Row],[Math Score]],Student­­Performance[[#This Row],[Reading Score]],Student­­Performance[[#This Row],[Writing Score]])</f>
        <v>72.666666666666671</v>
      </c>
      <c r="J368" s="10" t="str">
        <f>IF(Student­­Performance[[#This Row],[Average Score]]&gt;=50,"Pass","Fail")</f>
        <v>Pass</v>
      </c>
      <c r="K36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</v>
      </c>
      <c r="L36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36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368" s="4">
        <f>IF(ISNUMBER(Student­­Performance[[#This Row],[Math Score]]),Student­­Performance[[#This Row],[Math Score]],0)</f>
        <v>74</v>
      </c>
      <c r="O368" s="4">
        <f>IF(ISNUMBER(Student­­Performance[[#This Row],[Reading Score]]),Student­­Performance[[#This Row],[Reading Score]],0)</f>
        <v>72</v>
      </c>
      <c r="P368" s="4">
        <f>IF(ISNUMBER(Student­­Performance[[#This Row],[Writing Score]]),Student­­Performance[[#This Row],[Writing Score]],0)</f>
        <v>72</v>
      </c>
      <c r="Q368" s="4" t="str">
        <f>IF(Student­­Performance[[#This Row],[Math Score]]&gt;=50,"Pass","Fail")</f>
        <v>Pass</v>
      </c>
      <c r="R368" s="4" t="str">
        <f>IF(Student­­Performance[[#This Row],[Reading Score]]&gt;=50,"Pass","Fail")</f>
        <v>Pass</v>
      </c>
      <c r="S368" s="4" t="str">
        <f>IF(Student­­Performance[[#This Row],[Writing Score]]&gt;=50,"Pass","Fail")</f>
        <v>Pass</v>
      </c>
      <c r="T36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218</v>
      </c>
      <c r="U368" s="4" cm="1">
        <f t="array" ref="U368">IF(COUNT(F368:H368)=0,"", MAX(IF(ISNUMBER(F368:H368),F368:H368)) - MIN(IF(ISNUMBER(F368:H368),F368:H368)))</f>
        <v>2</v>
      </c>
      <c r="V368" s="4" t="str">
        <f>IF(U368="","",IF(U368&gt;25,"Outlier","Normal"))</f>
        <v>Normal</v>
      </c>
    </row>
    <row r="369" spans="1:22" x14ac:dyDescent="0.3">
      <c r="A369" s="1" t="s">
        <v>8</v>
      </c>
      <c r="B369" s="1" t="s">
        <v>13</v>
      </c>
      <c r="C369" s="1" t="s">
        <v>84</v>
      </c>
      <c r="D369" s="1" t="s">
        <v>11</v>
      </c>
      <c r="E369" s="1" t="s">
        <v>15</v>
      </c>
      <c r="F369" s="4">
        <v>70</v>
      </c>
      <c r="G369" s="4">
        <v>72</v>
      </c>
      <c r="H369" s="4">
        <v>76</v>
      </c>
      <c r="I369" s="4">
        <f>AVERAGE(Student­­Performance[[#This Row],[Math Score]],Student­­Performance[[#This Row],[Reading Score]],Student­­Performance[[#This Row],[Writing Score]])</f>
        <v>72.666666666666671</v>
      </c>
      <c r="J369" s="10" t="str">
        <f>IF(Student­­Performance[[#This Row],[Average Score]]&gt;=50,"Pass","Fail")</f>
        <v>Pass</v>
      </c>
      <c r="K36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36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36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369" s="4">
        <f>IF(ISNUMBER(Student­­Performance[[#This Row],[Math Score]]),Student­­Performance[[#This Row],[Math Score]],0)</f>
        <v>70</v>
      </c>
      <c r="O369" s="4">
        <f>IF(ISNUMBER(Student­­Performance[[#This Row],[Reading Score]]),Student­­Performance[[#This Row],[Reading Score]],0)</f>
        <v>72</v>
      </c>
      <c r="P369" s="4">
        <f>IF(ISNUMBER(Student­­Performance[[#This Row],[Writing Score]]),Student­­Performance[[#This Row],[Writing Score]],0)</f>
        <v>76</v>
      </c>
      <c r="Q369" s="4" t="str">
        <f>IF(Student­­Performance[[#This Row],[Math Score]]&gt;=50,"Pass","Fail")</f>
        <v>Pass</v>
      </c>
      <c r="R369" s="4" t="str">
        <f>IF(Student­­Performance[[#This Row],[Reading Score]]&gt;=50,"Pass","Fail")</f>
        <v>Pass</v>
      </c>
      <c r="S369" s="4" t="str">
        <f>IF(Student­­Performance[[#This Row],[Writing Score]]&gt;=50,"Pass","Fail")</f>
        <v>Pass</v>
      </c>
      <c r="T36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218</v>
      </c>
      <c r="U369" s="4" cm="1">
        <f t="array" ref="U369">IF(COUNT(F369:H369)=0,"", MAX(IF(ISNUMBER(F369:H369),F369:H369)) - MIN(IF(ISNUMBER(F369:H369),F369:H369)))</f>
        <v>6</v>
      </c>
      <c r="V369" s="4" t="str">
        <f>IF(U369="","",IF(U369&gt;25,"Outlier","Normal"))</f>
        <v>Normal</v>
      </c>
    </row>
    <row r="370" spans="1:22" x14ac:dyDescent="0.3">
      <c r="A370" s="1" t="s">
        <v>8</v>
      </c>
      <c r="B370" s="1" t="s">
        <v>13</v>
      </c>
      <c r="C370" s="1" t="s">
        <v>86</v>
      </c>
      <c r="D370" s="1" t="s">
        <v>11</v>
      </c>
      <c r="E370" s="1" t="s">
        <v>15</v>
      </c>
      <c r="F370" s="4">
        <v>62</v>
      </c>
      <c r="G370" s="4">
        <v>76</v>
      </c>
      <c r="H370" s="4">
        <v>80</v>
      </c>
      <c r="I370" s="4">
        <f>AVERAGE(Student­­Performance[[#This Row],[Math Score]],Student­­Performance[[#This Row],[Reading Score]],Student­­Performance[[#This Row],[Writing Score]])</f>
        <v>72.666666666666671</v>
      </c>
      <c r="J370" s="10" t="str">
        <f>IF(Student­­Performance[[#This Row],[Average Score]]&gt;=50,"Pass","Fail")</f>
        <v>Pass</v>
      </c>
      <c r="K37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14</v>
      </c>
      <c r="L37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37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18</v>
      </c>
      <c r="N370" s="4">
        <f>IF(ISNUMBER(Student­­Performance[[#This Row],[Math Score]]),Student­­Performance[[#This Row],[Math Score]],0)</f>
        <v>62</v>
      </c>
      <c r="O370" s="4">
        <f>IF(ISNUMBER(Student­­Performance[[#This Row],[Reading Score]]),Student­­Performance[[#This Row],[Reading Score]],0)</f>
        <v>76</v>
      </c>
      <c r="P370" s="4">
        <f>IF(ISNUMBER(Student­­Performance[[#This Row],[Writing Score]]),Student­­Performance[[#This Row],[Writing Score]],0)</f>
        <v>80</v>
      </c>
      <c r="Q370" s="4" t="str">
        <f>IF(Student­­Performance[[#This Row],[Math Score]]&gt;=50,"Pass","Fail")</f>
        <v>Pass</v>
      </c>
      <c r="R370" s="4" t="str">
        <f>IF(Student­­Performance[[#This Row],[Reading Score]]&gt;=50,"Pass","Fail")</f>
        <v>Pass</v>
      </c>
      <c r="S370" s="4" t="str">
        <f>IF(Student­­Performance[[#This Row],[Writing Score]]&gt;=50,"Pass","Fail")</f>
        <v>Pass</v>
      </c>
      <c r="T37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218</v>
      </c>
      <c r="U370" s="4" cm="1">
        <f t="array" ref="U370">IF(COUNT(F370:H370)=0,"", MAX(IF(ISNUMBER(F370:H370),F370:H370)) - MIN(IF(ISNUMBER(F370:H370),F370:H370)))</f>
        <v>18</v>
      </c>
      <c r="V370" s="4" t="str">
        <f>IF(U370="","",IF(U370&gt;25,"Outlier","Normal"))</f>
        <v>Normal</v>
      </c>
    </row>
    <row r="371" spans="1:22" x14ac:dyDescent="0.3">
      <c r="A371" s="1" t="s">
        <v>8</v>
      </c>
      <c r="B371" s="1" t="s">
        <v>21</v>
      </c>
      <c r="C371" s="1" t="s">
        <v>84</v>
      </c>
      <c r="D371" s="1" t="s">
        <v>11</v>
      </c>
      <c r="E371" s="1" t="s">
        <v>12</v>
      </c>
      <c r="F371" s="4">
        <v>69</v>
      </c>
      <c r="G371" s="4">
        <v>74</v>
      </c>
      <c r="H371" s="4">
        <v>74</v>
      </c>
      <c r="I371" s="4">
        <f>AVERAGE(Student­­Performance[[#This Row],[Math Score]],Student­­Performance[[#This Row],[Reading Score]],Student­­Performance[[#This Row],[Writing Score]])</f>
        <v>72.333333333333329</v>
      </c>
      <c r="J371" s="10" t="str">
        <f>IF(Student­­Performance[[#This Row],[Average Score]]&gt;=50,"Pass","Fail")</f>
        <v>Pass</v>
      </c>
      <c r="K37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37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37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371" s="4">
        <f>IF(ISNUMBER(Student­­Performance[[#This Row],[Math Score]]),Student­­Performance[[#This Row],[Math Score]],0)</f>
        <v>69</v>
      </c>
      <c r="O371" s="4">
        <f>IF(ISNUMBER(Student­­Performance[[#This Row],[Reading Score]]),Student­­Performance[[#This Row],[Reading Score]],0)</f>
        <v>74</v>
      </c>
      <c r="P371" s="4">
        <f>IF(ISNUMBER(Student­­Performance[[#This Row],[Writing Score]]),Student­­Performance[[#This Row],[Writing Score]],0)</f>
        <v>74</v>
      </c>
      <c r="Q371" s="4" t="str">
        <f>IF(Student­­Performance[[#This Row],[Math Score]]&gt;=50,"Pass","Fail")</f>
        <v>Pass</v>
      </c>
      <c r="R371" s="4" t="str">
        <f>IF(Student­­Performance[[#This Row],[Reading Score]]&gt;=50,"Pass","Fail")</f>
        <v>Pass</v>
      </c>
      <c r="S371" s="4" t="str">
        <f>IF(Student­­Performance[[#This Row],[Writing Score]]&gt;=50,"Pass","Fail")</f>
        <v>Pass</v>
      </c>
      <c r="T37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217</v>
      </c>
      <c r="U371" s="4" cm="1">
        <f t="array" ref="U371">IF(COUNT(F371:H371)=0,"", MAX(IF(ISNUMBER(F371:H371),F371:H371)) - MIN(IF(ISNUMBER(F371:H371),F371:H371)))</f>
        <v>5</v>
      </c>
      <c r="V371" s="4" t="str">
        <f>IF(U371="","",IF(U371&gt;25,"Outlier","Normal"))</f>
        <v>Normal</v>
      </c>
    </row>
    <row r="372" spans="1:22" x14ac:dyDescent="0.3">
      <c r="A372" s="1" t="s">
        <v>17</v>
      </c>
      <c r="B372" s="1" t="s">
        <v>21</v>
      </c>
      <c r="C372" s="1" t="s">
        <v>87</v>
      </c>
      <c r="D372" s="1" t="s">
        <v>11</v>
      </c>
      <c r="E372" s="1" t="s">
        <v>12</v>
      </c>
      <c r="F372" s="4">
        <v>76</v>
      </c>
      <c r="G372" s="4">
        <v>73</v>
      </c>
      <c r="H372" s="4">
        <v>68</v>
      </c>
      <c r="I372" s="4">
        <f>AVERAGE(Student­­Performance[[#This Row],[Math Score]],Student­­Performance[[#This Row],[Reading Score]],Student­­Performance[[#This Row],[Writing Score]])</f>
        <v>72.333333333333329</v>
      </c>
      <c r="J372" s="10" t="str">
        <f>IF(Student­­Performance[[#This Row],[Average Score]]&gt;=50,"Pass","Fail")</f>
        <v>Pass</v>
      </c>
      <c r="K37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37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37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372" s="4">
        <f>IF(ISNUMBER(Student­­Performance[[#This Row],[Math Score]]),Student­­Performance[[#This Row],[Math Score]],0)</f>
        <v>76</v>
      </c>
      <c r="O372" s="4">
        <f>IF(ISNUMBER(Student­­Performance[[#This Row],[Reading Score]]),Student­­Performance[[#This Row],[Reading Score]],0)</f>
        <v>73</v>
      </c>
      <c r="P372" s="4">
        <f>IF(ISNUMBER(Student­­Performance[[#This Row],[Writing Score]]),Student­­Performance[[#This Row],[Writing Score]],0)</f>
        <v>68</v>
      </c>
      <c r="Q372" s="4" t="str">
        <f>IF(Student­­Performance[[#This Row],[Math Score]]&gt;=50,"Pass","Fail")</f>
        <v>Pass</v>
      </c>
      <c r="R372" s="4" t="str">
        <f>IF(Student­­Performance[[#This Row],[Reading Score]]&gt;=50,"Pass","Fail")</f>
        <v>Pass</v>
      </c>
      <c r="S372" s="4" t="str">
        <f>IF(Student­­Performance[[#This Row],[Writing Score]]&gt;=50,"Pass","Fail")</f>
        <v>Pass</v>
      </c>
      <c r="T37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217</v>
      </c>
      <c r="U372" s="4" cm="1">
        <f t="array" ref="U372">IF(COUNT(F372:H372)=0,"", MAX(IF(ISNUMBER(F372:H372),F372:H372)) - MIN(IF(ISNUMBER(F372:H372),F372:H372)))</f>
        <v>8</v>
      </c>
      <c r="V372" s="4" t="str">
        <f>IF(U372="","",IF(U372&gt;25,"Outlier","Normal"))</f>
        <v>Normal</v>
      </c>
    </row>
    <row r="373" spans="1:22" x14ac:dyDescent="0.3">
      <c r="A373" s="1" t="s">
        <v>8</v>
      </c>
      <c r="B373" s="1" t="s">
        <v>26</v>
      </c>
      <c r="C373" s="1" t="s">
        <v>84</v>
      </c>
      <c r="D373" s="1" t="s">
        <v>20</v>
      </c>
      <c r="E373" s="1" t="s">
        <v>12</v>
      </c>
      <c r="F373" s="4">
        <v>71</v>
      </c>
      <c r="G373" s="4">
        <v>76</v>
      </c>
      <c r="H373" s="4">
        <v>70</v>
      </c>
      <c r="I373" s="4">
        <f>AVERAGE(Student­­Performance[[#This Row],[Math Score]],Student­­Performance[[#This Row],[Reading Score]],Student­­Performance[[#This Row],[Writing Score]])</f>
        <v>72.333333333333329</v>
      </c>
      <c r="J373" s="10" t="str">
        <f>IF(Student­­Performance[[#This Row],[Average Score]]&gt;=50,"Pass","Fail")</f>
        <v>Pass</v>
      </c>
      <c r="K37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37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37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373" s="4">
        <f>IF(ISNUMBER(Student­­Performance[[#This Row],[Math Score]]),Student­­Performance[[#This Row],[Math Score]],0)</f>
        <v>71</v>
      </c>
      <c r="O373" s="4">
        <f>IF(ISNUMBER(Student­­Performance[[#This Row],[Reading Score]]),Student­­Performance[[#This Row],[Reading Score]],0)</f>
        <v>76</v>
      </c>
      <c r="P373" s="4">
        <f>IF(ISNUMBER(Student­­Performance[[#This Row],[Writing Score]]),Student­­Performance[[#This Row],[Writing Score]],0)</f>
        <v>70</v>
      </c>
      <c r="Q373" s="4" t="str">
        <f>IF(Student­­Performance[[#This Row],[Math Score]]&gt;=50,"Pass","Fail")</f>
        <v>Pass</v>
      </c>
      <c r="R373" s="4" t="str">
        <f>IF(Student­­Performance[[#This Row],[Reading Score]]&gt;=50,"Pass","Fail")</f>
        <v>Pass</v>
      </c>
      <c r="S373" s="4" t="str">
        <f>IF(Student­­Performance[[#This Row],[Writing Score]]&gt;=50,"Pass","Fail")</f>
        <v>Pass</v>
      </c>
      <c r="T37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217</v>
      </c>
      <c r="U373" s="4" cm="1">
        <f t="array" ref="U373">IF(COUNT(F373:H373)=0,"", MAX(IF(ISNUMBER(F373:H373),F373:H373)) - MIN(IF(ISNUMBER(F373:H373),F373:H373)))</f>
        <v>6</v>
      </c>
      <c r="V373" s="4" t="str">
        <f>IF(U373="","",IF(U373&gt;25,"Outlier","Normal"))</f>
        <v>Normal</v>
      </c>
    </row>
    <row r="374" spans="1:22" x14ac:dyDescent="0.3">
      <c r="A374" s="1" t="s">
        <v>8</v>
      </c>
      <c r="B374" s="1" t="s">
        <v>26</v>
      </c>
      <c r="C374" s="1" t="s">
        <v>84</v>
      </c>
      <c r="D374" s="1" t="s">
        <v>11</v>
      </c>
      <c r="E374" s="1" t="s">
        <v>12</v>
      </c>
      <c r="F374" s="4">
        <v>71</v>
      </c>
      <c r="G374" s="4">
        <v>70</v>
      </c>
      <c r="H374" s="4">
        <v>76</v>
      </c>
      <c r="I374" s="4">
        <f>AVERAGE(Student­­Performance[[#This Row],[Math Score]],Student­­Performance[[#This Row],[Reading Score]],Student­­Performance[[#This Row],[Writing Score]])</f>
        <v>72.333333333333329</v>
      </c>
      <c r="J374" s="10" t="str">
        <f>IF(Student­­Performance[[#This Row],[Average Score]]&gt;=50,"Pass","Fail")</f>
        <v>Pass</v>
      </c>
      <c r="K37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37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37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374" s="4">
        <f>IF(ISNUMBER(Student­­Performance[[#This Row],[Math Score]]),Student­­Performance[[#This Row],[Math Score]],0)</f>
        <v>71</v>
      </c>
      <c r="O374" s="4">
        <f>IF(ISNUMBER(Student­­Performance[[#This Row],[Reading Score]]),Student­­Performance[[#This Row],[Reading Score]],0)</f>
        <v>70</v>
      </c>
      <c r="P374" s="4">
        <f>IF(ISNUMBER(Student­­Performance[[#This Row],[Writing Score]]),Student­­Performance[[#This Row],[Writing Score]],0)</f>
        <v>76</v>
      </c>
      <c r="Q374" s="4" t="str">
        <f>IF(Student­­Performance[[#This Row],[Math Score]]&gt;=50,"Pass","Fail")</f>
        <v>Pass</v>
      </c>
      <c r="R374" s="4" t="str">
        <f>IF(Student­­Performance[[#This Row],[Reading Score]]&gt;=50,"Pass","Fail")</f>
        <v>Pass</v>
      </c>
      <c r="S374" s="4" t="str">
        <f>IF(Student­­Performance[[#This Row],[Writing Score]]&gt;=50,"Pass","Fail")</f>
        <v>Pass</v>
      </c>
      <c r="T37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217</v>
      </c>
      <c r="U374" s="4" cm="1">
        <f t="array" ref="U374">IF(COUNT(F374:H374)=0,"", MAX(IF(ISNUMBER(F374:H374),F374:H374)) - MIN(IF(ISNUMBER(F374:H374),F374:H374)))</f>
        <v>6</v>
      </c>
      <c r="V374" s="4" t="str">
        <f>IF(U374="","",IF(U374&gt;25,"Outlier","Normal"))</f>
        <v>Normal</v>
      </c>
    </row>
    <row r="375" spans="1:22" x14ac:dyDescent="0.3">
      <c r="A375" s="1" t="s">
        <v>8</v>
      </c>
      <c r="B375" s="1" t="s">
        <v>13</v>
      </c>
      <c r="C375" s="1" t="s">
        <v>86</v>
      </c>
      <c r="D375" s="1" t="s">
        <v>11</v>
      </c>
      <c r="E375" s="1" t="s">
        <v>12</v>
      </c>
      <c r="F375" s="4">
        <v>65</v>
      </c>
      <c r="G375" s="4">
        <v>76</v>
      </c>
      <c r="H375" s="4">
        <v>76</v>
      </c>
      <c r="I375" s="4">
        <f>AVERAGE(Student­­Performance[[#This Row],[Math Score]],Student­­Performance[[#This Row],[Reading Score]],Student­­Performance[[#This Row],[Writing Score]])</f>
        <v>72.333333333333329</v>
      </c>
      <c r="J375" s="10" t="str">
        <f>IF(Student­­Performance[[#This Row],[Average Score]]&gt;=50,"Pass","Fail")</f>
        <v>Pass</v>
      </c>
      <c r="K37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37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37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375" s="4">
        <f>IF(ISNUMBER(Student­­Performance[[#This Row],[Math Score]]),Student­­Performance[[#This Row],[Math Score]],0)</f>
        <v>65</v>
      </c>
      <c r="O375" s="4">
        <f>IF(ISNUMBER(Student­­Performance[[#This Row],[Reading Score]]),Student­­Performance[[#This Row],[Reading Score]],0)</f>
        <v>76</v>
      </c>
      <c r="P375" s="4">
        <f>IF(ISNUMBER(Student­­Performance[[#This Row],[Writing Score]]),Student­­Performance[[#This Row],[Writing Score]],0)</f>
        <v>76</v>
      </c>
      <c r="Q375" s="4" t="str">
        <f>IF(Student­­Performance[[#This Row],[Math Score]]&gt;=50,"Pass","Fail")</f>
        <v>Pass</v>
      </c>
      <c r="R375" s="4" t="str">
        <f>IF(Student­­Performance[[#This Row],[Reading Score]]&gt;=50,"Pass","Fail")</f>
        <v>Pass</v>
      </c>
      <c r="S375" s="4" t="str">
        <f>IF(Student­­Performance[[#This Row],[Writing Score]]&gt;=50,"Pass","Fail")</f>
        <v>Pass</v>
      </c>
      <c r="T37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217</v>
      </c>
      <c r="U375" s="4" cm="1">
        <f t="array" ref="U375">IF(COUNT(F375:H375)=0,"", MAX(IF(ISNUMBER(F375:H375),F375:H375)) - MIN(IF(ISNUMBER(F375:H375),F375:H375)))</f>
        <v>11</v>
      </c>
      <c r="V375" s="4" t="str">
        <f>IF(U375="","",IF(U375&gt;25,"Outlier","Normal"))</f>
        <v>Normal</v>
      </c>
    </row>
    <row r="376" spans="1:22" x14ac:dyDescent="0.3">
      <c r="A376" s="1" t="s">
        <v>8</v>
      </c>
      <c r="B376" s="1" t="s">
        <v>26</v>
      </c>
      <c r="C376" s="1" t="s">
        <v>86</v>
      </c>
      <c r="D376" s="1" t="s">
        <v>11</v>
      </c>
      <c r="E376" s="1" t="s">
        <v>15</v>
      </c>
      <c r="F376" s="4">
        <v>65</v>
      </c>
      <c r="G376" s="4">
        <v>75</v>
      </c>
      <c r="H376" s="4">
        <v>77</v>
      </c>
      <c r="I376" s="4">
        <f>AVERAGE(Student­­Performance[[#This Row],[Math Score]],Student­­Performance[[#This Row],[Reading Score]],Student­­Performance[[#This Row],[Writing Score]])</f>
        <v>72.333333333333329</v>
      </c>
      <c r="J376" s="10" t="str">
        <f>IF(Student­­Performance[[#This Row],[Average Score]]&gt;=50,"Pass","Fail")</f>
        <v>Pass</v>
      </c>
      <c r="K37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37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37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376" s="4">
        <f>IF(ISNUMBER(Student­­Performance[[#This Row],[Math Score]]),Student­­Performance[[#This Row],[Math Score]],0)</f>
        <v>65</v>
      </c>
      <c r="O376" s="4">
        <f>IF(ISNUMBER(Student­­Performance[[#This Row],[Reading Score]]),Student­­Performance[[#This Row],[Reading Score]],0)</f>
        <v>75</v>
      </c>
      <c r="P376" s="4">
        <f>IF(ISNUMBER(Student­­Performance[[#This Row],[Writing Score]]),Student­­Performance[[#This Row],[Writing Score]],0)</f>
        <v>77</v>
      </c>
      <c r="Q376" s="4" t="str">
        <f>IF(Student­­Performance[[#This Row],[Math Score]]&gt;=50,"Pass","Fail")</f>
        <v>Pass</v>
      </c>
      <c r="R376" s="4" t="str">
        <f>IF(Student­­Performance[[#This Row],[Reading Score]]&gt;=50,"Pass","Fail")</f>
        <v>Pass</v>
      </c>
      <c r="S376" s="4" t="str">
        <f>IF(Student­­Performance[[#This Row],[Writing Score]]&gt;=50,"Pass","Fail")</f>
        <v>Pass</v>
      </c>
      <c r="T37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217</v>
      </c>
      <c r="U376" s="4" cm="1">
        <f t="array" ref="U376">IF(COUNT(F376:H376)=0,"", MAX(IF(ISNUMBER(F376:H376),F376:H376)) - MIN(IF(ISNUMBER(F376:H376),F376:H376)))</f>
        <v>12</v>
      </c>
      <c r="V376" s="4" t="str">
        <f>IF(U376="","",IF(U376&gt;25,"Outlier","Normal"))</f>
        <v>Normal</v>
      </c>
    </row>
    <row r="377" spans="1:22" x14ac:dyDescent="0.3">
      <c r="A377" s="1" t="s">
        <v>8</v>
      </c>
      <c r="B377" s="1" t="s">
        <v>21</v>
      </c>
      <c r="C377" s="1" t="s">
        <v>86</v>
      </c>
      <c r="D377" s="1" t="s">
        <v>11</v>
      </c>
      <c r="E377" s="1" t="s">
        <v>12</v>
      </c>
      <c r="F377" s="4">
        <v>71</v>
      </c>
      <c r="G377" s="4">
        <v>71</v>
      </c>
      <c r="H377" s="4">
        <v>74</v>
      </c>
      <c r="I377" s="4">
        <f>AVERAGE(Student­­Performance[[#This Row],[Math Score]],Student­­Performance[[#This Row],[Reading Score]],Student­­Performance[[#This Row],[Writing Score]])</f>
        <v>72</v>
      </c>
      <c r="J377" s="10" t="str">
        <f>IF(Student­­Performance[[#This Row],[Average Score]]&gt;=50,"Pass","Fail")</f>
        <v>Pass</v>
      </c>
      <c r="K37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37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37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377" s="4">
        <f>IF(ISNUMBER(Student­­Performance[[#This Row],[Math Score]]),Student­­Performance[[#This Row],[Math Score]],0)</f>
        <v>71</v>
      </c>
      <c r="O377" s="4">
        <f>IF(ISNUMBER(Student­­Performance[[#This Row],[Reading Score]]),Student­­Performance[[#This Row],[Reading Score]],0)</f>
        <v>71</v>
      </c>
      <c r="P377" s="4">
        <f>IF(ISNUMBER(Student­­Performance[[#This Row],[Writing Score]]),Student­­Performance[[#This Row],[Writing Score]],0)</f>
        <v>74</v>
      </c>
      <c r="Q377" s="4" t="str">
        <f>IF(Student­­Performance[[#This Row],[Math Score]]&gt;=50,"Pass","Fail")</f>
        <v>Pass</v>
      </c>
      <c r="R377" s="4" t="str">
        <f>IF(Student­­Performance[[#This Row],[Reading Score]]&gt;=50,"Pass","Fail")</f>
        <v>Pass</v>
      </c>
      <c r="S377" s="4" t="str">
        <f>IF(Student­­Performance[[#This Row],[Writing Score]]&gt;=50,"Pass","Fail")</f>
        <v>Pass</v>
      </c>
      <c r="T37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216</v>
      </c>
      <c r="U377" s="4" cm="1">
        <f t="array" ref="U377">IF(COUNT(F377:H377)=0,"", MAX(IF(ISNUMBER(F377:H377),F377:H377)) - MIN(IF(ISNUMBER(F377:H377),F377:H377)))</f>
        <v>3</v>
      </c>
      <c r="V377" s="4" t="str">
        <f>IF(U377="","",IF(U377&gt;25,"Outlier","Normal"))</f>
        <v>Normal</v>
      </c>
    </row>
    <row r="378" spans="1:22" x14ac:dyDescent="0.3">
      <c r="A378" s="1" t="s">
        <v>17</v>
      </c>
      <c r="B378" s="1" t="s">
        <v>21</v>
      </c>
      <c r="C378" s="1" t="s">
        <v>83</v>
      </c>
      <c r="D378" s="1" t="s">
        <v>11</v>
      </c>
      <c r="E378" s="1" t="s">
        <v>15</v>
      </c>
      <c r="F378" s="4">
        <v>68</v>
      </c>
      <c r="G378" s="4">
        <v>74</v>
      </c>
      <c r="H378" s="4">
        <v>74</v>
      </c>
      <c r="I378" s="4">
        <f>AVERAGE(Student­­Performance[[#This Row],[Math Score]],Student­­Performance[[#This Row],[Reading Score]],Student­­Performance[[#This Row],[Writing Score]])</f>
        <v>72</v>
      </c>
      <c r="J378" s="10" t="str">
        <f>IF(Student­­Performance[[#This Row],[Average Score]]&gt;=50,"Pass","Fail")</f>
        <v>Pass</v>
      </c>
      <c r="K37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37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37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378" s="4">
        <f>IF(ISNUMBER(Student­­Performance[[#This Row],[Math Score]]),Student­­Performance[[#This Row],[Math Score]],0)</f>
        <v>68</v>
      </c>
      <c r="O378" s="4">
        <f>IF(ISNUMBER(Student­­Performance[[#This Row],[Reading Score]]),Student­­Performance[[#This Row],[Reading Score]],0)</f>
        <v>74</v>
      </c>
      <c r="P378" s="4">
        <f>IF(ISNUMBER(Student­­Performance[[#This Row],[Writing Score]]),Student­­Performance[[#This Row],[Writing Score]],0)</f>
        <v>74</v>
      </c>
      <c r="Q378" s="4" t="str">
        <f>IF(Student­­Performance[[#This Row],[Math Score]]&gt;=50,"Pass","Fail")</f>
        <v>Pass</v>
      </c>
      <c r="R378" s="4" t="str">
        <f>IF(Student­­Performance[[#This Row],[Reading Score]]&gt;=50,"Pass","Fail")</f>
        <v>Pass</v>
      </c>
      <c r="S378" s="4" t="str">
        <f>IF(Student­­Performance[[#This Row],[Writing Score]]&gt;=50,"Pass","Fail")</f>
        <v>Pass</v>
      </c>
      <c r="T37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216</v>
      </c>
      <c r="U378" s="4" cm="1">
        <f t="array" ref="U378">IF(COUNT(F378:H378)=0,"", MAX(IF(ISNUMBER(F378:H378),F378:H378)) - MIN(IF(ISNUMBER(F378:H378),F378:H378)))</f>
        <v>6</v>
      </c>
      <c r="V378" s="4" t="str">
        <f>IF(U378="","",IF(U378&gt;25,"Outlier","Normal"))</f>
        <v>Normal</v>
      </c>
    </row>
    <row r="379" spans="1:22" x14ac:dyDescent="0.3">
      <c r="A379" s="1" t="s">
        <v>17</v>
      </c>
      <c r="B379" s="1" t="s">
        <v>21</v>
      </c>
      <c r="C379" s="1" t="s">
        <v>84</v>
      </c>
      <c r="D379" s="1" t="s">
        <v>11</v>
      </c>
      <c r="E379" s="1" t="s">
        <v>15</v>
      </c>
      <c r="F379" s="4">
        <v>65</v>
      </c>
      <c r="G379" s="4">
        <v>77</v>
      </c>
      <c r="H379" s="4">
        <v>74</v>
      </c>
      <c r="I379" s="4">
        <f>AVERAGE(Student­­Performance[[#This Row],[Math Score]],Student­­Performance[[#This Row],[Reading Score]],Student­­Performance[[#This Row],[Writing Score]])</f>
        <v>72</v>
      </c>
      <c r="J379" s="10" t="str">
        <f>IF(Student­­Performance[[#This Row],[Average Score]]&gt;=50,"Pass","Fail")</f>
        <v>Pass</v>
      </c>
      <c r="K37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37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37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379" s="4">
        <f>IF(ISNUMBER(Student­­Performance[[#This Row],[Math Score]]),Student­­Performance[[#This Row],[Math Score]],0)</f>
        <v>65</v>
      </c>
      <c r="O379" s="4">
        <f>IF(ISNUMBER(Student­­Performance[[#This Row],[Reading Score]]),Student­­Performance[[#This Row],[Reading Score]],0)</f>
        <v>77</v>
      </c>
      <c r="P379" s="4">
        <f>IF(ISNUMBER(Student­­Performance[[#This Row],[Writing Score]]),Student­­Performance[[#This Row],[Writing Score]],0)</f>
        <v>74</v>
      </c>
      <c r="Q379" s="4" t="str">
        <f>IF(Student­­Performance[[#This Row],[Math Score]]&gt;=50,"Pass","Fail")</f>
        <v>Pass</v>
      </c>
      <c r="R379" s="4" t="str">
        <f>IF(Student­­Performance[[#This Row],[Reading Score]]&gt;=50,"Pass","Fail")</f>
        <v>Pass</v>
      </c>
      <c r="S379" s="4" t="str">
        <f>IF(Student­­Performance[[#This Row],[Writing Score]]&gt;=50,"Pass","Fail")</f>
        <v>Pass</v>
      </c>
      <c r="T37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216</v>
      </c>
      <c r="U379" s="4" cm="1">
        <f t="array" ref="U379">IF(COUNT(F379:H379)=0,"", MAX(IF(ISNUMBER(F379:H379),F379:H379)) - MIN(IF(ISNUMBER(F379:H379),F379:H379)))</f>
        <v>12</v>
      </c>
      <c r="V379" s="4" t="str">
        <f>IF(U379="","",IF(U379&gt;25,"Outlier","Normal"))</f>
        <v>Normal</v>
      </c>
    </row>
    <row r="380" spans="1:22" x14ac:dyDescent="0.3">
      <c r="A380" s="1" t="s">
        <v>8</v>
      </c>
      <c r="B380" s="1" t="s">
        <v>13</v>
      </c>
      <c r="C380" s="1" t="s">
        <v>88</v>
      </c>
      <c r="D380" s="1" t="s">
        <v>11</v>
      </c>
      <c r="E380" s="1" t="s">
        <v>15</v>
      </c>
      <c r="F380" s="4">
        <v>65</v>
      </c>
      <c r="G380" s="4">
        <v>74</v>
      </c>
      <c r="H380" s="4">
        <v>77</v>
      </c>
      <c r="I380" s="4">
        <f>AVERAGE(Student­­Performance[[#This Row],[Math Score]],Student­­Performance[[#This Row],[Reading Score]],Student­­Performance[[#This Row],[Writing Score]])</f>
        <v>72</v>
      </c>
      <c r="J380" s="10" t="str">
        <f>IF(Student­­Performance[[#This Row],[Average Score]]&gt;=50,"Pass","Fail")</f>
        <v>Pass</v>
      </c>
      <c r="K38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38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38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380" s="4">
        <f>IF(ISNUMBER(Student­­Performance[[#This Row],[Math Score]]),Student­­Performance[[#This Row],[Math Score]],0)</f>
        <v>65</v>
      </c>
      <c r="O380" s="4">
        <f>IF(ISNUMBER(Student­­Performance[[#This Row],[Reading Score]]),Student­­Performance[[#This Row],[Reading Score]],0)</f>
        <v>74</v>
      </c>
      <c r="P380" s="4">
        <f>IF(ISNUMBER(Student­­Performance[[#This Row],[Writing Score]]),Student­­Performance[[#This Row],[Writing Score]],0)</f>
        <v>77</v>
      </c>
      <c r="Q380" s="4" t="str">
        <f>IF(Student­­Performance[[#This Row],[Math Score]]&gt;=50,"Pass","Fail")</f>
        <v>Pass</v>
      </c>
      <c r="R380" s="4" t="str">
        <f>IF(Student­­Performance[[#This Row],[Reading Score]]&gt;=50,"Pass","Fail")</f>
        <v>Pass</v>
      </c>
      <c r="S380" s="4" t="str">
        <f>IF(Student­­Performance[[#This Row],[Writing Score]]&gt;=50,"Pass","Fail")</f>
        <v>Pass</v>
      </c>
      <c r="T38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216</v>
      </c>
      <c r="U380" s="4" cm="1">
        <f t="array" ref="U380">IF(COUNT(F380:H380)=0,"", MAX(IF(ISNUMBER(F380:H380),F380:H380)) - MIN(IF(ISNUMBER(F380:H380),F380:H380)))</f>
        <v>12</v>
      </c>
      <c r="V380" s="4" t="str">
        <f>IF(U380="","",IF(U380&gt;25,"Outlier","Normal"))</f>
        <v>Normal</v>
      </c>
    </row>
    <row r="381" spans="1:22" x14ac:dyDescent="0.3">
      <c r="A381" s="1" t="s">
        <v>8</v>
      </c>
      <c r="B381" s="1" t="s">
        <v>13</v>
      </c>
      <c r="C381" s="1" t="s">
        <v>86</v>
      </c>
      <c r="D381" s="1" t="s">
        <v>20</v>
      </c>
      <c r="E381" s="1" t="s">
        <v>12</v>
      </c>
      <c r="F381" s="4">
        <v>65</v>
      </c>
      <c r="G381" s="4">
        <v>77</v>
      </c>
      <c r="H381" s="4">
        <v>74</v>
      </c>
      <c r="I381" s="4">
        <f>AVERAGE(Student­­Performance[[#This Row],[Math Score]],Student­­Performance[[#This Row],[Reading Score]],Student­­Performance[[#This Row],[Writing Score]])</f>
        <v>72</v>
      </c>
      <c r="J381" s="10" t="str">
        <f>IF(Student­­Performance[[#This Row],[Average Score]]&gt;=50,"Pass","Fail")</f>
        <v>Pass</v>
      </c>
      <c r="K38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38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38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381" s="4">
        <f>IF(ISNUMBER(Student­­Performance[[#This Row],[Math Score]]),Student­­Performance[[#This Row],[Math Score]],0)</f>
        <v>65</v>
      </c>
      <c r="O381" s="4">
        <f>IF(ISNUMBER(Student­­Performance[[#This Row],[Reading Score]]),Student­­Performance[[#This Row],[Reading Score]],0)</f>
        <v>77</v>
      </c>
      <c r="P381" s="4">
        <f>IF(ISNUMBER(Student­­Performance[[#This Row],[Writing Score]]),Student­­Performance[[#This Row],[Writing Score]],0)</f>
        <v>74</v>
      </c>
      <c r="Q381" s="4" t="str">
        <f>IF(Student­­Performance[[#This Row],[Math Score]]&gt;=50,"Pass","Fail")</f>
        <v>Pass</v>
      </c>
      <c r="R381" s="4" t="str">
        <f>IF(Student­­Performance[[#This Row],[Reading Score]]&gt;=50,"Pass","Fail")</f>
        <v>Pass</v>
      </c>
      <c r="S381" s="4" t="str">
        <f>IF(Student­­Performance[[#This Row],[Writing Score]]&gt;=50,"Pass","Fail")</f>
        <v>Pass</v>
      </c>
      <c r="T38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216</v>
      </c>
      <c r="U381" s="4" cm="1">
        <f t="array" ref="U381">IF(COUNT(F381:H381)=0,"", MAX(IF(ISNUMBER(F381:H381),F381:H381)) - MIN(IF(ISNUMBER(F381:H381),F381:H381)))</f>
        <v>12</v>
      </c>
      <c r="V381" s="4" t="str">
        <f>IF(U381="","",IF(U381&gt;25,"Outlier","Normal"))</f>
        <v>Normal</v>
      </c>
    </row>
    <row r="382" spans="1:22" x14ac:dyDescent="0.3">
      <c r="A382" s="1" t="s">
        <v>17</v>
      </c>
      <c r="B382" s="1" t="s">
        <v>9</v>
      </c>
      <c r="C382" s="1" t="s">
        <v>84</v>
      </c>
      <c r="D382" s="1" t="s">
        <v>11</v>
      </c>
      <c r="E382" s="1" t="s">
        <v>15</v>
      </c>
      <c r="F382" s="4">
        <v>71</v>
      </c>
      <c r="G382" s="4">
        <v>75</v>
      </c>
      <c r="H382" s="4">
        <v>70</v>
      </c>
      <c r="I382" s="4">
        <f>AVERAGE(Student­­Performance[[#This Row],[Math Score]],Student­­Performance[[#This Row],[Reading Score]],Student­­Performance[[#This Row],[Writing Score]])</f>
        <v>72</v>
      </c>
      <c r="J382" s="10" t="str">
        <f>IF(Student­­Performance[[#This Row],[Average Score]]&gt;=50,"Pass","Fail")</f>
        <v>Pass</v>
      </c>
      <c r="K38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38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38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382" s="4">
        <f>IF(ISNUMBER(Student­­Performance[[#This Row],[Math Score]]),Student­­Performance[[#This Row],[Math Score]],0)</f>
        <v>71</v>
      </c>
      <c r="O382" s="4">
        <f>IF(ISNUMBER(Student­­Performance[[#This Row],[Reading Score]]),Student­­Performance[[#This Row],[Reading Score]],0)</f>
        <v>75</v>
      </c>
      <c r="P382" s="4">
        <f>IF(ISNUMBER(Student­­Performance[[#This Row],[Writing Score]]),Student­­Performance[[#This Row],[Writing Score]],0)</f>
        <v>70</v>
      </c>
      <c r="Q382" s="4" t="str">
        <f>IF(Student­­Performance[[#This Row],[Math Score]]&gt;=50,"Pass","Fail")</f>
        <v>Pass</v>
      </c>
      <c r="R382" s="4" t="str">
        <f>IF(Student­­Performance[[#This Row],[Reading Score]]&gt;=50,"Pass","Fail")</f>
        <v>Pass</v>
      </c>
      <c r="S382" s="4" t="str">
        <f>IF(Student­­Performance[[#This Row],[Writing Score]]&gt;=50,"Pass","Fail")</f>
        <v>Pass</v>
      </c>
      <c r="T38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216</v>
      </c>
      <c r="U382" s="4" cm="1">
        <f t="array" ref="U382">IF(COUNT(F382:H382)=0,"", MAX(IF(ISNUMBER(F382:H382),F382:H382)) - MIN(IF(ISNUMBER(F382:H382),F382:H382)))</f>
        <v>5</v>
      </c>
      <c r="V382" s="4" t="str">
        <f>IF(U382="","",IF(U382&gt;25,"Outlier","Normal"))</f>
        <v>Normal</v>
      </c>
    </row>
    <row r="383" spans="1:22" x14ac:dyDescent="0.3">
      <c r="A383" s="1" t="s">
        <v>8</v>
      </c>
      <c r="B383" s="1" t="s">
        <v>13</v>
      </c>
      <c r="C383" s="1" t="s">
        <v>86</v>
      </c>
      <c r="D383" s="1" t="s">
        <v>11</v>
      </c>
      <c r="E383" s="1" t="s">
        <v>12</v>
      </c>
      <c r="F383" s="4">
        <v>65</v>
      </c>
      <c r="G383" s="4">
        <v>77</v>
      </c>
      <c r="H383" s="4">
        <v>74</v>
      </c>
      <c r="I383" s="4">
        <f>AVERAGE(Student­­Performance[[#This Row],[Math Score]],Student­­Performance[[#This Row],[Reading Score]],Student­­Performance[[#This Row],[Writing Score]])</f>
        <v>72</v>
      </c>
      <c r="J383" s="10" t="str">
        <f>IF(Student­­Performance[[#This Row],[Average Score]]&gt;=50,"Pass","Fail")</f>
        <v>Pass</v>
      </c>
      <c r="K38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38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38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383" s="4">
        <f>IF(ISNUMBER(Student­­Performance[[#This Row],[Math Score]]),Student­­Performance[[#This Row],[Math Score]],0)</f>
        <v>65</v>
      </c>
      <c r="O383" s="4">
        <f>IF(ISNUMBER(Student­­Performance[[#This Row],[Reading Score]]),Student­­Performance[[#This Row],[Reading Score]],0)</f>
        <v>77</v>
      </c>
      <c r="P383" s="4">
        <f>IF(ISNUMBER(Student­­Performance[[#This Row],[Writing Score]]),Student­­Performance[[#This Row],[Writing Score]],0)</f>
        <v>74</v>
      </c>
      <c r="Q383" s="4" t="str">
        <f>IF(Student­­Performance[[#This Row],[Math Score]]&gt;=50,"Pass","Fail")</f>
        <v>Pass</v>
      </c>
      <c r="R383" s="4" t="str">
        <f>IF(Student­­Performance[[#This Row],[Reading Score]]&gt;=50,"Pass","Fail")</f>
        <v>Pass</v>
      </c>
      <c r="S383" s="4" t="str">
        <f>IF(Student­­Performance[[#This Row],[Writing Score]]&gt;=50,"Pass","Fail")</f>
        <v>Pass</v>
      </c>
      <c r="T38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216</v>
      </c>
      <c r="U383" s="4" cm="1">
        <f t="array" ref="U383">IF(COUNT(F383:H383)=0,"", MAX(IF(ISNUMBER(F383:H383),F383:H383)) - MIN(IF(ISNUMBER(F383:H383),F383:H383)))</f>
        <v>12</v>
      </c>
      <c r="V383" s="4" t="str">
        <f>IF(U383="","",IF(U383&gt;25,"Outlier","Normal"))</f>
        <v>Normal</v>
      </c>
    </row>
    <row r="384" spans="1:22" x14ac:dyDescent="0.3">
      <c r="A384" s="1" t="s">
        <v>8</v>
      </c>
      <c r="B384" s="1" t="s">
        <v>13</v>
      </c>
      <c r="C384" s="1" t="s">
        <v>86</v>
      </c>
      <c r="D384" s="1" t="s">
        <v>11</v>
      </c>
      <c r="E384" s="1" t="s">
        <v>12</v>
      </c>
      <c r="F384" s="4">
        <v>66</v>
      </c>
      <c r="G384" s="4">
        <v>77</v>
      </c>
      <c r="H384" s="4">
        <v>73</v>
      </c>
      <c r="I384" s="4">
        <f>AVERAGE(Student­­Performance[[#This Row],[Math Score]],Student­­Performance[[#This Row],[Reading Score]],Student­­Performance[[#This Row],[Writing Score]])</f>
        <v>72</v>
      </c>
      <c r="J384" s="10" t="str">
        <f>IF(Student­­Performance[[#This Row],[Average Score]]&gt;=50,"Pass","Fail")</f>
        <v>Pass</v>
      </c>
      <c r="K38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38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38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384" s="4">
        <f>IF(ISNUMBER(Student­­Performance[[#This Row],[Math Score]]),Student­­Performance[[#This Row],[Math Score]],0)</f>
        <v>66</v>
      </c>
      <c r="O384" s="4">
        <f>IF(ISNUMBER(Student­­Performance[[#This Row],[Reading Score]]),Student­­Performance[[#This Row],[Reading Score]],0)</f>
        <v>77</v>
      </c>
      <c r="P384" s="4">
        <f>IF(ISNUMBER(Student­­Performance[[#This Row],[Writing Score]]),Student­­Performance[[#This Row],[Writing Score]],0)</f>
        <v>73</v>
      </c>
      <c r="Q384" s="4" t="str">
        <f>IF(Student­­Performance[[#This Row],[Math Score]]&gt;=50,"Pass","Fail")</f>
        <v>Pass</v>
      </c>
      <c r="R384" s="4" t="str">
        <f>IF(Student­­Performance[[#This Row],[Reading Score]]&gt;=50,"Pass","Fail")</f>
        <v>Pass</v>
      </c>
      <c r="S384" s="4" t="str">
        <f>IF(Student­­Performance[[#This Row],[Writing Score]]&gt;=50,"Pass","Fail")</f>
        <v>Pass</v>
      </c>
      <c r="T38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216</v>
      </c>
      <c r="U384" s="4" cm="1">
        <f t="array" ref="U384">IF(COUNT(F384:H384)=0,"", MAX(IF(ISNUMBER(F384:H384),F384:H384)) - MIN(IF(ISNUMBER(F384:H384),F384:H384)))</f>
        <v>11</v>
      </c>
      <c r="V384" s="4" t="str">
        <f>IF(U384="","",IF(U384&gt;25,"Outlier","Normal"))</f>
        <v>Normal</v>
      </c>
    </row>
    <row r="385" spans="1:22" x14ac:dyDescent="0.3">
      <c r="A385" s="1" t="s">
        <v>8</v>
      </c>
      <c r="B385" s="1" t="s">
        <v>13</v>
      </c>
      <c r="C385" s="1" t="s">
        <v>88</v>
      </c>
      <c r="D385" s="1" t="s">
        <v>20</v>
      </c>
      <c r="E385" s="1" t="s">
        <v>15</v>
      </c>
      <c r="F385" s="4">
        <v>65</v>
      </c>
      <c r="G385" s="4">
        <v>76</v>
      </c>
      <c r="H385" s="4">
        <v>75</v>
      </c>
      <c r="I385" s="4">
        <f>AVERAGE(Student­­Performance[[#This Row],[Math Score]],Student­­Performance[[#This Row],[Reading Score]],Student­­Performance[[#This Row],[Writing Score]])</f>
        <v>72</v>
      </c>
      <c r="J385" s="10" t="str">
        <f>IF(Student­­Performance[[#This Row],[Average Score]]&gt;=50,"Pass","Fail")</f>
        <v>Pass</v>
      </c>
      <c r="K38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38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38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385" s="4">
        <f>IF(ISNUMBER(Student­­Performance[[#This Row],[Math Score]]),Student­­Performance[[#This Row],[Math Score]],0)</f>
        <v>65</v>
      </c>
      <c r="O385" s="4">
        <f>IF(ISNUMBER(Student­­Performance[[#This Row],[Reading Score]]),Student­­Performance[[#This Row],[Reading Score]],0)</f>
        <v>76</v>
      </c>
      <c r="P385" s="4">
        <f>IF(ISNUMBER(Student­­Performance[[#This Row],[Writing Score]]),Student­­Performance[[#This Row],[Writing Score]],0)</f>
        <v>75</v>
      </c>
      <c r="Q385" s="4" t="str">
        <f>IF(Student­­Performance[[#This Row],[Math Score]]&gt;=50,"Pass","Fail")</f>
        <v>Pass</v>
      </c>
      <c r="R385" s="4" t="str">
        <f>IF(Student­­Performance[[#This Row],[Reading Score]]&gt;=50,"Pass","Fail")</f>
        <v>Pass</v>
      </c>
      <c r="S385" s="4" t="str">
        <f>IF(Student­­Performance[[#This Row],[Writing Score]]&gt;=50,"Pass","Fail")</f>
        <v>Pass</v>
      </c>
      <c r="T38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216</v>
      </c>
      <c r="U385" s="4" cm="1">
        <f t="array" ref="U385">IF(COUNT(F385:H385)=0,"", MAX(IF(ISNUMBER(F385:H385),F385:H385)) - MIN(IF(ISNUMBER(F385:H385),F385:H385)))</f>
        <v>11</v>
      </c>
      <c r="V385" s="4" t="str">
        <f>IF(U385="","",IF(U385&gt;25,"Outlier","Normal"))</f>
        <v>Normal</v>
      </c>
    </row>
    <row r="386" spans="1:22" x14ac:dyDescent="0.3">
      <c r="A386" s="1" t="s">
        <v>8</v>
      </c>
      <c r="B386" s="1" t="s">
        <v>13</v>
      </c>
      <c r="C386" s="1" t="s">
        <v>88</v>
      </c>
      <c r="D386" s="1" t="s">
        <v>11</v>
      </c>
      <c r="E386" s="1" t="s">
        <v>12</v>
      </c>
      <c r="F386" s="4">
        <v>69</v>
      </c>
      <c r="G386" s="4">
        <v>73</v>
      </c>
      <c r="H386" s="4">
        <v>73</v>
      </c>
      <c r="I386" s="4">
        <f>AVERAGE(Student­­Performance[[#This Row],[Math Score]],Student­­Performance[[#This Row],[Reading Score]],Student­­Performance[[#This Row],[Writing Score]])</f>
        <v>71.666666666666671</v>
      </c>
      <c r="J386" s="10" t="str">
        <f>IF(Student­­Performance[[#This Row],[Average Score]]&gt;=50,"Pass","Fail")</f>
        <v>Pass</v>
      </c>
      <c r="K38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38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38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386" s="4">
        <f>IF(ISNUMBER(Student­­Performance[[#This Row],[Math Score]]),Student­­Performance[[#This Row],[Math Score]],0)</f>
        <v>69</v>
      </c>
      <c r="O386" s="4">
        <f>IF(ISNUMBER(Student­­Performance[[#This Row],[Reading Score]]),Student­­Performance[[#This Row],[Reading Score]],0)</f>
        <v>73</v>
      </c>
      <c r="P386" s="4">
        <f>IF(ISNUMBER(Student­­Performance[[#This Row],[Writing Score]]),Student­­Performance[[#This Row],[Writing Score]],0)</f>
        <v>73</v>
      </c>
      <c r="Q386" s="4" t="str">
        <f>IF(Student­­Performance[[#This Row],[Math Score]]&gt;=50,"Pass","Fail")</f>
        <v>Pass</v>
      </c>
      <c r="R386" s="4" t="str">
        <f>IF(Student­­Performance[[#This Row],[Reading Score]]&gt;=50,"Pass","Fail")</f>
        <v>Pass</v>
      </c>
      <c r="S386" s="4" t="str">
        <f>IF(Student­­Performance[[#This Row],[Writing Score]]&gt;=50,"Pass","Fail")</f>
        <v>Pass</v>
      </c>
      <c r="T38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215</v>
      </c>
      <c r="U386" s="4" cm="1">
        <f t="array" ref="U386">IF(COUNT(F386:H386)=0,"", MAX(IF(ISNUMBER(F386:H386),F386:H386)) - MIN(IF(ISNUMBER(F386:H386),F386:H386)))</f>
        <v>4</v>
      </c>
      <c r="V386" s="4" t="str">
        <f>IF(U386="","",IF(U386&gt;25,"Outlier","Normal"))</f>
        <v>Normal</v>
      </c>
    </row>
    <row r="387" spans="1:22" x14ac:dyDescent="0.3">
      <c r="A387" s="1" t="s">
        <v>17</v>
      </c>
      <c r="B387" s="1" t="s">
        <v>13</v>
      </c>
      <c r="C387" s="1" t="s">
        <v>86</v>
      </c>
      <c r="D387" s="1" t="s">
        <v>11</v>
      </c>
      <c r="E387" s="1" t="s">
        <v>12</v>
      </c>
      <c r="F387" s="4">
        <v>69</v>
      </c>
      <c r="G387" s="4">
        <v>77</v>
      </c>
      <c r="H387" s="4">
        <v>69</v>
      </c>
      <c r="I387" s="4">
        <f>AVERAGE(Student­­Performance[[#This Row],[Math Score]],Student­­Performance[[#This Row],[Reading Score]],Student­­Performance[[#This Row],[Writing Score]])</f>
        <v>71.666666666666671</v>
      </c>
      <c r="J387" s="10" t="str">
        <f>IF(Student­­Performance[[#This Row],[Average Score]]&gt;=50,"Pass","Fail")</f>
        <v>Pass</v>
      </c>
      <c r="K38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38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-8</v>
      </c>
      <c r="M38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387" s="4">
        <f>IF(ISNUMBER(Student­­Performance[[#This Row],[Math Score]]),Student­­Performance[[#This Row],[Math Score]],0)</f>
        <v>69</v>
      </c>
      <c r="O387" s="4">
        <f>IF(ISNUMBER(Student­­Performance[[#This Row],[Reading Score]]),Student­­Performance[[#This Row],[Reading Score]],0)</f>
        <v>77</v>
      </c>
      <c r="P387" s="4">
        <f>IF(ISNUMBER(Student­­Performance[[#This Row],[Writing Score]]),Student­­Performance[[#This Row],[Writing Score]],0)</f>
        <v>69</v>
      </c>
      <c r="Q387" s="4" t="str">
        <f>IF(Student­­Performance[[#This Row],[Math Score]]&gt;=50,"Pass","Fail")</f>
        <v>Pass</v>
      </c>
      <c r="R387" s="4" t="str">
        <f>IF(Student­­Performance[[#This Row],[Reading Score]]&gt;=50,"Pass","Fail")</f>
        <v>Pass</v>
      </c>
      <c r="S387" s="4" t="str">
        <f>IF(Student­­Performance[[#This Row],[Writing Score]]&gt;=50,"Pass","Fail")</f>
        <v>Pass</v>
      </c>
      <c r="T38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215</v>
      </c>
      <c r="U387" s="4" cm="1">
        <f t="array" ref="U387">IF(COUNT(F387:H387)=0,"", MAX(IF(ISNUMBER(F387:H387),F387:H387)) - MIN(IF(ISNUMBER(F387:H387),F387:H387)))</f>
        <v>8</v>
      </c>
      <c r="V387" s="4" t="str">
        <f>IF(U387="","",IF(U387&gt;25,"Outlier","Normal"))</f>
        <v>Normal</v>
      </c>
    </row>
    <row r="388" spans="1:22" x14ac:dyDescent="0.3">
      <c r="A388" s="1" t="s">
        <v>8</v>
      </c>
      <c r="B388" s="1" t="s">
        <v>13</v>
      </c>
      <c r="C388" s="1" t="s">
        <v>84</v>
      </c>
      <c r="D388" s="1" t="s">
        <v>11</v>
      </c>
      <c r="E388" s="1" t="s">
        <v>12</v>
      </c>
      <c r="F388" s="4">
        <v>72</v>
      </c>
      <c r="G388" s="4">
        <v>72</v>
      </c>
      <c r="H388" s="4">
        <v>71</v>
      </c>
      <c r="I388" s="4">
        <f>AVERAGE(Student­­Performance[[#This Row],[Math Score]],Student­­Performance[[#This Row],[Reading Score]],Student­­Performance[[#This Row],[Writing Score]])</f>
        <v>71.666666666666671</v>
      </c>
      <c r="J388" s="10" t="str">
        <f>IF(Student­­Performance[[#This Row],[Average Score]]&gt;=50,"Pass","Fail")</f>
        <v>Pass</v>
      </c>
      <c r="K38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38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38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388" s="4">
        <f>IF(ISNUMBER(Student­­Performance[[#This Row],[Math Score]]),Student­­Performance[[#This Row],[Math Score]],0)</f>
        <v>72</v>
      </c>
      <c r="O388" s="4">
        <f>IF(ISNUMBER(Student­­Performance[[#This Row],[Reading Score]]),Student­­Performance[[#This Row],[Reading Score]],0)</f>
        <v>72</v>
      </c>
      <c r="P388" s="4">
        <f>IF(ISNUMBER(Student­­Performance[[#This Row],[Writing Score]]),Student­­Performance[[#This Row],[Writing Score]],0)</f>
        <v>71</v>
      </c>
      <c r="Q388" s="4" t="str">
        <f>IF(Student­­Performance[[#This Row],[Math Score]]&gt;=50,"Pass","Fail")</f>
        <v>Pass</v>
      </c>
      <c r="R388" s="4" t="str">
        <f>IF(Student­­Performance[[#This Row],[Reading Score]]&gt;=50,"Pass","Fail")</f>
        <v>Pass</v>
      </c>
      <c r="S388" s="4" t="str">
        <f>IF(Student­­Performance[[#This Row],[Writing Score]]&gt;=50,"Pass","Fail")</f>
        <v>Pass</v>
      </c>
      <c r="T38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215</v>
      </c>
      <c r="U388" s="4" cm="1">
        <f t="array" ref="U388">IF(COUNT(F388:H388)=0,"", MAX(IF(ISNUMBER(F388:H388),F388:H388)) - MIN(IF(ISNUMBER(F388:H388),F388:H388)))</f>
        <v>1</v>
      </c>
      <c r="V388" s="4" t="str">
        <f>IF(U388="","",IF(U388&gt;25,"Outlier","Normal"))</f>
        <v>Normal</v>
      </c>
    </row>
    <row r="389" spans="1:22" x14ac:dyDescent="0.3">
      <c r="A389" s="1" t="s">
        <v>17</v>
      </c>
      <c r="B389" s="1" t="s">
        <v>21</v>
      </c>
      <c r="C389" s="1" t="s">
        <v>88</v>
      </c>
      <c r="D389" s="1" t="s">
        <v>11</v>
      </c>
      <c r="E389" s="1" t="s">
        <v>15</v>
      </c>
      <c r="F389" s="4">
        <v>76</v>
      </c>
      <c r="G389" s="4">
        <v>70</v>
      </c>
      <c r="H389" s="4">
        <v>69</v>
      </c>
      <c r="I389" s="4">
        <f>AVERAGE(Student­­Performance[[#This Row],[Math Score]],Student­­Performance[[#This Row],[Reading Score]],Student­­Performance[[#This Row],[Writing Score]])</f>
        <v>71.666666666666671</v>
      </c>
      <c r="J389" s="10" t="str">
        <f>IF(Student­­Performance[[#This Row],[Average Score]]&gt;=50,"Pass","Fail")</f>
        <v>Pass</v>
      </c>
      <c r="K38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38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38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389" s="4">
        <f>IF(ISNUMBER(Student­­Performance[[#This Row],[Math Score]]),Student­­Performance[[#This Row],[Math Score]],0)</f>
        <v>76</v>
      </c>
      <c r="O389" s="4">
        <f>IF(ISNUMBER(Student­­Performance[[#This Row],[Reading Score]]),Student­­Performance[[#This Row],[Reading Score]],0)</f>
        <v>70</v>
      </c>
      <c r="P389" s="4">
        <f>IF(ISNUMBER(Student­­Performance[[#This Row],[Writing Score]]),Student­­Performance[[#This Row],[Writing Score]],0)</f>
        <v>69</v>
      </c>
      <c r="Q389" s="4" t="str">
        <f>IF(Student­­Performance[[#This Row],[Math Score]]&gt;=50,"Pass","Fail")</f>
        <v>Pass</v>
      </c>
      <c r="R389" s="4" t="str">
        <f>IF(Student­­Performance[[#This Row],[Reading Score]]&gt;=50,"Pass","Fail")</f>
        <v>Pass</v>
      </c>
      <c r="S389" s="4" t="str">
        <f>IF(Student­­Performance[[#This Row],[Writing Score]]&gt;=50,"Pass","Fail")</f>
        <v>Pass</v>
      </c>
      <c r="T38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215</v>
      </c>
      <c r="U389" s="4" cm="1">
        <f t="array" ref="U389">IF(COUNT(F389:H389)=0,"", MAX(IF(ISNUMBER(F389:H389),F389:H389)) - MIN(IF(ISNUMBER(F389:H389),F389:H389)))</f>
        <v>7</v>
      </c>
      <c r="V389" s="4" t="str">
        <f>IF(U389="","",IF(U389&gt;25,"Outlier","Normal"))</f>
        <v>Normal</v>
      </c>
    </row>
    <row r="390" spans="1:22" x14ac:dyDescent="0.3">
      <c r="A390" s="1" t="s">
        <v>17</v>
      </c>
      <c r="B390" s="1" t="s">
        <v>21</v>
      </c>
      <c r="C390" s="1" t="s">
        <v>87</v>
      </c>
      <c r="D390" s="1" t="s">
        <v>20</v>
      </c>
      <c r="E390" s="1" t="s">
        <v>12</v>
      </c>
      <c r="F390" s="4">
        <v>75</v>
      </c>
      <c r="G390" s="4">
        <v>74</v>
      </c>
      <c r="H390" s="4">
        <v>66</v>
      </c>
      <c r="I390" s="4">
        <f>AVERAGE(Student­­Performance[[#This Row],[Math Score]],Student­­Performance[[#This Row],[Reading Score]],Student­­Performance[[#This Row],[Writing Score]])</f>
        <v>71.666666666666671</v>
      </c>
      <c r="J390" s="10" t="str">
        <f>IF(Student­­Performance[[#This Row],[Average Score]]&gt;=50,"Pass","Fail")</f>
        <v>Pass</v>
      </c>
      <c r="K39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39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-8</v>
      </c>
      <c r="M39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-9</v>
      </c>
      <c r="N390" s="4">
        <f>IF(ISNUMBER(Student­­Performance[[#This Row],[Math Score]]),Student­­Performance[[#This Row],[Math Score]],0)</f>
        <v>75</v>
      </c>
      <c r="O390" s="4">
        <f>IF(ISNUMBER(Student­­Performance[[#This Row],[Reading Score]]),Student­­Performance[[#This Row],[Reading Score]],0)</f>
        <v>74</v>
      </c>
      <c r="P390" s="4">
        <f>IF(ISNUMBER(Student­­Performance[[#This Row],[Writing Score]]),Student­­Performance[[#This Row],[Writing Score]],0)</f>
        <v>66</v>
      </c>
      <c r="Q390" s="4" t="str">
        <f>IF(Student­­Performance[[#This Row],[Math Score]]&gt;=50,"Pass","Fail")</f>
        <v>Pass</v>
      </c>
      <c r="R390" s="4" t="str">
        <f>IF(Student­­Performance[[#This Row],[Reading Score]]&gt;=50,"Pass","Fail")</f>
        <v>Pass</v>
      </c>
      <c r="S390" s="4" t="str">
        <f>IF(Student­­Performance[[#This Row],[Writing Score]]&gt;=50,"Pass","Fail")</f>
        <v>Pass</v>
      </c>
      <c r="T39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215</v>
      </c>
      <c r="U390" s="4" cm="1">
        <f t="array" ref="U390">IF(COUNT(F390:H390)=0,"", MAX(IF(ISNUMBER(F390:H390),F390:H390)) - MIN(IF(ISNUMBER(F390:H390),F390:H390)))</f>
        <v>9</v>
      </c>
      <c r="V390" s="4" t="str">
        <f>IF(U390="","",IF(U390&gt;25,"Outlier","Normal"))</f>
        <v>Normal</v>
      </c>
    </row>
    <row r="391" spans="1:22" x14ac:dyDescent="0.3">
      <c r="A391" s="1" t="s">
        <v>8</v>
      </c>
      <c r="B391" s="1" t="s">
        <v>21</v>
      </c>
      <c r="C391" s="1" t="s">
        <v>85</v>
      </c>
      <c r="D391" s="1" t="s">
        <v>11</v>
      </c>
      <c r="E391" s="1" t="s">
        <v>15</v>
      </c>
      <c r="F391" s="4">
        <v>70</v>
      </c>
      <c r="G391" s="4">
        <v>71</v>
      </c>
      <c r="H391" s="4">
        <v>74</v>
      </c>
      <c r="I391" s="4">
        <f>AVERAGE(Student­­Performance[[#This Row],[Math Score]],Student­­Performance[[#This Row],[Reading Score]],Student­­Performance[[#This Row],[Writing Score]])</f>
        <v>71.666666666666671</v>
      </c>
      <c r="J391" s="10" t="str">
        <f>IF(Student­­Performance[[#This Row],[Average Score]]&gt;=50,"Pass","Fail")</f>
        <v>Pass</v>
      </c>
      <c r="K39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39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39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391" s="4">
        <f>IF(ISNUMBER(Student­­Performance[[#This Row],[Math Score]]),Student­­Performance[[#This Row],[Math Score]],0)</f>
        <v>70</v>
      </c>
      <c r="O391" s="4">
        <f>IF(ISNUMBER(Student­­Performance[[#This Row],[Reading Score]]),Student­­Performance[[#This Row],[Reading Score]],0)</f>
        <v>71</v>
      </c>
      <c r="P391" s="4">
        <f>IF(ISNUMBER(Student­­Performance[[#This Row],[Writing Score]]),Student­­Performance[[#This Row],[Writing Score]],0)</f>
        <v>74</v>
      </c>
      <c r="Q391" s="4" t="str">
        <f>IF(Student­­Performance[[#This Row],[Math Score]]&gt;=50,"Pass","Fail")</f>
        <v>Pass</v>
      </c>
      <c r="R391" s="4" t="str">
        <f>IF(Student­­Performance[[#This Row],[Reading Score]]&gt;=50,"Pass","Fail")</f>
        <v>Pass</v>
      </c>
      <c r="S391" s="4" t="str">
        <f>IF(Student­­Performance[[#This Row],[Writing Score]]&gt;=50,"Pass","Fail")</f>
        <v>Pass</v>
      </c>
      <c r="T39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215</v>
      </c>
      <c r="U391" s="4" cm="1">
        <f t="array" ref="U391">IF(COUNT(F391:H391)=0,"", MAX(IF(ISNUMBER(F391:H391),F391:H391)) - MIN(IF(ISNUMBER(F391:H391),F391:H391)))</f>
        <v>4</v>
      </c>
      <c r="V391" s="4" t="str">
        <f>IF(U391="","",IF(U391&gt;25,"Outlier","Normal"))</f>
        <v>Normal</v>
      </c>
    </row>
    <row r="392" spans="1:22" x14ac:dyDescent="0.3">
      <c r="A392" s="1" t="s">
        <v>17</v>
      </c>
      <c r="B392" s="1" t="s">
        <v>13</v>
      </c>
      <c r="C392" s="1" t="s">
        <v>87</v>
      </c>
      <c r="D392" s="1" t="s">
        <v>11</v>
      </c>
      <c r="E392" s="1" t="s">
        <v>12</v>
      </c>
      <c r="F392" s="4">
        <v>70</v>
      </c>
      <c r="G392" s="4">
        <v>74</v>
      </c>
      <c r="H392" s="4">
        <v>71</v>
      </c>
      <c r="I392" s="4">
        <f>AVERAGE(Student­­Performance[[#This Row],[Math Score]],Student­­Performance[[#This Row],[Reading Score]],Student­­Performance[[#This Row],[Writing Score]])</f>
        <v>71.666666666666671</v>
      </c>
      <c r="J392" s="10" t="str">
        <f>IF(Student­­Performance[[#This Row],[Average Score]]&gt;=50,"Pass","Fail")</f>
        <v>Pass</v>
      </c>
      <c r="K39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39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39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392" s="4">
        <f>IF(ISNUMBER(Student­­Performance[[#This Row],[Math Score]]),Student­­Performance[[#This Row],[Math Score]],0)</f>
        <v>70</v>
      </c>
      <c r="O392" s="4">
        <f>IF(ISNUMBER(Student­­Performance[[#This Row],[Reading Score]]),Student­­Performance[[#This Row],[Reading Score]],0)</f>
        <v>74</v>
      </c>
      <c r="P392" s="4">
        <f>IF(ISNUMBER(Student­­Performance[[#This Row],[Writing Score]]),Student­­Performance[[#This Row],[Writing Score]],0)</f>
        <v>71</v>
      </c>
      <c r="Q392" s="4" t="str">
        <f>IF(Student­­Performance[[#This Row],[Math Score]]&gt;=50,"Pass","Fail")</f>
        <v>Pass</v>
      </c>
      <c r="R392" s="4" t="str">
        <f>IF(Student­­Performance[[#This Row],[Reading Score]]&gt;=50,"Pass","Fail")</f>
        <v>Pass</v>
      </c>
      <c r="S392" s="4" t="str">
        <f>IF(Student­­Performance[[#This Row],[Writing Score]]&gt;=50,"Pass","Fail")</f>
        <v>Pass</v>
      </c>
      <c r="T39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215</v>
      </c>
      <c r="U392" s="4" cm="1">
        <f t="array" ref="U392">IF(COUNT(F392:H392)=0,"", MAX(IF(ISNUMBER(F392:H392),F392:H392)) - MIN(IF(ISNUMBER(F392:H392),F392:H392)))</f>
        <v>4</v>
      </c>
      <c r="V392" s="4" t="str">
        <f>IF(U392="","",IF(U392&gt;25,"Outlier","Normal"))</f>
        <v>Normal</v>
      </c>
    </row>
    <row r="393" spans="1:22" x14ac:dyDescent="0.3">
      <c r="A393" s="1" t="s">
        <v>17</v>
      </c>
      <c r="B393" s="1" t="s">
        <v>21</v>
      </c>
      <c r="C393" s="1" t="s">
        <v>87</v>
      </c>
      <c r="D393" s="1" t="s">
        <v>11</v>
      </c>
      <c r="E393" s="1" t="s">
        <v>12</v>
      </c>
      <c r="F393" s="4">
        <v>69</v>
      </c>
      <c r="G393" s="4">
        <v>75</v>
      </c>
      <c r="H393" s="4">
        <v>71</v>
      </c>
      <c r="I393" s="4">
        <f>AVERAGE(Student­­Performance[[#This Row],[Math Score]],Student­­Performance[[#This Row],[Reading Score]],Student­­Performance[[#This Row],[Writing Score]])</f>
        <v>71.666666666666671</v>
      </c>
      <c r="J393" s="10" t="str">
        <f>IF(Student­­Performance[[#This Row],[Average Score]]&gt;=50,"Pass","Fail")</f>
        <v>Pass</v>
      </c>
      <c r="K39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39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39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393" s="4">
        <f>IF(ISNUMBER(Student­­Performance[[#This Row],[Math Score]]),Student­­Performance[[#This Row],[Math Score]],0)</f>
        <v>69</v>
      </c>
      <c r="O393" s="4">
        <f>IF(ISNUMBER(Student­­Performance[[#This Row],[Reading Score]]),Student­­Performance[[#This Row],[Reading Score]],0)</f>
        <v>75</v>
      </c>
      <c r="P393" s="4">
        <f>IF(ISNUMBER(Student­­Performance[[#This Row],[Writing Score]]),Student­­Performance[[#This Row],[Writing Score]],0)</f>
        <v>71</v>
      </c>
      <c r="Q393" s="4" t="str">
        <f>IF(Student­­Performance[[#This Row],[Math Score]]&gt;=50,"Pass","Fail")</f>
        <v>Pass</v>
      </c>
      <c r="R393" s="4" t="str">
        <f>IF(Student­­Performance[[#This Row],[Reading Score]]&gt;=50,"Pass","Fail")</f>
        <v>Pass</v>
      </c>
      <c r="S393" s="4" t="str">
        <f>IF(Student­­Performance[[#This Row],[Writing Score]]&gt;=50,"Pass","Fail")</f>
        <v>Pass</v>
      </c>
      <c r="T39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215</v>
      </c>
      <c r="U393" s="4" cm="1">
        <f t="array" ref="U393">IF(COUNT(F393:H393)=0,"", MAX(IF(ISNUMBER(F393:H393),F393:H393)) - MIN(IF(ISNUMBER(F393:H393),F393:H393)))</f>
        <v>6</v>
      </c>
      <c r="V393" s="4" t="str">
        <f>IF(U393="","",IF(U393&gt;25,"Outlier","Normal"))</f>
        <v>Normal</v>
      </c>
    </row>
    <row r="394" spans="1:22" x14ac:dyDescent="0.3">
      <c r="A394" s="1" t="s">
        <v>17</v>
      </c>
      <c r="B394" s="1" t="s">
        <v>13</v>
      </c>
      <c r="C394" s="1" t="s">
        <v>86</v>
      </c>
      <c r="D394" s="1" t="s">
        <v>11</v>
      </c>
      <c r="E394" s="1" t="s">
        <v>12</v>
      </c>
      <c r="F394" s="4">
        <v>76</v>
      </c>
      <c r="G394" s="4">
        <v>70</v>
      </c>
      <c r="H394" s="4">
        <v>68</v>
      </c>
      <c r="I394" s="4">
        <f>AVERAGE(Student­­Performance[[#This Row],[Math Score]],Student­­Performance[[#This Row],[Reading Score]],Student­­Performance[[#This Row],[Writing Score]])</f>
        <v>71.333333333333329</v>
      </c>
      <c r="J394" s="10" t="str">
        <f>IF(Student­­Performance[[#This Row],[Average Score]]&gt;=50,"Pass","Fail")</f>
        <v>Pass</v>
      </c>
      <c r="K39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39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39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394" s="4">
        <f>IF(ISNUMBER(Student­­Performance[[#This Row],[Math Score]]),Student­­Performance[[#This Row],[Math Score]],0)</f>
        <v>76</v>
      </c>
      <c r="O394" s="4">
        <f>IF(ISNUMBER(Student­­Performance[[#This Row],[Reading Score]]),Student­­Performance[[#This Row],[Reading Score]],0)</f>
        <v>70</v>
      </c>
      <c r="P394" s="4">
        <f>IF(ISNUMBER(Student­­Performance[[#This Row],[Writing Score]]),Student­­Performance[[#This Row],[Writing Score]],0)</f>
        <v>68</v>
      </c>
      <c r="Q394" s="4" t="str">
        <f>IF(Student­­Performance[[#This Row],[Math Score]]&gt;=50,"Pass","Fail")</f>
        <v>Pass</v>
      </c>
      <c r="R394" s="4" t="str">
        <f>IF(Student­­Performance[[#This Row],[Reading Score]]&gt;=50,"Pass","Fail")</f>
        <v>Pass</v>
      </c>
      <c r="S394" s="4" t="str">
        <f>IF(Student­­Performance[[#This Row],[Writing Score]]&gt;=50,"Pass","Fail")</f>
        <v>Pass</v>
      </c>
      <c r="T39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214</v>
      </c>
      <c r="U394" s="4" cm="1">
        <f t="array" ref="U394">IF(COUNT(F394:H394)=0,"", MAX(IF(ISNUMBER(F394:H394),F394:H394)) - MIN(IF(ISNUMBER(F394:H394),F394:H394)))</f>
        <v>8</v>
      </c>
      <c r="V394" s="4" t="str">
        <f>IF(U394="","",IF(U394&gt;25,"Outlier","Normal"))</f>
        <v>Normal</v>
      </c>
    </row>
    <row r="395" spans="1:22" x14ac:dyDescent="0.3">
      <c r="A395" s="1" t="s">
        <v>17</v>
      </c>
      <c r="B395" s="1" t="s">
        <v>13</v>
      </c>
      <c r="C395" s="1" t="s">
        <v>86</v>
      </c>
      <c r="D395" s="1" t="s">
        <v>11</v>
      </c>
      <c r="E395" s="1" t="s">
        <v>12</v>
      </c>
      <c r="F395" s="4">
        <v>74</v>
      </c>
      <c r="G395" s="4">
        <v>73</v>
      </c>
      <c r="H395" s="4">
        <v>67</v>
      </c>
      <c r="I395" s="4">
        <f>AVERAGE(Student­­Performance[[#This Row],[Math Score]],Student­­Performance[[#This Row],[Reading Score]],Student­­Performance[[#This Row],[Writing Score]])</f>
        <v>71.333333333333329</v>
      </c>
      <c r="J395" s="10" t="str">
        <f>IF(Student­­Performance[[#This Row],[Average Score]]&gt;=50,"Pass","Fail")</f>
        <v>Pass</v>
      </c>
      <c r="K39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39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39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395" s="4">
        <f>IF(ISNUMBER(Student­­Performance[[#This Row],[Math Score]]),Student­­Performance[[#This Row],[Math Score]],0)</f>
        <v>74</v>
      </c>
      <c r="O395" s="4">
        <f>IF(ISNUMBER(Student­­Performance[[#This Row],[Reading Score]]),Student­­Performance[[#This Row],[Reading Score]],0)</f>
        <v>73</v>
      </c>
      <c r="P395" s="4">
        <f>IF(ISNUMBER(Student­­Performance[[#This Row],[Writing Score]]),Student­­Performance[[#This Row],[Writing Score]],0)</f>
        <v>67</v>
      </c>
      <c r="Q395" s="4" t="str">
        <f>IF(Student­­Performance[[#This Row],[Math Score]]&gt;=50,"Pass","Fail")</f>
        <v>Pass</v>
      </c>
      <c r="R395" s="4" t="str">
        <f>IF(Student­­Performance[[#This Row],[Reading Score]]&gt;=50,"Pass","Fail")</f>
        <v>Pass</v>
      </c>
      <c r="S395" s="4" t="str">
        <f>IF(Student­­Performance[[#This Row],[Writing Score]]&gt;=50,"Pass","Fail")</f>
        <v>Pass</v>
      </c>
      <c r="T39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214</v>
      </c>
      <c r="U395" s="4" cm="1">
        <f t="array" ref="U395">IF(COUNT(F395:H395)=0,"", MAX(IF(ISNUMBER(F395:H395),F395:H395)) - MIN(IF(ISNUMBER(F395:H395),F395:H395)))</f>
        <v>7</v>
      </c>
      <c r="V395" s="4" t="str">
        <f>IF(U395="","",IF(U395&gt;25,"Outlier","Normal"))</f>
        <v>Normal</v>
      </c>
    </row>
    <row r="396" spans="1:22" x14ac:dyDescent="0.3">
      <c r="A396" s="1" t="s">
        <v>17</v>
      </c>
      <c r="B396" s="1" t="s">
        <v>21</v>
      </c>
      <c r="C396" s="1" t="s">
        <v>86</v>
      </c>
      <c r="D396" s="1" t="s">
        <v>20</v>
      </c>
      <c r="E396" s="1" t="s">
        <v>12</v>
      </c>
      <c r="F396" s="4">
        <v>75</v>
      </c>
      <c r="G396" s="4">
        <v>66</v>
      </c>
      <c r="H396" s="4">
        <v>73</v>
      </c>
      <c r="I396" s="4">
        <f>AVERAGE(Student­­Performance[[#This Row],[Math Score]],Student­­Performance[[#This Row],[Reading Score]],Student­­Performance[[#This Row],[Writing Score]])</f>
        <v>71.333333333333329</v>
      </c>
      <c r="J396" s="10" t="str">
        <f>IF(Student­­Performance[[#This Row],[Average Score]]&gt;=50,"Pass","Fail")</f>
        <v>Pass</v>
      </c>
      <c r="K39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-9</v>
      </c>
      <c r="L39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7</v>
      </c>
      <c r="M39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396" s="4">
        <f>IF(ISNUMBER(Student­­Performance[[#This Row],[Math Score]]),Student­­Performance[[#This Row],[Math Score]],0)</f>
        <v>75</v>
      </c>
      <c r="O396" s="4">
        <f>IF(ISNUMBER(Student­­Performance[[#This Row],[Reading Score]]),Student­­Performance[[#This Row],[Reading Score]],0)</f>
        <v>66</v>
      </c>
      <c r="P396" s="4">
        <f>IF(ISNUMBER(Student­­Performance[[#This Row],[Writing Score]]),Student­­Performance[[#This Row],[Writing Score]],0)</f>
        <v>73</v>
      </c>
      <c r="Q396" s="4" t="str">
        <f>IF(Student­­Performance[[#This Row],[Math Score]]&gt;=50,"Pass","Fail")</f>
        <v>Pass</v>
      </c>
      <c r="R396" s="4" t="str">
        <f>IF(Student­­Performance[[#This Row],[Reading Score]]&gt;=50,"Pass","Fail")</f>
        <v>Pass</v>
      </c>
      <c r="S396" s="4" t="str">
        <f>IF(Student­­Performance[[#This Row],[Writing Score]]&gt;=50,"Pass","Fail")</f>
        <v>Pass</v>
      </c>
      <c r="T39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214</v>
      </c>
      <c r="U396" s="4" cm="1">
        <f t="array" ref="U396">IF(COUNT(F396:H396)=0,"", MAX(IF(ISNUMBER(F396:H396),F396:H396)) - MIN(IF(ISNUMBER(F396:H396),F396:H396)))</f>
        <v>9</v>
      </c>
      <c r="V396" s="4" t="str">
        <f>IF(U396="","",IF(U396&gt;25,"Outlier","Normal"))</f>
        <v>Normal</v>
      </c>
    </row>
    <row r="397" spans="1:22" x14ac:dyDescent="0.3">
      <c r="A397" s="1" t="s">
        <v>17</v>
      </c>
      <c r="B397" s="1" t="s">
        <v>26</v>
      </c>
      <c r="C397" s="1" t="s">
        <v>86</v>
      </c>
      <c r="D397" s="1" t="s">
        <v>11</v>
      </c>
      <c r="E397" s="1" t="s">
        <v>12</v>
      </c>
      <c r="F397" s="4">
        <v>76</v>
      </c>
      <c r="G397" s="4">
        <v>71</v>
      </c>
      <c r="H397" s="4">
        <v>67</v>
      </c>
      <c r="I397" s="4">
        <f>AVERAGE(Student­­Performance[[#This Row],[Math Score]],Student­­Performance[[#This Row],[Reading Score]],Student­­Performance[[#This Row],[Writing Score]])</f>
        <v>71.333333333333329</v>
      </c>
      <c r="J397" s="10" t="str">
        <f>IF(Student­­Performance[[#This Row],[Average Score]]&gt;=50,"Pass","Fail")</f>
        <v>Pass</v>
      </c>
      <c r="K39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39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39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-9</v>
      </c>
      <c r="N397" s="4">
        <f>IF(ISNUMBER(Student­­Performance[[#This Row],[Math Score]]),Student­­Performance[[#This Row],[Math Score]],0)</f>
        <v>76</v>
      </c>
      <c r="O397" s="4">
        <f>IF(ISNUMBER(Student­­Performance[[#This Row],[Reading Score]]),Student­­Performance[[#This Row],[Reading Score]],0)</f>
        <v>71</v>
      </c>
      <c r="P397" s="4">
        <f>IF(ISNUMBER(Student­­Performance[[#This Row],[Writing Score]]),Student­­Performance[[#This Row],[Writing Score]],0)</f>
        <v>67</v>
      </c>
      <c r="Q397" s="4" t="str">
        <f>IF(Student­­Performance[[#This Row],[Math Score]]&gt;=50,"Pass","Fail")</f>
        <v>Pass</v>
      </c>
      <c r="R397" s="4" t="str">
        <f>IF(Student­­Performance[[#This Row],[Reading Score]]&gt;=50,"Pass","Fail")</f>
        <v>Pass</v>
      </c>
      <c r="S397" s="4" t="str">
        <f>IF(Student­­Performance[[#This Row],[Writing Score]]&gt;=50,"Pass","Fail")</f>
        <v>Pass</v>
      </c>
      <c r="T39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214</v>
      </c>
      <c r="U397" s="4" cm="1">
        <f t="array" ref="U397">IF(COUNT(F397:H397)=0,"", MAX(IF(ISNUMBER(F397:H397),F397:H397)) - MIN(IF(ISNUMBER(F397:H397),F397:H397)))</f>
        <v>9</v>
      </c>
      <c r="V397" s="4" t="str">
        <f>IF(U397="","",IF(U397&gt;25,"Outlier","Normal"))</f>
        <v>Normal</v>
      </c>
    </row>
    <row r="398" spans="1:22" x14ac:dyDescent="0.3">
      <c r="A398" s="1" t="s">
        <v>8</v>
      </c>
      <c r="B398" s="1" t="s">
        <v>21</v>
      </c>
      <c r="C398" s="1" t="s">
        <v>83</v>
      </c>
      <c r="D398" s="1" t="s">
        <v>20</v>
      </c>
      <c r="E398" s="1" t="s">
        <v>12</v>
      </c>
      <c r="F398" s="4">
        <v>63</v>
      </c>
      <c r="G398" s="4">
        <v>73</v>
      </c>
      <c r="H398" s="4">
        <v>78</v>
      </c>
      <c r="I398" s="4">
        <f>AVERAGE(Student­­Performance[[#This Row],[Math Score]],Student­­Performance[[#This Row],[Reading Score]],Student­­Performance[[#This Row],[Writing Score]])</f>
        <v>71.333333333333329</v>
      </c>
      <c r="J398" s="10" t="str">
        <f>IF(Student­­Performance[[#This Row],[Average Score]]&gt;=50,"Pass","Fail")</f>
        <v>Pass</v>
      </c>
      <c r="K39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39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39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15</v>
      </c>
      <c r="N398" s="4">
        <f>IF(ISNUMBER(Student­­Performance[[#This Row],[Math Score]]),Student­­Performance[[#This Row],[Math Score]],0)</f>
        <v>63</v>
      </c>
      <c r="O398" s="4">
        <f>IF(ISNUMBER(Student­­Performance[[#This Row],[Reading Score]]),Student­­Performance[[#This Row],[Reading Score]],0)</f>
        <v>73</v>
      </c>
      <c r="P398" s="4">
        <f>IF(ISNUMBER(Student­­Performance[[#This Row],[Writing Score]]),Student­­Performance[[#This Row],[Writing Score]],0)</f>
        <v>78</v>
      </c>
      <c r="Q398" s="4" t="str">
        <f>IF(Student­­Performance[[#This Row],[Math Score]]&gt;=50,"Pass","Fail")</f>
        <v>Pass</v>
      </c>
      <c r="R398" s="4" t="str">
        <f>IF(Student­­Performance[[#This Row],[Reading Score]]&gt;=50,"Pass","Fail")</f>
        <v>Pass</v>
      </c>
      <c r="S398" s="4" t="str">
        <f>IF(Student­­Performance[[#This Row],[Writing Score]]&gt;=50,"Pass","Fail")</f>
        <v>Pass</v>
      </c>
      <c r="T39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214</v>
      </c>
      <c r="U398" s="4" cm="1">
        <f t="array" ref="U398">IF(COUNT(F398:H398)=0,"", MAX(IF(ISNUMBER(F398:H398),F398:H398)) - MIN(IF(ISNUMBER(F398:H398),F398:H398)))</f>
        <v>15</v>
      </c>
      <c r="V398" s="4" t="str">
        <f>IF(U398="","",IF(U398&gt;25,"Outlier","Normal"))</f>
        <v>Normal</v>
      </c>
    </row>
    <row r="399" spans="1:22" x14ac:dyDescent="0.3">
      <c r="A399" s="1" t="s">
        <v>8</v>
      </c>
      <c r="B399" s="1" t="s">
        <v>21</v>
      </c>
      <c r="C399" s="1" t="s">
        <v>86</v>
      </c>
      <c r="D399" s="1" t="s">
        <v>11</v>
      </c>
      <c r="E399" s="1" t="s">
        <v>15</v>
      </c>
      <c r="F399" s="4">
        <v>57</v>
      </c>
      <c r="G399" s="4">
        <v>78</v>
      </c>
      <c r="H399" s="4">
        <v>79</v>
      </c>
      <c r="I399" s="4">
        <f>AVERAGE(Student­­Performance[[#This Row],[Math Score]],Student­­Performance[[#This Row],[Reading Score]],Student­­Performance[[#This Row],[Writing Score]])</f>
        <v>71.333333333333329</v>
      </c>
      <c r="J399" s="10" t="str">
        <f>IF(Student­­Performance[[#This Row],[Average Score]]&gt;=50,"Pass","Fail")</f>
        <v>Pass</v>
      </c>
      <c r="K39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21</v>
      </c>
      <c r="L39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39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22</v>
      </c>
      <c r="N399" s="4">
        <f>IF(ISNUMBER(Student­­Performance[[#This Row],[Math Score]]),Student­­Performance[[#This Row],[Math Score]],0)</f>
        <v>57</v>
      </c>
      <c r="O399" s="4">
        <f>IF(ISNUMBER(Student­­Performance[[#This Row],[Reading Score]]),Student­­Performance[[#This Row],[Reading Score]],0)</f>
        <v>78</v>
      </c>
      <c r="P399" s="4">
        <f>IF(ISNUMBER(Student­­Performance[[#This Row],[Writing Score]]),Student­­Performance[[#This Row],[Writing Score]],0)</f>
        <v>79</v>
      </c>
      <c r="Q399" s="4" t="str">
        <f>IF(Student­­Performance[[#This Row],[Math Score]]&gt;=50,"Pass","Fail")</f>
        <v>Pass</v>
      </c>
      <c r="R399" s="4" t="str">
        <f>IF(Student­­Performance[[#This Row],[Reading Score]]&gt;=50,"Pass","Fail")</f>
        <v>Pass</v>
      </c>
      <c r="S399" s="4" t="str">
        <f>IF(Student­­Performance[[#This Row],[Writing Score]]&gt;=50,"Pass","Fail")</f>
        <v>Pass</v>
      </c>
      <c r="T39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214</v>
      </c>
      <c r="U399" s="4" cm="1">
        <f t="array" ref="U399">IF(COUNT(F399:H399)=0,"", MAX(IF(ISNUMBER(F399:H399),F399:H399)) - MIN(IF(ISNUMBER(F399:H399),F399:H399)))</f>
        <v>22</v>
      </c>
      <c r="V399" s="4" t="str">
        <f>IF(U399="","",IF(U399&gt;25,"Outlier","Normal"))</f>
        <v>Normal</v>
      </c>
    </row>
    <row r="400" spans="1:22" x14ac:dyDescent="0.3">
      <c r="A400" s="1" t="s">
        <v>8</v>
      </c>
      <c r="B400" s="1" t="s">
        <v>21</v>
      </c>
      <c r="C400" s="1" t="s">
        <v>88</v>
      </c>
      <c r="D400" s="1" t="s">
        <v>11</v>
      </c>
      <c r="E400" s="1" t="s">
        <v>12</v>
      </c>
      <c r="F400" s="4">
        <v>68</v>
      </c>
      <c r="G400" s="4">
        <v>71</v>
      </c>
      <c r="H400" s="4">
        <v>75</v>
      </c>
      <c r="I400" s="4">
        <f>AVERAGE(Student­­Performance[[#This Row],[Math Score]],Student­­Performance[[#This Row],[Reading Score]],Student­­Performance[[#This Row],[Writing Score]])</f>
        <v>71.333333333333329</v>
      </c>
      <c r="J400" s="10" t="str">
        <f>IF(Student­­Performance[[#This Row],[Average Score]]&gt;=50,"Pass","Fail")</f>
        <v>Pass</v>
      </c>
      <c r="K40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40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40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400" s="4">
        <f>IF(ISNUMBER(Student­­Performance[[#This Row],[Math Score]]),Student­­Performance[[#This Row],[Math Score]],0)</f>
        <v>68</v>
      </c>
      <c r="O400" s="4">
        <f>IF(ISNUMBER(Student­­Performance[[#This Row],[Reading Score]]),Student­­Performance[[#This Row],[Reading Score]],0)</f>
        <v>71</v>
      </c>
      <c r="P400" s="4">
        <f>IF(ISNUMBER(Student­­Performance[[#This Row],[Writing Score]]),Student­­Performance[[#This Row],[Writing Score]],0)</f>
        <v>75</v>
      </c>
      <c r="Q400" s="4" t="str">
        <f>IF(Student­­Performance[[#This Row],[Math Score]]&gt;=50,"Pass","Fail")</f>
        <v>Pass</v>
      </c>
      <c r="R400" s="4" t="str">
        <f>IF(Student­­Performance[[#This Row],[Reading Score]]&gt;=50,"Pass","Fail")</f>
        <v>Pass</v>
      </c>
      <c r="S400" s="4" t="str">
        <f>IF(Student­­Performance[[#This Row],[Writing Score]]&gt;=50,"Pass","Fail")</f>
        <v>Pass</v>
      </c>
      <c r="T40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214</v>
      </c>
      <c r="U400" s="4" cm="1">
        <f t="array" ref="U400">IF(COUNT(F400:H400)=0,"", MAX(IF(ISNUMBER(F400:H400),F400:H400)) - MIN(IF(ISNUMBER(F400:H400),F400:H400)))</f>
        <v>7</v>
      </c>
      <c r="V400" s="4" t="str">
        <f>IF(U400="","",IF(U400&gt;25,"Outlier","Normal"))</f>
        <v>Normal</v>
      </c>
    </row>
    <row r="401" spans="1:22" x14ac:dyDescent="0.3">
      <c r="A401" s="1" t="s">
        <v>8</v>
      </c>
      <c r="B401" s="1" t="s">
        <v>21</v>
      </c>
      <c r="C401" s="1" t="s">
        <v>86</v>
      </c>
      <c r="D401" s="1" t="s">
        <v>11</v>
      </c>
      <c r="E401" s="1" t="s">
        <v>12</v>
      </c>
      <c r="F401" s="4">
        <v>64</v>
      </c>
      <c r="G401" s="4">
        <v>76</v>
      </c>
      <c r="H401" s="4">
        <v>74</v>
      </c>
      <c r="I401" s="4">
        <f>AVERAGE(Student­­Performance[[#This Row],[Math Score]],Student­­Performance[[#This Row],[Reading Score]],Student­­Performance[[#This Row],[Writing Score]])</f>
        <v>71.333333333333329</v>
      </c>
      <c r="J401" s="10" t="str">
        <f>IF(Student­­Performance[[#This Row],[Average Score]]&gt;=50,"Pass","Fail")</f>
        <v>Pass</v>
      </c>
      <c r="K40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40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40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401" s="4">
        <f>IF(ISNUMBER(Student­­Performance[[#This Row],[Math Score]]),Student­­Performance[[#This Row],[Math Score]],0)</f>
        <v>64</v>
      </c>
      <c r="O401" s="4">
        <f>IF(ISNUMBER(Student­­Performance[[#This Row],[Reading Score]]),Student­­Performance[[#This Row],[Reading Score]],0)</f>
        <v>76</v>
      </c>
      <c r="P401" s="4">
        <f>IF(ISNUMBER(Student­­Performance[[#This Row],[Writing Score]]),Student­­Performance[[#This Row],[Writing Score]],0)</f>
        <v>74</v>
      </c>
      <c r="Q401" s="4" t="str">
        <f>IF(Student­­Performance[[#This Row],[Math Score]]&gt;=50,"Pass","Fail")</f>
        <v>Pass</v>
      </c>
      <c r="R401" s="4" t="str">
        <f>IF(Student­­Performance[[#This Row],[Reading Score]]&gt;=50,"Pass","Fail")</f>
        <v>Pass</v>
      </c>
      <c r="S401" s="4" t="str">
        <f>IF(Student­­Performance[[#This Row],[Writing Score]]&gt;=50,"Pass","Fail")</f>
        <v>Pass</v>
      </c>
      <c r="T40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214</v>
      </c>
      <c r="U401" s="4" cm="1">
        <f t="array" ref="U401">IF(COUNT(F401:H401)=0,"", MAX(IF(ISNUMBER(F401:H401),F401:H401)) - MIN(IF(ISNUMBER(F401:H401),F401:H401)))</f>
        <v>12</v>
      </c>
      <c r="V401" s="4" t="str">
        <f>IF(U401="","",IF(U401&gt;25,"Outlier","Normal"))</f>
        <v>Normal</v>
      </c>
    </row>
    <row r="402" spans="1:22" x14ac:dyDescent="0.3">
      <c r="A402" s="1" t="s">
        <v>8</v>
      </c>
      <c r="B402" s="1" t="s">
        <v>13</v>
      </c>
      <c r="C402" s="1" t="s">
        <v>83</v>
      </c>
      <c r="D402" s="1" t="s">
        <v>20</v>
      </c>
      <c r="E402" s="1" t="s">
        <v>12</v>
      </c>
      <c r="F402" s="4">
        <v>67</v>
      </c>
      <c r="G402" s="4">
        <v>75</v>
      </c>
      <c r="H402" s="4">
        <v>72</v>
      </c>
      <c r="I402" s="4">
        <f>AVERAGE(Student­­Performance[[#This Row],[Math Score]],Student­­Performance[[#This Row],[Reading Score]],Student­­Performance[[#This Row],[Writing Score]])</f>
        <v>71.333333333333329</v>
      </c>
      <c r="J402" s="10" t="str">
        <f>IF(Student­­Performance[[#This Row],[Average Score]]&gt;=50,"Pass","Fail")</f>
        <v>Pass</v>
      </c>
      <c r="K40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40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40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402" s="4">
        <f>IF(ISNUMBER(Student­­Performance[[#This Row],[Math Score]]),Student­­Performance[[#This Row],[Math Score]],0)</f>
        <v>67</v>
      </c>
      <c r="O402" s="4">
        <f>IF(ISNUMBER(Student­­Performance[[#This Row],[Reading Score]]),Student­­Performance[[#This Row],[Reading Score]],0)</f>
        <v>75</v>
      </c>
      <c r="P402" s="4">
        <f>IF(ISNUMBER(Student­­Performance[[#This Row],[Writing Score]]),Student­­Performance[[#This Row],[Writing Score]],0)</f>
        <v>72</v>
      </c>
      <c r="Q402" s="4" t="str">
        <f>IF(Student­­Performance[[#This Row],[Math Score]]&gt;=50,"Pass","Fail")</f>
        <v>Pass</v>
      </c>
      <c r="R402" s="4" t="str">
        <f>IF(Student­­Performance[[#This Row],[Reading Score]]&gt;=50,"Pass","Fail")</f>
        <v>Pass</v>
      </c>
      <c r="S402" s="4" t="str">
        <f>IF(Student­­Performance[[#This Row],[Writing Score]]&gt;=50,"Pass","Fail")</f>
        <v>Pass</v>
      </c>
      <c r="T40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214</v>
      </c>
      <c r="U402" s="4" cm="1">
        <f t="array" ref="U402">IF(COUNT(F402:H402)=0,"", MAX(IF(ISNUMBER(F402:H402),F402:H402)) - MIN(IF(ISNUMBER(F402:H402),F402:H402)))</f>
        <v>8</v>
      </c>
      <c r="V402" s="4" t="str">
        <f>IF(U402="","",IF(U402&gt;25,"Outlier","Normal"))</f>
        <v>Normal</v>
      </c>
    </row>
    <row r="403" spans="1:22" x14ac:dyDescent="0.3">
      <c r="A403" s="1" t="s">
        <v>8</v>
      </c>
      <c r="B403" s="1" t="s">
        <v>13</v>
      </c>
      <c r="C403" s="1" t="s">
        <v>86</v>
      </c>
      <c r="D403" s="1" t="s">
        <v>11</v>
      </c>
      <c r="E403" s="1" t="s">
        <v>15</v>
      </c>
      <c r="F403" s="4">
        <v>57</v>
      </c>
      <c r="G403" s="4">
        <v>77</v>
      </c>
      <c r="H403" s="4">
        <v>80</v>
      </c>
      <c r="I403" s="4">
        <f>AVERAGE(Student­­Performance[[#This Row],[Math Score]],Student­­Performance[[#This Row],[Reading Score]],Student­­Performance[[#This Row],[Writing Score]])</f>
        <v>71.333333333333329</v>
      </c>
      <c r="J403" s="10" t="str">
        <f>IF(Student­­Performance[[#This Row],[Average Score]]&gt;=50,"Pass","Fail")</f>
        <v>Pass</v>
      </c>
      <c r="K40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20</v>
      </c>
      <c r="L40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40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23</v>
      </c>
      <c r="N403" s="4">
        <f>IF(ISNUMBER(Student­­Performance[[#This Row],[Math Score]]),Student­­Performance[[#This Row],[Math Score]],0)</f>
        <v>57</v>
      </c>
      <c r="O403" s="4">
        <f>IF(ISNUMBER(Student­­Performance[[#This Row],[Reading Score]]),Student­­Performance[[#This Row],[Reading Score]],0)</f>
        <v>77</v>
      </c>
      <c r="P403" s="4">
        <f>IF(ISNUMBER(Student­­Performance[[#This Row],[Writing Score]]),Student­­Performance[[#This Row],[Writing Score]],0)</f>
        <v>80</v>
      </c>
      <c r="Q403" s="4" t="str">
        <f>IF(Student­­Performance[[#This Row],[Math Score]]&gt;=50,"Pass","Fail")</f>
        <v>Pass</v>
      </c>
      <c r="R403" s="4" t="str">
        <f>IF(Student­­Performance[[#This Row],[Reading Score]]&gt;=50,"Pass","Fail")</f>
        <v>Pass</v>
      </c>
      <c r="S403" s="4" t="str">
        <f>IF(Student­­Performance[[#This Row],[Writing Score]]&gt;=50,"Pass","Fail")</f>
        <v>Pass</v>
      </c>
      <c r="T40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214</v>
      </c>
      <c r="U403" s="4" cm="1">
        <f t="array" ref="U403">IF(COUNT(F403:H403)=0,"", MAX(IF(ISNUMBER(F403:H403),F403:H403)) - MIN(IF(ISNUMBER(F403:H403),F403:H403)))</f>
        <v>23</v>
      </c>
      <c r="V403" s="4" t="str">
        <f>IF(U403="","",IF(U403&gt;25,"Outlier","Normal"))</f>
        <v>Normal</v>
      </c>
    </row>
    <row r="404" spans="1:22" x14ac:dyDescent="0.3">
      <c r="A404" s="1" t="s">
        <v>17</v>
      </c>
      <c r="B404" s="1" t="s">
        <v>21</v>
      </c>
      <c r="C404" s="1" t="s">
        <v>88</v>
      </c>
      <c r="D404" s="1" t="s">
        <v>11</v>
      </c>
      <c r="E404" s="1" t="s">
        <v>15</v>
      </c>
      <c r="F404" s="4">
        <v>77</v>
      </c>
      <c r="G404" s="4">
        <v>68</v>
      </c>
      <c r="H404" s="4">
        <v>69</v>
      </c>
      <c r="I404" s="4">
        <f>AVERAGE(Student­­Performance[[#This Row],[Math Score]],Student­­Performance[[#This Row],[Reading Score]],Student­­Performance[[#This Row],[Writing Score]])</f>
        <v>71.333333333333329</v>
      </c>
      <c r="J404" s="10" t="str">
        <f>IF(Student­­Performance[[#This Row],[Average Score]]&gt;=50,"Pass","Fail")</f>
        <v>Pass</v>
      </c>
      <c r="K40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-9</v>
      </c>
      <c r="L40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40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404" s="4">
        <f>IF(ISNUMBER(Student­­Performance[[#This Row],[Math Score]]),Student­­Performance[[#This Row],[Math Score]],0)</f>
        <v>77</v>
      </c>
      <c r="O404" s="4">
        <f>IF(ISNUMBER(Student­­Performance[[#This Row],[Reading Score]]),Student­­Performance[[#This Row],[Reading Score]],0)</f>
        <v>68</v>
      </c>
      <c r="P404" s="4">
        <f>IF(ISNUMBER(Student­­Performance[[#This Row],[Writing Score]]),Student­­Performance[[#This Row],[Writing Score]],0)</f>
        <v>69</v>
      </c>
      <c r="Q404" s="4" t="str">
        <f>IF(Student­­Performance[[#This Row],[Math Score]]&gt;=50,"Pass","Fail")</f>
        <v>Pass</v>
      </c>
      <c r="R404" s="4" t="str">
        <f>IF(Student­­Performance[[#This Row],[Reading Score]]&gt;=50,"Pass","Fail")</f>
        <v>Pass</v>
      </c>
      <c r="S404" s="4" t="str">
        <f>IF(Student­­Performance[[#This Row],[Writing Score]]&gt;=50,"Pass","Fail")</f>
        <v>Pass</v>
      </c>
      <c r="T40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214</v>
      </c>
      <c r="U404" s="4" cm="1">
        <f t="array" ref="U404">IF(COUNT(F404:H404)=0,"", MAX(IF(ISNUMBER(F404:H404),F404:H404)) - MIN(IF(ISNUMBER(F404:H404),F404:H404)))</f>
        <v>9</v>
      </c>
      <c r="V404" s="4" t="str">
        <f>IF(U404="","",IF(U404&gt;25,"Outlier","Normal"))</f>
        <v>Normal</v>
      </c>
    </row>
    <row r="405" spans="1:22" x14ac:dyDescent="0.3">
      <c r="A405" s="1" t="s">
        <v>8</v>
      </c>
      <c r="B405" s="1" t="s">
        <v>13</v>
      </c>
      <c r="C405" s="1" t="s">
        <v>87</v>
      </c>
      <c r="D405" s="1" t="s">
        <v>11</v>
      </c>
      <c r="E405" s="1" t="s">
        <v>12</v>
      </c>
      <c r="F405" s="4">
        <v>66</v>
      </c>
      <c r="G405" s="4">
        <v>71</v>
      </c>
      <c r="H405" s="4">
        <v>76</v>
      </c>
      <c r="I405" s="4">
        <f>AVERAGE(Student­­Performance[[#This Row],[Math Score]],Student­­Performance[[#This Row],[Reading Score]],Student­­Performance[[#This Row],[Writing Score]])</f>
        <v>71</v>
      </c>
      <c r="J405" s="10" t="str">
        <f>IF(Student­­Performance[[#This Row],[Average Score]]&gt;=50,"Pass","Fail")</f>
        <v>Pass</v>
      </c>
      <c r="K40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40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40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405" s="4">
        <f>IF(ISNUMBER(Student­­Performance[[#This Row],[Math Score]]),Student­­Performance[[#This Row],[Math Score]],0)</f>
        <v>66</v>
      </c>
      <c r="O405" s="4">
        <f>IF(ISNUMBER(Student­­Performance[[#This Row],[Reading Score]]),Student­­Performance[[#This Row],[Reading Score]],0)</f>
        <v>71</v>
      </c>
      <c r="P405" s="4">
        <f>IF(ISNUMBER(Student­­Performance[[#This Row],[Writing Score]]),Student­­Performance[[#This Row],[Writing Score]],0)</f>
        <v>76</v>
      </c>
      <c r="Q405" s="4" t="str">
        <f>IF(Student­­Performance[[#This Row],[Math Score]]&gt;=50,"Pass","Fail")</f>
        <v>Pass</v>
      </c>
      <c r="R405" s="4" t="str">
        <f>IF(Student­­Performance[[#This Row],[Reading Score]]&gt;=50,"Pass","Fail")</f>
        <v>Pass</v>
      </c>
      <c r="S405" s="4" t="str">
        <f>IF(Student­­Performance[[#This Row],[Writing Score]]&gt;=50,"Pass","Fail")</f>
        <v>Pass</v>
      </c>
      <c r="T40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213</v>
      </c>
      <c r="U405" s="4" cm="1">
        <f t="array" ref="U405">IF(COUNT(F405:H405)=0,"", MAX(IF(ISNUMBER(F405:H405),F405:H405)) - MIN(IF(ISNUMBER(F405:H405),F405:H405)))</f>
        <v>10</v>
      </c>
      <c r="V405" s="4" t="str">
        <f>IF(U405="","",IF(U405&gt;25,"Outlier","Normal"))</f>
        <v>Normal</v>
      </c>
    </row>
    <row r="406" spans="1:22" x14ac:dyDescent="0.3">
      <c r="A406" s="1" t="s">
        <v>17</v>
      </c>
      <c r="B406" s="1" t="s">
        <v>9</v>
      </c>
      <c r="C406" s="1" t="s">
        <v>84</v>
      </c>
      <c r="D406" s="1" t="s">
        <v>11</v>
      </c>
      <c r="E406" s="1" t="s">
        <v>12</v>
      </c>
      <c r="F406" s="4">
        <v>79</v>
      </c>
      <c r="G406" s="4">
        <v>67</v>
      </c>
      <c r="H406" s="4">
        <v>67</v>
      </c>
      <c r="I406" s="4">
        <f>AVERAGE(Student­­Performance[[#This Row],[Math Score]],Student­­Performance[[#This Row],[Reading Score]],Student­­Performance[[#This Row],[Writing Score]])</f>
        <v>71</v>
      </c>
      <c r="J406" s="10" t="str">
        <f>IF(Student­­Performance[[#This Row],[Average Score]]&gt;=50,"Pass","Fail")</f>
        <v>Pass</v>
      </c>
      <c r="K40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-12</v>
      </c>
      <c r="L40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40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-12</v>
      </c>
      <c r="N406" s="4">
        <f>IF(ISNUMBER(Student­­Performance[[#This Row],[Math Score]]),Student­­Performance[[#This Row],[Math Score]],0)</f>
        <v>79</v>
      </c>
      <c r="O406" s="4">
        <f>IF(ISNUMBER(Student­­Performance[[#This Row],[Reading Score]]),Student­­Performance[[#This Row],[Reading Score]],0)</f>
        <v>67</v>
      </c>
      <c r="P406" s="4">
        <f>IF(ISNUMBER(Student­­Performance[[#This Row],[Writing Score]]),Student­­Performance[[#This Row],[Writing Score]],0)</f>
        <v>67</v>
      </c>
      <c r="Q406" s="4" t="str">
        <f>IF(Student­­Performance[[#This Row],[Math Score]]&gt;=50,"Pass","Fail")</f>
        <v>Pass</v>
      </c>
      <c r="R406" s="4" t="str">
        <f>IF(Student­­Performance[[#This Row],[Reading Score]]&gt;=50,"Pass","Fail")</f>
        <v>Pass</v>
      </c>
      <c r="S406" s="4" t="str">
        <f>IF(Student­­Performance[[#This Row],[Writing Score]]&gt;=50,"Pass","Fail")</f>
        <v>Pass</v>
      </c>
      <c r="T40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213</v>
      </c>
      <c r="U406" s="4" cm="1">
        <f t="array" ref="U406">IF(COUNT(F406:H406)=0,"", MAX(IF(ISNUMBER(F406:H406),F406:H406)) - MIN(IF(ISNUMBER(F406:H406),F406:H406)))</f>
        <v>12</v>
      </c>
      <c r="V406" s="4" t="str">
        <f>IF(U406="","",IF(U406&gt;25,"Outlier","Normal"))</f>
        <v>Normal</v>
      </c>
    </row>
    <row r="407" spans="1:22" x14ac:dyDescent="0.3">
      <c r="A407" s="1" t="s">
        <v>17</v>
      </c>
      <c r="B407" s="1" t="s">
        <v>9</v>
      </c>
      <c r="C407" s="1" t="s">
        <v>87</v>
      </c>
      <c r="D407" s="1" t="s">
        <v>20</v>
      </c>
      <c r="E407" s="1" t="s">
        <v>12</v>
      </c>
      <c r="F407" s="4">
        <v>66</v>
      </c>
      <c r="G407" s="4">
        <v>77</v>
      </c>
      <c r="H407" s="4">
        <v>70</v>
      </c>
      <c r="I407" s="4">
        <f>AVERAGE(Student­­Performance[[#This Row],[Math Score]],Student­­Performance[[#This Row],[Reading Score]],Student­­Performance[[#This Row],[Writing Score]])</f>
        <v>71</v>
      </c>
      <c r="J407" s="10" t="str">
        <f>IF(Student­­Performance[[#This Row],[Average Score]]&gt;=50,"Pass","Fail")</f>
        <v>Pass</v>
      </c>
      <c r="K40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40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40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407" s="4">
        <f>IF(ISNUMBER(Student­­Performance[[#This Row],[Math Score]]),Student­­Performance[[#This Row],[Math Score]],0)</f>
        <v>66</v>
      </c>
      <c r="O407" s="4">
        <f>IF(ISNUMBER(Student­­Performance[[#This Row],[Reading Score]]),Student­­Performance[[#This Row],[Reading Score]],0)</f>
        <v>77</v>
      </c>
      <c r="P407" s="4">
        <f>IF(ISNUMBER(Student­­Performance[[#This Row],[Writing Score]]),Student­­Performance[[#This Row],[Writing Score]],0)</f>
        <v>70</v>
      </c>
      <c r="Q407" s="4" t="str">
        <f>IF(Student­­Performance[[#This Row],[Math Score]]&gt;=50,"Pass","Fail")</f>
        <v>Pass</v>
      </c>
      <c r="R407" s="4" t="str">
        <f>IF(Student­­Performance[[#This Row],[Reading Score]]&gt;=50,"Pass","Fail")</f>
        <v>Pass</v>
      </c>
      <c r="S407" s="4" t="str">
        <f>IF(Student­­Performance[[#This Row],[Writing Score]]&gt;=50,"Pass","Fail")</f>
        <v>Pass</v>
      </c>
      <c r="T40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213</v>
      </c>
      <c r="U407" s="4" cm="1">
        <f t="array" ref="U407">IF(COUNT(F407:H407)=0,"", MAX(IF(ISNUMBER(F407:H407),F407:H407)) - MIN(IF(ISNUMBER(F407:H407),F407:H407)))</f>
        <v>11</v>
      </c>
      <c r="V407" s="4" t="str">
        <f>IF(U407="","",IF(U407&gt;25,"Outlier","Normal"))</f>
        <v>Normal</v>
      </c>
    </row>
    <row r="408" spans="1:22" x14ac:dyDescent="0.3">
      <c r="A408" s="1" t="s">
        <v>8</v>
      </c>
      <c r="B408" s="1" t="s">
        <v>26</v>
      </c>
      <c r="C408" s="1" t="s">
        <v>83</v>
      </c>
      <c r="D408" s="1" t="s">
        <v>11</v>
      </c>
      <c r="E408" s="1" t="s">
        <v>12</v>
      </c>
      <c r="F408" s="4">
        <v>65</v>
      </c>
      <c r="G408" s="4">
        <v>73</v>
      </c>
      <c r="H408" s="4">
        <v>75</v>
      </c>
      <c r="I408" s="4">
        <f>AVERAGE(Student­­Performance[[#This Row],[Math Score]],Student­­Performance[[#This Row],[Reading Score]],Student­­Performance[[#This Row],[Writing Score]])</f>
        <v>71</v>
      </c>
      <c r="J408" s="10" t="str">
        <f>IF(Student­­Performance[[#This Row],[Average Score]]&gt;=50,"Pass","Fail")</f>
        <v>Pass</v>
      </c>
      <c r="K40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40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40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408" s="4">
        <f>IF(ISNUMBER(Student­­Performance[[#This Row],[Math Score]]),Student­­Performance[[#This Row],[Math Score]],0)</f>
        <v>65</v>
      </c>
      <c r="O408" s="4">
        <f>IF(ISNUMBER(Student­­Performance[[#This Row],[Reading Score]]),Student­­Performance[[#This Row],[Reading Score]],0)</f>
        <v>73</v>
      </c>
      <c r="P408" s="4">
        <f>IF(ISNUMBER(Student­­Performance[[#This Row],[Writing Score]]),Student­­Performance[[#This Row],[Writing Score]],0)</f>
        <v>75</v>
      </c>
      <c r="Q408" s="4" t="str">
        <f>IF(Student­­Performance[[#This Row],[Math Score]]&gt;=50,"Pass","Fail")</f>
        <v>Pass</v>
      </c>
      <c r="R408" s="4" t="str">
        <f>IF(Student­­Performance[[#This Row],[Reading Score]]&gt;=50,"Pass","Fail")</f>
        <v>Pass</v>
      </c>
      <c r="S408" s="4" t="str">
        <f>IF(Student­­Performance[[#This Row],[Writing Score]]&gt;=50,"Pass","Fail")</f>
        <v>Pass</v>
      </c>
      <c r="T40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213</v>
      </c>
      <c r="U408" s="4" cm="1">
        <f t="array" ref="U408">IF(COUNT(F408:H408)=0,"", MAX(IF(ISNUMBER(F408:H408),F408:H408)) - MIN(IF(ISNUMBER(F408:H408),F408:H408)))</f>
        <v>10</v>
      </c>
      <c r="V408" s="4" t="str">
        <f>IF(U408="","",IF(U408&gt;25,"Outlier","Normal"))</f>
        <v>Normal</v>
      </c>
    </row>
    <row r="409" spans="1:22" x14ac:dyDescent="0.3">
      <c r="A409" s="1" t="s">
        <v>17</v>
      </c>
      <c r="B409" s="1" t="s">
        <v>26</v>
      </c>
      <c r="C409" s="1" t="s">
        <v>86</v>
      </c>
      <c r="D409" s="1" t="s">
        <v>11</v>
      </c>
      <c r="E409" s="1" t="s">
        <v>15</v>
      </c>
      <c r="F409" s="4">
        <v>71</v>
      </c>
      <c r="G409" s="4">
        <v>74</v>
      </c>
      <c r="H409" s="4">
        <v>68</v>
      </c>
      <c r="I409" s="4">
        <f>AVERAGE(Student­­Performance[[#This Row],[Math Score]],Student­­Performance[[#This Row],[Reading Score]],Student­­Performance[[#This Row],[Writing Score]])</f>
        <v>71</v>
      </c>
      <c r="J409" s="10" t="str">
        <f>IF(Student­­Performance[[#This Row],[Average Score]]&gt;=50,"Pass","Fail")</f>
        <v>Pass</v>
      </c>
      <c r="K40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40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40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409" s="4">
        <f>IF(ISNUMBER(Student­­Performance[[#This Row],[Math Score]]),Student­­Performance[[#This Row],[Math Score]],0)</f>
        <v>71</v>
      </c>
      <c r="O409" s="4">
        <f>IF(ISNUMBER(Student­­Performance[[#This Row],[Reading Score]]),Student­­Performance[[#This Row],[Reading Score]],0)</f>
        <v>74</v>
      </c>
      <c r="P409" s="4">
        <f>IF(ISNUMBER(Student­­Performance[[#This Row],[Writing Score]]),Student­­Performance[[#This Row],[Writing Score]],0)</f>
        <v>68</v>
      </c>
      <c r="Q409" s="4" t="str">
        <f>IF(Student­­Performance[[#This Row],[Math Score]]&gt;=50,"Pass","Fail")</f>
        <v>Pass</v>
      </c>
      <c r="R409" s="4" t="str">
        <f>IF(Student­­Performance[[#This Row],[Reading Score]]&gt;=50,"Pass","Fail")</f>
        <v>Pass</v>
      </c>
      <c r="S409" s="4" t="str">
        <f>IF(Student­­Performance[[#This Row],[Writing Score]]&gt;=50,"Pass","Fail")</f>
        <v>Pass</v>
      </c>
      <c r="T40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213</v>
      </c>
      <c r="U409" s="4" cm="1">
        <f t="array" ref="U409">IF(COUNT(F409:H409)=0,"", MAX(IF(ISNUMBER(F409:H409),F409:H409)) - MIN(IF(ISNUMBER(F409:H409),F409:H409)))</f>
        <v>6</v>
      </c>
      <c r="V409" s="4" t="str">
        <f>IF(U409="","",IF(U409&gt;25,"Outlier","Normal"))</f>
        <v>Normal</v>
      </c>
    </row>
    <row r="410" spans="1:22" x14ac:dyDescent="0.3">
      <c r="A410" s="1" t="s">
        <v>17</v>
      </c>
      <c r="B410" s="1" t="s">
        <v>13</v>
      </c>
      <c r="C410" s="1" t="s">
        <v>83</v>
      </c>
      <c r="D410" s="1" t="s">
        <v>11</v>
      </c>
      <c r="E410" s="1" t="s">
        <v>15</v>
      </c>
      <c r="F410" s="4">
        <v>71</v>
      </c>
      <c r="G410" s="4">
        <v>74</v>
      </c>
      <c r="H410" s="4">
        <v>68</v>
      </c>
      <c r="I410" s="4">
        <f>AVERAGE(Student­­Performance[[#This Row],[Math Score]],Student­­Performance[[#This Row],[Reading Score]],Student­­Performance[[#This Row],[Writing Score]])</f>
        <v>71</v>
      </c>
      <c r="J410" s="10" t="str">
        <f>IF(Student­­Performance[[#This Row],[Average Score]]&gt;=50,"Pass","Fail")</f>
        <v>Pass</v>
      </c>
      <c r="K41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41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41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410" s="4">
        <f>IF(ISNUMBER(Student­­Performance[[#This Row],[Math Score]]),Student­­Performance[[#This Row],[Math Score]],0)</f>
        <v>71</v>
      </c>
      <c r="O410" s="4">
        <f>IF(ISNUMBER(Student­­Performance[[#This Row],[Reading Score]]),Student­­Performance[[#This Row],[Reading Score]],0)</f>
        <v>74</v>
      </c>
      <c r="P410" s="4">
        <f>IF(ISNUMBER(Student­­Performance[[#This Row],[Writing Score]]),Student­­Performance[[#This Row],[Writing Score]],0)</f>
        <v>68</v>
      </c>
      <c r="Q410" s="4" t="str">
        <f>IF(Student­­Performance[[#This Row],[Math Score]]&gt;=50,"Pass","Fail")</f>
        <v>Pass</v>
      </c>
      <c r="R410" s="4" t="str">
        <f>IF(Student­­Performance[[#This Row],[Reading Score]]&gt;=50,"Pass","Fail")</f>
        <v>Pass</v>
      </c>
      <c r="S410" s="4" t="str">
        <f>IF(Student­­Performance[[#This Row],[Writing Score]]&gt;=50,"Pass","Fail")</f>
        <v>Pass</v>
      </c>
      <c r="T41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213</v>
      </c>
      <c r="U410" s="4" cm="1">
        <f t="array" ref="U410">IF(COUNT(F410:H410)=0,"", MAX(IF(ISNUMBER(F410:H410),F410:H410)) - MIN(IF(ISNUMBER(F410:H410),F410:H410)))</f>
        <v>6</v>
      </c>
      <c r="V410" s="4" t="str">
        <f>IF(U410="","",IF(U410&gt;25,"Outlier","Normal"))</f>
        <v>Normal</v>
      </c>
    </row>
    <row r="411" spans="1:22" x14ac:dyDescent="0.3">
      <c r="A411" s="1" t="s">
        <v>8</v>
      </c>
      <c r="B411" s="1" t="s">
        <v>21</v>
      </c>
      <c r="C411" s="1" t="s">
        <v>84</v>
      </c>
      <c r="D411" s="1" t="s">
        <v>20</v>
      </c>
      <c r="E411" s="1" t="s">
        <v>15</v>
      </c>
      <c r="F411" s="4">
        <v>59</v>
      </c>
      <c r="G411" s="4">
        <v>78</v>
      </c>
      <c r="H411" s="4">
        <v>76</v>
      </c>
      <c r="I411" s="4">
        <f>AVERAGE(Student­­Performance[[#This Row],[Math Score]],Student­­Performance[[#This Row],[Reading Score]],Student­­Performance[[#This Row],[Writing Score]])</f>
        <v>71</v>
      </c>
      <c r="J411" s="10" t="str">
        <f>IF(Student­­Performance[[#This Row],[Average Score]]&gt;=50,"Pass","Fail")</f>
        <v>Pass</v>
      </c>
      <c r="K41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19</v>
      </c>
      <c r="L41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41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17</v>
      </c>
      <c r="N411" s="4">
        <f>IF(ISNUMBER(Student­­Performance[[#This Row],[Math Score]]),Student­­Performance[[#This Row],[Math Score]],0)</f>
        <v>59</v>
      </c>
      <c r="O411" s="4">
        <f>IF(ISNUMBER(Student­­Performance[[#This Row],[Reading Score]]),Student­­Performance[[#This Row],[Reading Score]],0)</f>
        <v>78</v>
      </c>
      <c r="P411" s="4">
        <f>IF(ISNUMBER(Student­­Performance[[#This Row],[Writing Score]]),Student­­Performance[[#This Row],[Writing Score]],0)</f>
        <v>76</v>
      </c>
      <c r="Q411" s="4" t="str">
        <f>IF(Student­­Performance[[#This Row],[Math Score]]&gt;=50,"Pass","Fail")</f>
        <v>Pass</v>
      </c>
      <c r="R411" s="4" t="str">
        <f>IF(Student­­Performance[[#This Row],[Reading Score]]&gt;=50,"Pass","Fail")</f>
        <v>Pass</v>
      </c>
      <c r="S411" s="4" t="str">
        <f>IF(Student­­Performance[[#This Row],[Writing Score]]&gt;=50,"Pass","Fail")</f>
        <v>Pass</v>
      </c>
      <c r="T41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213</v>
      </c>
      <c r="U411" s="4" cm="1">
        <f t="array" ref="U411">IF(COUNT(F411:H411)=0,"", MAX(IF(ISNUMBER(F411:H411),F411:H411)) - MIN(IF(ISNUMBER(F411:H411),F411:H411)))</f>
        <v>19</v>
      </c>
      <c r="V411" s="4" t="str">
        <f>IF(U411="","",IF(U411&gt;25,"Outlier","Normal"))</f>
        <v>Normal</v>
      </c>
    </row>
    <row r="412" spans="1:22" x14ac:dyDescent="0.3">
      <c r="A412" s="1" t="s">
        <v>8</v>
      </c>
      <c r="B412" s="1" t="s">
        <v>26</v>
      </c>
      <c r="C412" s="1" t="s">
        <v>84</v>
      </c>
      <c r="D412" s="1" t="s">
        <v>11</v>
      </c>
      <c r="E412" s="1" t="s">
        <v>15</v>
      </c>
      <c r="F412" s="4">
        <v>66</v>
      </c>
      <c r="G412" s="4">
        <v>74</v>
      </c>
      <c r="H412" s="4">
        <v>73</v>
      </c>
      <c r="I412" s="4">
        <f>AVERAGE(Student­­Performance[[#This Row],[Math Score]],Student­­Performance[[#This Row],[Reading Score]],Student­­Performance[[#This Row],[Writing Score]])</f>
        <v>71</v>
      </c>
      <c r="J412" s="10" t="str">
        <f>IF(Student­­Performance[[#This Row],[Average Score]]&gt;=50,"Pass","Fail")</f>
        <v>Pass</v>
      </c>
      <c r="K41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41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41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412" s="4">
        <f>IF(ISNUMBER(Student­­Performance[[#This Row],[Math Score]]),Student­­Performance[[#This Row],[Math Score]],0)</f>
        <v>66</v>
      </c>
      <c r="O412" s="4">
        <f>IF(ISNUMBER(Student­­Performance[[#This Row],[Reading Score]]),Student­­Performance[[#This Row],[Reading Score]],0)</f>
        <v>74</v>
      </c>
      <c r="P412" s="4">
        <f>IF(ISNUMBER(Student­­Performance[[#This Row],[Writing Score]]),Student­­Performance[[#This Row],[Writing Score]],0)</f>
        <v>73</v>
      </c>
      <c r="Q412" s="4" t="str">
        <f>IF(Student­­Performance[[#This Row],[Math Score]]&gt;=50,"Pass","Fail")</f>
        <v>Pass</v>
      </c>
      <c r="R412" s="4" t="str">
        <f>IF(Student­­Performance[[#This Row],[Reading Score]]&gt;=50,"Pass","Fail")</f>
        <v>Pass</v>
      </c>
      <c r="S412" s="4" t="str">
        <f>IF(Student­­Performance[[#This Row],[Writing Score]]&gt;=50,"Pass","Fail")</f>
        <v>Pass</v>
      </c>
      <c r="T41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213</v>
      </c>
      <c r="U412" s="4" cm="1">
        <f t="array" ref="U412">IF(COUNT(F412:H412)=0,"", MAX(IF(ISNUMBER(F412:H412),F412:H412)) - MIN(IF(ISNUMBER(F412:H412),F412:H412)))</f>
        <v>8</v>
      </c>
      <c r="V412" s="4" t="str">
        <f>IF(U412="","",IF(U412&gt;25,"Outlier","Normal"))</f>
        <v>Normal</v>
      </c>
    </row>
    <row r="413" spans="1:22" x14ac:dyDescent="0.3">
      <c r="A413" s="1" t="s">
        <v>8</v>
      </c>
      <c r="B413" s="1" t="s">
        <v>21</v>
      </c>
      <c r="C413" s="1" t="s">
        <v>87</v>
      </c>
      <c r="D413" s="1" t="s">
        <v>11</v>
      </c>
      <c r="E413" s="1" t="s">
        <v>12</v>
      </c>
      <c r="F413" s="4">
        <v>67</v>
      </c>
      <c r="G413" s="4">
        <v>72</v>
      </c>
      <c r="H413" s="4">
        <v>74</v>
      </c>
      <c r="I413" s="4">
        <f>AVERAGE(Student­­Performance[[#This Row],[Math Score]],Student­­Performance[[#This Row],[Reading Score]],Student­­Performance[[#This Row],[Writing Score]])</f>
        <v>71</v>
      </c>
      <c r="J413" s="10" t="str">
        <f>IF(Student­­Performance[[#This Row],[Average Score]]&gt;=50,"Pass","Fail")</f>
        <v>Pass</v>
      </c>
      <c r="K41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41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41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413" s="4">
        <f>IF(ISNUMBER(Student­­Performance[[#This Row],[Math Score]]),Student­­Performance[[#This Row],[Math Score]],0)</f>
        <v>67</v>
      </c>
      <c r="O413" s="4">
        <f>IF(ISNUMBER(Student­­Performance[[#This Row],[Reading Score]]),Student­­Performance[[#This Row],[Reading Score]],0)</f>
        <v>72</v>
      </c>
      <c r="P413" s="4">
        <f>IF(ISNUMBER(Student­­Performance[[#This Row],[Writing Score]]),Student­­Performance[[#This Row],[Writing Score]],0)</f>
        <v>74</v>
      </c>
      <c r="Q413" s="4" t="str">
        <f>IF(Student­­Performance[[#This Row],[Math Score]]&gt;=50,"Pass","Fail")</f>
        <v>Pass</v>
      </c>
      <c r="R413" s="4" t="str">
        <f>IF(Student­­Performance[[#This Row],[Reading Score]]&gt;=50,"Pass","Fail")</f>
        <v>Pass</v>
      </c>
      <c r="S413" s="4" t="str">
        <f>IF(Student­­Performance[[#This Row],[Writing Score]]&gt;=50,"Pass","Fail")</f>
        <v>Pass</v>
      </c>
      <c r="T41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213</v>
      </c>
      <c r="U413" s="4" cm="1">
        <f t="array" ref="U413">IF(COUNT(F413:H413)=0,"", MAX(IF(ISNUMBER(F413:H413),F413:H413)) - MIN(IF(ISNUMBER(F413:H413),F413:H413)))</f>
        <v>7</v>
      </c>
      <c r="V413" s="4" t="str">
        <f>IF(U413="","",IF(U413&gt;25,"Outlier","Normal"))</f>
        <v>Normal</v>
      </c>
    </row>
    <row r="414" spans="1:22" x14ac:dyDescent="0.3">
      <c r="A414" s="1" t="s">
        <v>8</v>
      </c>
      <c r="B414" s="1" t="s">
        <v>21</v>
      </c>
      <c r="C414" s="1" t="s">
        <v>84</v>
      </c>
      <c r="D414" s="1" t="s">
        <v>20</v>
      </c>
      <c r="E414" s="1" t="s">
        <v>12</v>
      </c>
      <c r="F414" s="4">
        <v>64</v>
      </c>
      <c r="G414" s="4">
        <v>74</v>
      </c>
      <c r="H414" s="4">
        <v>75</v>
      </c>
      <c r="I414" s="4">
        <f>AVERAGE(Student­­Performance[[#This Row],[Math Score]],Student­­Performance[[#This Row],[Reading Score]],Student­­Performance[[#This Row],[Writing Score]])</f>
        <v>71</v>
      </c>
      <c r="J414" s="10" t="str">
        <f>IF(Student­­Performance[[#This Row],[Average Score]]&gt;=50,"Pass","Fail")</f>
        <v>Pass</v>
      </c>
      <c r="K41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41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41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414" s="4">
        <f>IF(ISNUMBER(Student­­Performance[[#This Row],[Math Score]]),Student­­Performance[[#This Row],[Math Score]],0)</f>
        <v>64</v>
      </c>
      <c r="O414" s="4">
        <f>IF(ISNUMBER(Student­­Performance[[#This Row],[Reading Score]]),Student­­Performance[[#This Row],[Reading Score]],0)</f>
        <v>74</v>
      </c>
      <c r="P414" s="4">
        <f>IF(ISNUMBER(Student­­Performance[[#This Row],[Writing Score]]),Student­­Performance[[#This Row],[Writing Score]],0)</f>
        <v>75</v>
      </c>
      <c r="Q414" s="4" t="str">
        <f>IF(Student­­Performance[[#This Row],[Math Score]]&gt;=50,"Pass","Fail")</f>
        <v>Pass</v>
      </c>
      <c r="R414" s="4" t="str">
        <f>IF(Student­­Performance[[#This Row],[Reading Score]]&gt;=50,"Pass","Fail")</f>
        <v>Pass</v>
      </c>
      <c r="S414" s="4" t="str">
        <f>IF(Student­­Performance[[#This Row],[Writing Score]]&gt;=50,"Pass","Fail")</f>
        <v>Pass</v>
      </c>
      <c r="T41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213</v>
      </c>
      <c r="U414" s="4" cm="1">
        <f t="array" ref="U414">IF(COUNT(F414:H414)=0,"", MAX(IF(ISNUMBER(F414:H414),F414:H414)) - MIN(IF(ISNUMBER(F414:H414),F414:H414)))</f>
        <v>11</v>
      </c>
      <c r="V414" s="4" t="str">
        <f>IF(U414="","",IF(U414&gt;25,"Outlier","Normal"))</f>
        <v>Normal</v>
      </c>
    </row>
    <row r="415" spans="1:22" x14ac:dyDescent="0.3">
      <c r="A415" s="1" t="s">
        <v>17</v>
      </c>
      <c r="B415" s="1" t="s">
        <v>21</v>
      </c>
      <c r="C415" s="1" t="s">
        <v>87</v>
      </c>
      <c r="D415" s="1" t="s">
        <v>20</v>
      </c>
      <c r="E415" s="1" t="s">
        <v>12</v>
      </c>
      <c r="F415" s="4">
        <v>74</v>
      </c>
      <c r="G415" s="4">
        <v>70</v>
      </c>
      <c r="H415" s="4">
        <v>69</v>
      </c>
      <c r="I415" s="4">
        <f>AVERAGE(Student­­Performance[[#This Row],[Math Score]],Student­­Performance[[#This Row],[Reading Score]],Student­­Performance[[#This Row],[Writing Score]])</f>
        <v>71</v>
      </c>
      <c r="J415" s="10" t="str">
        <f>IF(Student­­Performance[[#This Row],[Average Score]]&gt;=50,"Pass","Fail")</f>
        <v>Pass</v>
      </c>
      <c r="K41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41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41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-5</v>
      </c>
      <c r="N415" s="4">
        <f>IF(ISNUMBER(Student­­Performance[[#This Row],[Math Score]]),Student­­Performance[[#This Row],[Math Score]],0)</f>
        <v>74</v>
      </c>
      <c r="O415" s="4">
        <f>IF(ISNUMBER(Student­­Performance[[#This Row],[Reading Score]]),Student­­Performance[[#This Row],[Reading Score]],0)</f>
        <v>70</v>
      </c>
      <c r="P415" s="4">
        <f>IF(ISNUMBER(Student­­Performance[[#This Row],[Writing Score]]),Student­­Performance[[#This Row],[Writing Score]],0)</f>
        <v>69</v>
      </c>
      <c r="Q415" s="4" t="str">
        <f>IF(Student­­Performance[[#This Row],[Math Score]]&gt;=50,"Pass","Fail")</f>
        <v>Pass</v>
      </c>
      <c r="R415" s="4" t="str">
        <f>IF(Student­­Performance[[#This Row],[Reading Score]]&gt;=50,"Pass","Fail")</f>
        <v>Pass</v>
      </c>
      <c r="S415" s="4" t="str">
        <f>IF(Student­­Performance[[#This Row],[Writing Score]]&gt;=50,"Pass","Fail")</f>
        <v>Pass</v>
      </c>
      <c r="T41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213</v>
      </c>
      <c r="U415" s="4" cm="1">
        <f t="array" ref="U415">IF(COUNT(F415:H415)=0,"", MAX(IF(ISNUMBER(F415:H415),F415:H415)) - MIN(IF(ISNUMBER(F415:H415),F415:H415)))</f>
        <v>5</v>
      </c>
      <c r="V415" s="4" t="str">
        <f>IF(U415="","",IF(U415&gt;25,"Outlier","Normal"))</f>
        <v>Normal</v>
      </c>
    </row>
    <row r="416" spans="1:22" x14ac:dyDescent="0.3">
      <c r="A416" s="1" t="s">
        <v>17</v>
      </c>
      <c r="B416" s="1" t="s">
        <v>18</v>
      </c>
      <c r="C416" s="1" t="s">
        <v>83</v>
      </c>
      <c r="D416" s="1" t="s">
        <v>11</v>
      </c>
      <c r="E416" s="1" t="s">
        <v>12</v>
      </c>
      <c r="F416" s="4">
        <v>77</v>
      </c>
      <c r="G416" s="4">
        <v>67</v>
      </c>
      <c r="H416" s="4">
        <v>68</v>
      </c>
      <c r="I416" s="4">
        <f>AVERAGE(Student­­Performance[[#This Row],[Math Score]],Student­­Performance[[#This Row],[Reading Score]],Student­­Performance[[#This Row],[Writing Score]])</f>
        <v>70.666666666666671</v>
      </c>
      <c r="J416" s="10" t="str">
        <f>IF(Student­­Performance[[#This Row],[Average Score]]&gt;=50,"Pass","Fail")</f>
        <v>Pass</v>
      </c>
      <c r="K41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-10</v>
      </c>
      <c r="L41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41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-9</v>
      </c>
      <c r="N416" s="4">
        <f>IF(ISNUMBER(Student­­Performance[[#This Row],[Math Score]]),Student­­Performance[[#This Row],[Math Score]],0)</f>
        <v>77</v>
      </c>
      <c r="O416" s="4">
        <f>IF(ISNUMBER(Student­­Performance[[#This Row],[Reading Score]]),Student­­Performance[[#This Row],[Reading Score]],0)</f>
        <v>67</v>
      </c>
      <c r="P416" s="4">
        <f>IF(ISNUMBER(Student­­Performance[[#This Row],[Writing Score]]),Student­­Performance[[#This Row],[Writing Score]],0)</f>
        <v>68</v>
      </c>
      <c r="Q416" s="4" t="str">
        <f>IF(Student­­Performance[[#This Row],[Math Score]]&gt;=50,"Pass","Fail")</f>
        <v>Pass</v>
      </c>
      <c r="R416" s="4" t="str">
        <f>IF(Student­­Performance[[#This Row],[Reading Score]]&gt;=50,"Pass","Fail")</f>
        <v>Pass</v>
      </c>
      <c r="S416" s="4" t="str">
        <f>IF(Student­­Performance[[#This Row],[Writing Score]]&gt;=50,"Pass","Fail")</f>
        <v>Pass</v>
      </c>
      <c r="T41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212</v>
      </c>
      <c r="U416" s="4" cm="1">
        <f t="array" ref="U416">IF(COUNT(F416:H416)=0,"", MAX(IF(ISNUMBER(F416:H416),F416:H416)) - MIN(IF(ISNUMBER(F416:H416),F416:H416)))</f>
        <v>10</v>
      </c>
      <c r="V416" s="4" t="str">
        <f>IF(U416="","",IF(U416&gt;25,"Outlier","Normal"))</f>
        <v>Normal</v>
      </c>
    </row>
    <row r="417" spans="1:22" x14ac:dyDescent="0.3">
      <c r="A417" s="1" t="s">
        <v>8</v>
      </c>
      <c r="B417" s="1" t="s">
        <v>9</v>
      </c>
      <c r="C417" s="1" t="s">
        <v>85</v>
      </c>
      <c r="D417" s="1" t="s">
        <v>20</v>
      </c>
      <c r="E417" s="1" t="s">
        <v>15</v>
      </c>
      <c r="F417" s="4">
        <v>58</v>
      </c>
      <c r="G417" s="4">
        <v>76</v>
      </c>
      <c r="H417" s="4">
        <v>78</v>
      </c>
      <c r="I417" s="4">
        <f>AVERAGE(Student­­Performance[[#This Row],[Math Score]],Student­­Performance[[#This Row],[Reading Score]],Student­­Performance[[#This Row],[Writing Score]])</f>
        <v>70.666666666666671</v>
      </c>
      <c r="J417" s="10" t="str">
        <f>IF(Student­­Performance[[#This Row],[Average Score]]&gt;=50,"Pass","Fail")</f>
        <v>Pass</v>
      </c>
      <c r="K41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18</v>
      </c>
      <c r="L41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41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20</v>
      </c>
      <c r="N417" s="4">
        <f>IF(ISNUMBER(Student­­Performance[[#This Row],[Math Score]]),Student­­Performance[[#This Row],[Math Score]],0)</f>
        <v>58</v>
      </c>
      <c r="O417" s="4">
        <f>IF(ISNUMBER(Student­­Performance[[#This Row],[Reading Score]]),Student­­Performance[[#This Row],[Reading Score]],0)</f>
        <v>76</v>
      </c>
      <c r="P417" s="4">
        <f>IF(ISNUMBER(Student­­Performance[[#This Row],[Writing Score]]),Student­­Performance[[#This Row],[Writing Score]],0)</f>
        <v>78</v>
      </c>
      <c r="Q417" s="4" t="str">
        <f>IF(Student­­Performance[[#This Row],[Math Score]]&gt;=50,"Pass","Fail")</f>
        <v>Pass</v>
      </c>
      <c r="R417" s="4" t="str">
        <f>IF(Student­­Performance[[#This Row],[Reading Score]]&gt;=50,"Pass","Fail")</f>
        <v>Pass</v>
      </c>
      <c r="S417" s="4" t="str">
        <f>IF(Student­­Performance[[#This Row],[Writing Score]]&gt;=50,"Pass","Fail")</f>
        <v>Pass</v>
      </c>
      <c r="T41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212</v>
      </c>
      <c r="U417" s="4" cm="1">
        <f t="array" ref="U417">IF(COUNT(F417:H417)=0,"", MAX(IF(ISNUMBER(F417:H417),F417:H417)) - MIN(IF(ISNUMBER(F417:H417),F417:H417)))</f>
        <v>20</v>
      </c>
      <c r="V417" s="4" t="str">
        <f>IF(U417="","",IF(U417&gt;25,"Outlier","Normal"))</f>
        <v>Normal</v>
      </c>
    </row>
    <row r="418" spans="1:22" x14ac:dyDescent="0.3">
      <c r="A418" s="1" t="s">
        <v>8</v>
      </c>
      <c r="B418" s="1" t="s">
        <v>13</v>
      </c>
      <c r="C418" s="1" t="s">
        <v>84</v>
      </c>
      <c r="D418" s="1" t="s">
        <v>20</v>
      </c>
      <c r="E418" s="1" t="s">
        <v>15</v>
      </c>
      <c r="F418" s="4">
        <v>67</v>
      </c>
      <c r="G418" s="4">
        <v>75</v>
      </c>
      <c r="H418" s="4">
        <v>70</v>
      </c>
      <c r="I418" s="4">
        <f>AVERAGE(Student­­Performance[[#This Row],[Math Score]],Student­­Performance[[#This Row],[Reading Score]],Student­­Performance[[#This Row],[Writing Score]])</f>
        <v>70.666666666666671</v>
      </c>
      <c r="J418" s="10" t="str">
        <f>IF(Student­­Performance[[#This Row],[Average Score]]&gt;=50,"Pass","Fail")</f>
        <v>Pass</v>
      </c>
      <c r="K41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41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41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418" s="4">
        <f>IF(ISNUMBER(Student­­Performance[[#This Row],[Math Score]]),Student­­Performance[[#This Row],[Math Score]],0)</f>
        <v>67</v>
      </c>
      <c r="O418" s="4">
        <f>IF(ISNUMBER(Student­­Performance[[#This Row],[Reading Score]]),Student­­Performance[[#This Row],[Reading Score]],0)</f>
        <v>75</v>
      </c>
      <c r="P418" s="4">
        <f>IF(ISNUMBER(Student­­Performance[[#This Row],[Writing Score]]),Student­­Performance[[#This Row],[Writing Score]],0)</f>
        <v>70</v>
      </c>
      <c r="Q418" s="4" t="str">
        <f>IF(Student­­Performance[[#This Row],[Math Score]]&gt;=50,"Pass","Fail")</f>
        <v>Pass</v>
      </c>
      <c r="R418" s="4" t="str">
        <f>IF(Student­­Performance[[#This Row],[Reading Score]]&gt;=50,"Pass","Fail")</f>
        <v>Pass</v>
      </c>
      <c r="S418" s="4" t="str">
        <f>IF(Student­­Performance[[#This Row],[Writing Score]]&gt;=50,"Pass","Fail")</f>
        <v>Pass</v>
      </c>
      <c r="T41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212</v>
      </c>
      <c r="U418" s="4" cm="1">
        <f t="array" ref="U418">IF(COUNT(F418:H418)=0,"", MAX(IF(ISNUMBER(F418:H418),F418:H418)) - MIN(IF(ISNUMBER(F418:H418),F418:H418)))</f>
        <v>8</v>
      </c>
      <c r="V418" s="4" t="str">
        <f>IF(U418="","",IF(U418&gt;25,"Outlier","Normal"))</f>
        <v>Normal</v>
      </c>
    </row>
    <row r="419" spans="1:22" x14ac:dyDescent="0.3">
      <c r="A419" s="1" t="s">
        <v>17</v>
      </c>
      <c r="B419" s="1" t="s">
        <v>13</v>
      </c>
      <c r="C419" s="1" t="s">
        <v>87</v>
      </c>
      <c r="D419" s="1" t="s">
        <v>11</v>
      </c>
      <c r="E419" s="1" t="s">
        <v>15</v>
      </c>
      <c r="F419" s="4">
        <v>75</v>
      </c>
      <c r="G419" s="4">
        <v>69</v>
      </c>
      <c r="H419" s="4">
        <v>68</v>
      </c>
      <c r="I419" s="4">
        <f>AVERAGE(Student­­Performance[[#This Row],[Math Score]],Student­­Performance[[#This Row],[Reading Score]],Student­­Performance[[#This Row],[Writing Score]])</f>
        <v>70.666666666666671</v>
      </c>
      <c r="J419" s="10" t="str">
        <f>IF(Student­­Performance[[#This Row],[Average Score]]&gt;=50,"Pass","Fail")</f>
        <v>Pass</v>
      </c>
      <c r="K41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41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41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419" s="4">
        <f>IF(ISNUMBER(Student­­Performance[[#This Row],[Math Score]]),Student­­Performance[[#This Row],[Math Score]],0)</f>
        <v>75</v>
      </c>
      <c r="O419" s="4">
        <f>IF(ISNUMBER(Student­­Performance[[#This Row],[Reading Score]]),Student­­Performance[[#This Row],[Reading Score]],0)</f>
        <v>69</v>
      </c>
      <c r="P419" s="4">
        <f>IF(ISNUMBER(Student­­Performance[[#This Row],[Writing Score]]),Student­­Performance[[#This Row],[Writing Score]],0)</f>
        <v>68</v>
      </c>
      <c r="Q419" s="4" t="str">
        <f>IF(Student­­Performance[[#This Row],[Math Score]]&gt;=50,"Pass","Fail")</f>
        <v>Pass</v>
      </c>
      <c r="R419" s="4" t="str">
        <f>IF(Student­­Performance[[#This Row],[Reading Score]]&gt;=50,"Pass","Fail")</f>
        <v>Pass</v>
      </c>
      <c r="S419" s="4" t="str">
        <f>IF(Student­­Performance[[#This Row],[Writing Score]]&gt;=50,"Pass","Fail")</f>
        <v>Pass</v>
      </c>
      <c r="T41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212</v>
      </c>
      <c r="U419" s="4" cm="1">
        <f t="array" ref="U419">IF(COUNT(F419:H419)=0,"", MAX(IF(ISNUMBER(F419:H419),F419:H419)) - MIN(IF(ISNUMBER(F419:H419),F419:H419)))</f>
        <v>7</v>
      </c>
      <c r="V419" s="4" t="str">
        <f>IF(U419="","",IF(U419&gt;25,"Outlier","Normal"))</f>
        <v>Normal</v>
      </c>
    </row>
    <row r="420" spans="1:22" x14ac:dyDescent="0.3">
      <c r="A420" s="1" t="s">
        <v>8</v>
      </c>
      <c r="B420" s="1" t="s">
        <v>13</v>
      </c>
      <c r="C420" s="1" t="s">
        <v>83</v>
      </c>
      <c r="D420" s="1" t="s">
        <v>11</v>
      </c>
      <c r="E420" s="1" t="s">
        <v>12</v>
      </c>
      <c r="F420" s="4">
        <v>67</v>
      </c>
      <c r="G420" s="4">
        <v>69</v>
      </c>
      <c r="H420" s="4">
        <v>75</v>
      </c>
      <c r="I420" s="4">
        <f>AVERAGE(Student­­Performance[[#This Row],[Math Score]],Student­­Performance[[#This Row],[Reading Score]],Student­­Performance[[#This Row],[Writing Score]])</f>
        <v>70.333333333333329</v>
      </c>
      <c r="J420" s="10" t="str">
        <f>IF(Student­­Performance[[#This Row],[Average Score]]&gt;=50,"Pass","Fail")</f>
        <v>Pass</v>
      </c>
      <c r="K42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42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42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420" s="4">
        <f>IF(ISNUMBER(Student­­Performance[[#This Row],[Math Score]]),Student­­Performance[[#This Row],[Math Score]],0)</f>
        <v>67</v>
      </c>
      <c r="O420" s="4">
        <f>IF(ISNUMBER(Student­­Performance[[#This Row],[Reading Score]]),Student­­Performance[[#This Row],[Reading Score]],0)</f>
        <v>69</v>
      </c>
      <c r="P420" s="4">
        <f>IF(ISNUMBER(Student­­Performance[[#This Row],[Writing Score]]),Student­­Performance[[#This Row],[Writing Score]],0)</f>
        <v>75</v>
      </c>
      <c r="Q420" s="4" t="str">
        <f>IF(Student­­Performance[[#This Row],[Math Score]]&gt;=50,"Pass","Fail")</f>
        <v>Pass</v>
      </c>
      <c r="R420" s="4" t="str">
        <f>IF(Student­­Performance[[#This Row],[Reading Score]]&gt;=50,"Pass","Fail")</f>
        <v>Pass</v>
      </c>
      <c r="S420" s="4" t="str">
        <f>IF(Student­­Performance[[#This Row],[Writing Score]]&gt;=50,"Pass","Fail")</f>
        <v>Pass</v>
      </c>
      <c r="T42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211</v>
      </c>
      <c r="U420" s="4" cm="1">
        <f t="array" ref="U420">IF(COUNT(F420:H420)=0,"", MAX(IF(ISNUMBER(F420:H420),F420:H420)) - MIN(IF(ISNUMBER(F420:H420),F420:H420)))</f>
        <v>8</v>
      </c>
      <c r="V420" s="4" t="str">
        <f>IF(U420="","",IF(U420&gt;25,"Outlier","Normal"))</f>
        <v>Normal</v>
      </c>
    </row>
    <row r="421" spans="1:22" x14ac:dyDescent="0.3">
      <c r="A421" s="1" t="s">
        <v>8</v>
      </c>
      <c r="B421" s="1" t="s">
        <v>13</v>
      </c>
      <c r="C421" s="1" t="s">
        <v>83</v>
      </c>
      <c r="D421" s="1" t="s">
        <v>11</v>
      </c>
      <c r="E421" s="1" t="s">
        <v>12</v>
      </c>
      <c r="F421" s="4">
        <v>65</v>
      </c>
      <c r="G421" s="4">
        <v>72</v>
      </c>
      <c r="H421" s="4">
        <v>74</v>
      </c>
      <c r="I421" s="4">
        <f>AVERAGE(Student­­Performance[[#This Row],[Math Score]],Student­­Performance[[#This Row],[Reading Score]],Student­­Performance[[#This Row],[Writing Score]])</f>
        <v>70.333333333333329</v>
      </c>
      <c r="J421" s="10" t="str">
        <f>IF(Student­­Performance[[#This Row],[Average Score]]&gt;=50,"Pass","Fail")</f>
        <v>Pass</v>
      </c>
      <c r="K42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42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42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421" s="4">
        <f>IF(ISNUMBER(Student­­Performance[[#This Row],[Math Score]]),Student­­Performance[[#This Row],[Math Score]],0)</f>
        <v>65</v>
      </c>
      <c r="O421" s="4">
        <f>IF(ISNUMBER(Student­­Performance[[#This Row],[Reading Score]]),Student­­Performance[[#This Row],[Reading Score]],0)</f>
        <v>72</v>
      </c>
      <c r="P421" s="4">
        <f>IF(ISNUMBER(Student­­Performance[[#This Row],[Writing Score]]),Student­­Performance[[#This Row],[Writing Score]],0)</f>
        <v>74</v>
      </c>
      <c r="Q421" s="4" t="str">
        <f>IF(Student­­Performance[[#This Row],[Math Score]]&gt;=50,"Pass","Fail")</f>
        <v>Pass</v>
      </c>
      <c r="R421" s="4" t="str">
        <f>IF(Student­­Performance[[#This Row],[Reading Score]]&gt;=50,"Pass","Fail")</f>
        <v>Pass</v>
      </c>
      <c r="S421" s="4" t="str">
        <f>IF(Student­­Performance[[#This Row],[Writing Score]]&gt;=50,"Pass","Fail")</f>
        <v>Pass</v>
      </c>
      <c r="T42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211</v>
      </c>
      <c r="U421" s="4" cm="1">
        <f t="array" ref="U421">IF(COUNT(F421:H421)=0,"", MAX(IF(ISNUMBER(F421:H421),F421:H421)) - MIN(IF(ISNUMBER(F421:H421),F421:H421)))</f>
        <v>9</v>
      </c>
      <c r="V421" s="4" t="str">
        <f>IF(U421="","",IF(U421&gt;25,"Outlier","Normal"))</f>
        <v>Normal</v>
      </c>
    </row>
    <row r="422" spans="1:22" x14ac:dyDescent="0.3">
      <c r="A422" s="1" t="s">
        <v>8</v>
      </c>
      <c r="B422" s="1" t="s">
        <v>13</v>
      </c>
      <c r="C422" s="1" t="s">
        <v>84</v>
      </c>
      <c r="D422" s="1" t="s">
        <v>11</v>
      </c>
      <c r="E422" s="1" t="s">
        <v>12</v>
      </c>
      <c r="F422" s="4">
        <v>63</v>
      </c>
      <c r="G422" s="4">
        <v>74</v>
      </c>
      <c r="H422" s="4">
        <v>74</v>
      </c>
      <c r="I422" s="4">
        <f>AVERAGE(Student­­Performance[[#This Row],[Math Score]],Student­­Performance[[#This Row],[Reading Score]],Student­­Performance[[#This Row],[Writing Score]])</f>
        <v>70.333333333333329</v>
      </c>
      <c r="J422" s="10" t="str">
        <f>IF(Student­­Performance[[#This Row],[Average Score]]&gt;=50,"Pass","Fail")</f>
        <v>Pass</v>
      </c>
      <c r="K42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42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42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422" s="4">
        <f>IF(ISNUMBER(Student­­Performance[[#This Row],[Math Score]]),Student­­Performance[[#This Row],[Math Score]],0)</f>
        <v>63</v>
      </c>
      <c r="O422" s="4">
        <f>IF(ISNUMBER(Student­­Performance[[#This Row],[Reading Score]]),Student­­Performance[[#This Row],[Reading Score]],0)</f>
        <v>74</v>
      </c>
      <c r="P422" s="4">
        <f>IF(ISNUMBER(Student­­Performance[[#This Row],[Writing Score]]),Student­­Performance[[#This Row],[Writing Score]],0)</f>
        <v>74</v>
      </c>
      <c r="Q422" s="4" t="str">
        <f>IF(Student­­Performance[[#This Row],[Math Score]]&gt;=50,"Pass","Fail")</f>
        <v>Pass</v>
      </c>
      <c r="R422" s="4" t="str">
        <f>IF(Student­­Performance[[#This Row],[Reading Score]]&gt;=50,"Pass","Fail")</f>
        <v>Pass</v>
      </c>
      <c r="S422" s="4" t="str">
        <f>IF(Student­­Performance[[#This Row],[Writing Score]]&gt;=50,"Pass","Fail")</f>
        <v>Pass</v>
      </c>
      <c r="T42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211</v>
      </c>
      <c r="U422" s="4" cm="1">
        <f t="array" ref="U422">IF(COUNT(F422:H422)=0,"", MAX(IF(ISNUMBER(F422:H422),F422:H422)) - MIN(IF(ISNUMBER(F422:H422),F422:H422)))</f>
        <v>11</v>
      </c>
      <c r="V422" s="4" t="str">
        <f>IF(U422="","",IF(U422&gt;25,"Outlier","Normal"))</f>
        <v>Normal</v>
      </c>
    </row>
    <row r="423" spans="1:22" x14ac:dyDescent="0.3">
      <c r="A423" s="1" t="s">
        <v>8</v>
      </c>
      <c r="B423" s="1" t="s">
        <v>21</v>
      </c>
      <c r="C423" s="1" t="s">
        <v>88</v>
      </c>
      <c r="D423" s="1" t="s">
        <v>11</v>
      </c>
      <c r="E423" s="1" t="s">
        <v>12</v>
      </c>
      <c r="F423" s="4">
        <v>59</v>
      </c>
      <c r="G423" s="4">
        <v>72</v>
      </c>
      <c r="H423" s="4">
        <v>80</v>
      </c>
      <c r="I423" s="4">
        <f>AVERAGE(Student­­Performance[[#This Row],[Math Score]],Student­­Performance[[#This Row],[Reading Score]],Student­­Performance[[#This Row],[Writing Score]])</f>
        <v>70.333333333333329</v>
      </c>
      <c r="J423" s="10" t="str">
        <f>IF(Student­­Performance[[#This Row],[Average Score]]&gt;=50,"Pass","Fail")</f>
        <v>Pass</v>
      </c>
      <c r="K42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13</v>
      </c>
      <c r="L42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8</v>
      </c>
      <c r="M42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21</v>
      </c>
      <c r="N423" s="4">
        <f>IF(ISNUMBER(Student­­Performance[[#This Row],[Math Score]]),Student­­Performance[[#This Row],[Math Score]],0)</f>
        <v>59</v>
      </c>
      <c r="O423" s="4">
        <f>IF(ISNUMBER(Student­­Performance[[#This Row],[Reading Score]]),Student­­Performance[[#This Row],[Reading Score]],0)</f>
        <v>72</v>
      </c>
      <c r="P423" s="4">
        <f>IF(ISNUMBER(Student­­Performance[[#This Row],[Writing Score]]),Student­­Performance[[#This Row],[Writing Score]],0)</f>
        <v>80</v>
      </c>
      <c r="Q423" s="4" t="str">
        <f>IF(Student­­Performance[[#This Row],[Math Score]]&gt;=50,"Pass","Fail")</f>
        <v>Pass</v>
      </c>
      <c r="R423" s="4" t="str">
        <f>IF(Student­­Performance[[#This Row],[Reading Score]]&gt;=50,"Pass","Fail")</f>
        <v>Pass</v>
      </c>
      <c r="S423" s="4" t="str">
        <f>IF(Student­­Performance[[#This Row],[Writing Score]]&gt;=50,"Pass","Fail")</f>
        <v>Pass</v>
      </c>
      <c r="T42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211</v>
      </c>
      <c r="U423" s="4" cm="1">
        <f t="array" ref="U423">IF(COUNT(F423:H423)=0,"", MAX(IF(ISNUMBER(F423:H423),F423:H423)) - MIN(IF(ISNUMBER(F423:H423),F423:H423)))</f>
        <v>21</v>
      </c>
      <c r="V423" s="4" t="str">
        <f>IF(U423="","",IF(U423&gt;25,"Outlier","Normal"))</f>
        <v>Normal</v>
      </c>
    </row>
    <row r="424" spans="1:22" x14ac:dyDescent="0.3">
      <c r="A424" s="1" t="s">
        <v>8</v>
      </c>
      <c r="B424" s="1" t="s">
        <v>26</v>
      </c>
      <c r="C424" s="1" t="s">
        <v>83</v>
      </c>
      <c r="D424" s="1" t="s">
        <v>11</v>
      </c>
      <c r="E424" s="1" t="s">
        <v>15</v>
      </c>
      <c r="F424" s="4">
        <v>71</v>
      </c>
      <c r="G424" s="4">
        <v>70</v>
      </c>
      <c r="H424" s="4">
        <v>70</v>
      </c>
      <c r="I424" s="4">
        <f>AVERAGE(Student­­Performance[[#This Row],[Math Score]],Student­­Performance[[#This Row],[Reading Score]],Student­­Performance[[#This Row],[Writing Score]])</f>
        <v>70.333333333333329</v>
      </c>
      <c r="J424" s="10" t="str">
        <f>IF(Student­­Performance[[#This Row],[Average Score]]&gt;=50,"Pass","Fail")</f>
        <v>Pass</v>
      </c>
      <c r="K42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42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42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424" s="4">
        <f>IF(ISNUMBER(Student­­Performance[[#This Row],[Math Score]]),Student­­Performance[[#This Row],[Math Score]],0)</f>
        <v>71</v>
      </c>
      <c r="O424" s="4">
        <f>IF(ISNUMBER(Student­­Performance[[#This Row],[Reading Score]]),Student­­Performance[[#This Row],[Reading Score]],0)</f>
        <v>70</v>
      </c>
      <c r="P424" s="4">
        <f>IF(ISNUMBER(Student­­Performance[[#This Row],[Writing Score]]),Student­­Performance[[#This Row],[Writing Score]],0)</f>
        <v>70</v>
      </c>
      <c r="Q424" s="4" t="str">
        <f>IF(Student­­Performance[[#This Row],[Math Score]]&gt;=50,"Pass","Fail")</f>
        <v>Pass</v>
      </c>
      <c r="R424" s="4" t="str">
        <f>IF(Student­­Performance[[#This Row],[Reading Score]]&gt;=50,"Pass","Fail")</f>
        <v>Pass</v>
      </c>
      <c r="S424" s="4" t="str">
        <f>IF(Student­­Performance[[#This Row],[Writing Score]]&gt;=50,"Pass","Fail")</f>
        <v>Pass</v>
      </c>
      <c r="T42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211</v>
      </c>
      <c r="U424" s="4" cm="1">
        <f t="array" ref="U424">IF(COUNT(F424:H424)=0,"", MAX(IF(ISNUMBER(F424:H424),F424:H424)) - MIN(IF(ISNUMBER(F424:H424),F424:H424)))</f>
        <v>1</v>
      </c>
      <c r="V424" s="4" t="str">
        <f>IF(U424="","",IF(U424&gt;25,"Outlier","Normal"))</f>
        <v>Normal</v>
      </c>
    </row>
    <row r="425" spans="1:22" x14ac:dyDescent="0.3">
      <c r="A425" s="1" t="s">
        <v>17</v>
      </c>
      <c r="B425" s="1" t="s">
        <v>13</v>
      </c>
      <c r="C425" s="1" t="s">
        <v>84</v>
      </c>
      <c r="D425" s="1" t="s">
        <v>20</v>
      </c>
      <c r="E425" s="1" t="s">
        <v>15</v>
      </c>
      <c r="F425" s="4">
        <v>67</v>
      </c>
      <c r="G425" s="4">
        <v>74</v>
      </c>
      <c r="H425" s="4">
        <v>70</v>
      </c>
      <c r="I425" s="4">
        <f>AVERAGE(Student­­Performance[[#This Row],[Math Score]],Student­­Performance[[#This Row],[Reading Score]],Student­­Performance[[#This Row],[Writing Score]])</f>
        <v>70.333333333333329</v>
      </c>
      <c r="J425" s="10" t="str">
        <f>IF(Student­­Performance[[#This Row],[Average Score]]&gt;=50,"Pass","Fail")</f>
        <v>Pass</v>
      </c>
      <c r="K42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42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42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425" s="4">
        <f>IF(ISNUMBER(Student­­Performance[[#This Row],[Math Score]]),Student­­Performance[[#This Row],[Math Score]],0)</f>
        <v>67</v>
      </c>
      <c r="O425" s="4">
        <f>IF(ISNUMBER(Student­­Performance[[#This Row],[Reading Score]]),Student­­Performance[[#This Row],[Reading Score]],0)</f>
        <v>74</v>
      </c>
      <c r="P425" s="4">
        <f>IF(ISNUMBER(Student­­Performance[[#This Row],[Writing Score]]),Student­­Performance[[#This Row],[Writing Score]],0)</f>
        <v>70</v>
      </c>
      <c r="Q425" s="4" t="str">
        <f>IF(Student­­Performance[[#This Row],[Math Score]]&gt;=50,"Pass","Fail")</f>
        <v>Pass</v>
      </c>
      <c r="R425" s="4" t="str">
        <f>IF(Student­­Performance[[#This Row],[Reading Score]]&gt;=50,"Pass","Fail")</f>
        <v>Pass</v>
      </c>
      <c r="S425" s="4" t="str">
        <f>IF(Student­­Performance[[#This Row],[Writing Score]]&gt;=50,"Pass","Fail")</f>
        <v>Pass</v>
      </c>
      <c r="T42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211</v>
      </c>
      <c r="U425" s="4" cm="1">
        <f t="array" ref="U425">IF(COUNT(F425:H425)=0,"", MAX(IF(ISNUMBER(F425:H425),F425:H425)) - MIN(IF(ISNUMBER(F425:H425),F425:H425)))</f>
        <v>7</v>
      </c>
      <c r="V425" s="4" t="str">
        <f>IF(U425="","",IF(U425&gt;25,"Outlier","Normal"))</f>
        <v>Normal</v>
      </c>
    </row>
    <row r="426" spans="1:22" x14ac:dyDescent="0.3">
      <c r="A426" s="1" t="s">
        <v>17</v>
      </c>
      <c r="B426" s="1" t="s">
        <v>13</v>
      </c>
      <c r="C426" s="1" t="s">
        <v>87</v>
      </c>
      <c r="D426" s="1" t="s">
        <v>11</v>
      </c>
      <c r="E426" s="1" t="s">
        <v>12</v>
      </c>
      <c r="F426" s="4">
        <v>81</v>
      </c>
      <c r="G426" s="4">
        <v>66</v>
      </c>
      <c r="H426" s="4">
        <v>64</v>
      </c>
      <c r="I426" s="4">
        <f>AVERAGE(Student­­Performance[[#This Row],[Math Score]],Student­­Performance[[#This Row],[Reading Score]],Student­­Performance[[#This Row],[Writing Score]])</f>
        <v>70.333333333333329</v>
      </c>
      <c r="J426" s="10" t="str">
        <f>IF(Student­­Performance[[#This Row],[Average Score]]&gt;=50,"Pass","Fail")</f>
        <v>Pass</v>
      </c>
      <c r="K42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-15</v>
      </c>
      <c r="L42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42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-17</v>
      </c>
      <c r="N426" s="4">
        <f>IF(ISNUMBER(Student­­Performance[[#This Row],[Math Score]]),Student­­Performance[[#This Row],[Math Score]],0)</f>
        <v>81</v>
      </c>
      <c r="O426" s="4">
        <f>IF(ISNUMBER(Student­­Performance[[#This Row],[Reading Score]]),Student­­Performance[[#This Row],[Reading Score]],0)</f>
        <v>66</v>
      </c>
      <c r="P426" s="4">
        <f>IF(ISNUMBER(Student­­Performance[[#This Row],[Writing Score]]),Student­­Performance[[#This Row],[Writing Score]],0)</f>
        <v>64</v>
      </c>
      <c r="Q426" s="4" t="str">
        <f>IF(Student­­Performance[[#This Row],[Math Score]]&gt;=50,"Pass","Fail")</f>
        <v>Pass</v>
      </c>
      <c r="R426" s="4" t="str">
        <f>IF(Student­­Performance[[#This Row],[Reading Score]]&gt;=50,"Pass","Fail")</f>
        <v>Pass</v>
      </c>
      <c r="S426" s="4" t="str">
        <f>IF(Student­­Performance[[#This Row],[Writing Score]]&gt;=50,"Pass","Fail")</f>
        <v>Pass</v>
      </c>
      <c r="T42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211</v>
      </c>
      <c r="U426" s="4" cm="1">
        <f t="array" ref="U426">IF(COUNT(F426:H426)=0,"", MAX(IF(ISNUMBER(F426:H426),F426:H426)) - MIN(IF(ISNUMBER(F426:H426),F426:H426)))</f>
        <v>17</v>
      </c>
      <c r="V426" s="4" t="str">
        <f>IF(U426="","",IF(U426&gt;25,"Outlier","Normal"))</f>
        <v>Normal</v>
      </c>
    </row>
    <row r="427" spans="1:22" x14ac:dyDescent="0.3">
      <c r="A427" s="1" t="s">
        <v>8</v>
      </c>
      <c r="B427" s="1" t="s">
        <v>26</v>
      </c>
      <c r="C427" s="1" t="s">
        <v>86</v>
      </c>
      <c r="D427" s="1" t="s">
        <v>11</v>
      </c>
      <c r="E427" s="1" t="s">
        <v>12</v>
      </c>
      <c r="F427" s="4">
        <v>68</v>
      </c>
      <c r="G427" s="4">
        <v>76</v>
      </c>
      <c r="H427" s="4">
        <v>67</v>
      </c>
      <c r="I427" s="4">
        <f>AVERAGE(Student­­Performance[[#This Row],[Math Score]],Student­­Performance[[#This Row],[Reading Score]],Student­­Performance[[#This Row],[Writing Score]])</f>
        <v>70.333333333333329</v>
      </c>
      <c r="J427" s="10" t="str">
        <f>IF(Student­­Performance[[#This Row],[Average Score]]&gt;=50,"Pass","Fail")</f>
        <v>Pass</v>
      </c>
      <c r="K42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42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-9</v>
      </c>
      <c r="M42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427" s="4">
        <f>IF(ISNUMBER(Student­­Performance[[#This Row],[Math Score]]),Student­­Performance[[#This Row],[Math Score]],0)</f>
        <v>68</v>
      </c>
      <c r="O427" s="4">
        <f>IF(ISNUMBER(Student­­Performance[[#This Row],[Reading Score]]),Student­­Performance[[#This Row],[Reading Score]],0)</f>
        <v>76</v>
      </c>
      <c r="P427" s="4">
        <f>IF(ISNUMBER(Student­­Performance[[#This Row],[Writing Score]]),Student­­Performance[[#This Row],[Writing Score]],0)</f>
        <v>67</v>
      </c>
      <c r="Q427" s="4" t="str">
        <f>IF(Student­­Performance[[#This Row],[Math Score]]&gt;=50,"Pass","Fail")</f>
        <v>Pass</v>
      </c>
      <c r="R427" s="4" t="str">
        <f>IF(Student­­Performance[[#This Row],[Reading Score]]&gt;=50,"Pass","Fail")</f>
        <v>Pass</v>
      </c>
      <c r="S427" s="4" t="str">
        <f>IF(Student­­Performance[[#This Row],[Writing Score]]&gt;=50,"Pass","Fail")</f>
        <v>Pass</v>
      </c>
      <c r="T42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211</v>
      </c>
      <c r="U427" s="4" cm="1">
        <f t="array" ref="U427">IF(COUNT(F427:H427)=0,"", MAX(IF(ISNUMBER(F427:H427),F427:H427)) - MIN(IF(ISNUMBER(F427:H427),F427:H427)))</f>
        <v>9</v>
      </c>
      <c r="V427" s="4" t="str">
        <f>IF(U427="","",IF(U427&gt;25,"Outlier","Normal"))</f>
        <v>Normal</v>
      </c>
    </row>
    <row r="428" spans="1:22" x14ac:dyDescent="0.3">
      <c r="A428" s="1" t="s">
        <v>8</v>
      </c>
      <c r="B428" s="1" t="s">
        <v>9</v>
      </c>
      <c r="C428" s="1" t="s">
        <v>84</v>
      </c>
      <c r="D428" s="1" t="s">
        <v>20</v>
      </c>
      <c r="E428" s="1" t="s">
        <v>15</v>
      </c>
      <c r="F428" s="4">
        <v>65</v>
      </c>
      <c r="G428" s="4">
        <v>75</v>
      </c>
      <c r="H428" s="4">
        <v>70</v>
      </c>
      <c r="I428" s="4">
        <f>AVERAGE(Student­­Performance[[#This Row],[Math Score]],Student­­Performance[[#This Row],[Reading Score]],Student­­Performance[[#This Row],[Writing Score]])</f>
        <v>70</v>
      </c>
      <c r="J428" s="10" t="str">
        <f>IF(Student­­Performance[[#This Row],[Average Score]]&gt;=50,"Pass","Fail")</f>
        <v>Pass</v>
      </c>
      <c r="K42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42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42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428" s="4">
        <f>IF(ISNUMBER(Student­­Performance[[#This Row],[Math Score]]),Student­­Performance[[#This Row],[Math Score]],0)</f>
        <v>65</v>
      </c>
      <c r="O428" s="4">
        <f>IF(ISNUMBER(Student­­Performance[[#This Row],[Reading Score]]),Student­­Performance[[#This Row],[Reading Score]],0)</f>
        <v>75</v>
      </c>
      <c r="P428" s="4">
        <f>IF(ISNUMBER(Student­­Performance[[#This Row],[Writing Score]]),Student­­Performance[[#This Row],[Writing Score]],0)</f>
        <v>70</v>
      </c>
      <c r="Q428" s="4" t="str">
        <f>IF(Student­­Performance[[#This Row],[Math Score]]&gt;=50,"Pass","Fail")</f>
        <v>Pass</v>
      </c>
      <c r="R428" s="4" t="str">
        <f>IF(Student­­Performance[[#This Row],[Reading Score]]&gt;=50,"Pass","Fail")</f>
        <v>Pass</v>
      </c>
      <c r="S428" s="4" t="str">
        <f>IF(Student­­Performance[[#This Row],[Writing Score]]&gt;=50,"Pass","Fail")</f>
        <v>Pass</v>
      </c>
      <c r="T42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210</v>
      </c>
      <c r="U428" s="4" cm="1">
        <f t="array" ref="U428">IF(COUNT(F428:H428)=0,"", MAX(IF(ISNUMBER(F428:H428),F428:H428)) - MIN(IF(ISNUMBER(F428:H428),F428:H428)))</f>
        <v>10</v>
      </c>
      <c r="V428" s="4" t="str">
        <f>IF(U428="","",IF(U428&gt;25,"Outlier","Normal"))</f>
        <v>Normal</v>
      </c>
    </row>
    <row r="429" spans="1:22" x14ac:dyDescent="0.3">
      <c r="A429" s="1" t="s">
        <v>17</v>
      </c>
      <c r="B429" s="1" t="s">
        <v>26</v>
      </c>
      <c r="C429" s="1" t="s">
        <v>84</v>
      </c>
      <c r="D429" s="1" t="s">
        <v>11</v>
      </c>
      <c r="E429" s="1" t="s">
        <v>12</v>
      </c>
      <c r="F429" s="4">
        <v>76</v>
      </c>
      <c r="G429" s="4">
        <v>67</v>
      </c>
      <c r="H429" s="4">
        <v>67</v>
      </c>
      <c r="I429" s="4">
        <f>AVERAGE(Student­­Performance[[#This Row],[Math Score]],Student­­Performance[[#This Row],[Reading Score]],Student­­Performance[[#This Row],[Writing Score]])</f>
        <v>70</v>
      </c>
      <c r="J429" s="10" t="str">
        <f>IF(Student­­Performance[[#This Row],[Average Score]]&gt;=50,"Pass","Fail")</f>
        <v>Pass</v>
      </c>
      <c r="K42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-9</v>
      </c>
      <c r="L42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42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-9</v>
      </c>
      <c r="N429" s="4">
        <f>IF(ISNUMBER(Student­­Performance[[#This Row],[Math Score]]),Student­­Performance[[#This Row],[Math Score]],0)</f>
        <v>76</v>
      </c>
      <c r="O429" s="4">
        <f>IF(ISNUMBER(Student­­Performance[[#This Row],[Reading Score]]),Student­­Performance[[#This Row],[Reading Score]],0)</f>
        <v>67</v>
      </c>
      <c r="P429" s="4">
        <f>IF(ISNUMBER(Student­­Performance[[#This Row],[Writing Score]]),Student­­Performance[[#This Row],[Writing Score]],0)</f>
        <v>67</v>
      </c>
      <c r="Q429" s="4" t="str">
        <f>IF(Student­­Performance[[#This Row],[Math Score]]&gt;=50,"Pass","Fail")</f>
        <v>Pass</v>
      </c>
      <c r="R429" s="4" t="str">
        <f>IF(Student­­Performance[[#This Row],[Reading Score]]&gt;=50,"Pass","Fail")</f>
        <v>Pass</v>
      </c>
      <c r="S429" s="4" t="str">
        <f>IF(Student­­Performance[[#This Row],[Writing Score]]&gt;=50,"Pass","Fail")</f>
        <v>Pass</v>
      </c>
      <c r="T42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210</v>
      </c>
      <c r="U429" s="4" cm="1">
        <f t="array" ref="U429">IF(COUNT(F429:H429)=0,"", MAX(IF(ISNUMBER(F429:H429),F429:H429)) - MIN(IF(ISNUMBER(F429:H429),F429:H429)))</f>
        <v>9</v>
      </c>
      <c r="V429" s="4" t="str">
        <f>IF(U429="","",IF(U429&gt;25,"Outlier","Normal"))</f>
        <v>Normal</v>
      </c>
    </row>
    <row r="430" spans="1:22" x14ac:dyDescent="0.3">
      <c r="A430" s="1" t="s">
        <v>17</v>
      </c>
      <c r="B430" s="1" t="s">
        <v>9</v>
      </c>
      <c r="C430" s="1" t="s">
        <v>87</v>
      </c>
      <c r="D430" s="1" t="s">
        <v>11</v>
      </c>
      <c r="E430" s="1" t="s">
        <v>15</v>
      </c>
      <c r="F430" s="4">
        <v>73</v>
      </c>
      <c r="G430" s="4">
        <v>69</v>
      </c>
      <c r="H430" s="4">
        <v>68</v>
      </c>
      <c r="I430" s="4">
        <f>AVERAGE(Student­­Performance[[#This Row],[Math Score]],Student­­Performance[[#This Row],[Reading Score]],Student­­Performance[[#This Row],[Writing Score]])</f>
        <v>70</v>
      </c>
      <c r="J430" s="10" t="str">
        <f>IF(Student­­Performance[[#This Row],[Average Score]]&gt;=50,"Pass","Fail")</f>
        <v>Pass</v>
      </c>
      <c r="K43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43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43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-5</v>
      </c>
      <c r="N430" s="4">
        <f>IF(ISNUMBER(Student­­Performance[[#This Row],[Math Score]]),Student­­Performance[[#This Row],[Math Score]],0)</f>
        <v>73</v>
      </c>
      <c r="O430" s="4">
        <f>IF(ISNUMBER(Student­­Performance[[#This Row],[Reading Score]]),Student­­Performance[[#This Row],[Reading Score]],0)</f>
        <v>69</v>
      </c>
      <c r="P430" s="4">
        <f>IF(ISNUMBER(Student­­Performance[[#This Row],[Writing Score]]),Student­­Performance[[#This Row],[Writing Score]],0)</f>
        <v>68</v>
      </c>
      <c r="Q430" s="4" t="str">
        <f>IF(Student­­Performance[[#This Row],[Math Score]]&gt;=50,"Pass","Fail")</f>
        <v>Pass</v>
      </c>
      <c r="R430" s="4" t="str">
        <f>IF(Student­­Performance[[#This Row],[Reading Score]]&gt;=50,"Pass","Fail")</f>
        <v>Pass</v>
      </c>
      <c r="S430" s="4" t="str">
        <f>IF(Student­­Performance[[#This Row],[Writing Score]]&gt;=50,"Pass","Fail")</f>
        <v>Pass</v>
      </c>
      <c r="T43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210</v>
      </c>
      <c r="U430" s="4" cm="1">
        <f t="array" ref="U430">IF(COUNT(F430:H430)=0,"", MAX(IF(ISNUMBER(F430:H430),F430:H430)) - MIN(IF(ISNUMBER(F430:H430),F430:H430)))</f>
        <v>5</v>
      </c>
      <c r="V430" s="4" t="str">
        <f>IF(U430="","",IF(U430&gt;25,"Outlier","Normal"))</f>
        <v>Normal</v>
      </c>
    </row>
    <row r="431" spans="1:22" x14ac:dyDescent="0.3">
      <c r="A431" s="1" t="s">
        <v>8</v>
      </c>
      <c r="B431" s="1" t="s">
        <v>21</v>
      </c>
      <c r="C431" s="1" t="s">
        <v>85</v>
      </c>
      <c r="D431" s="1" t="s">
        <v>20</v>
      </c>
      <c r="E431" s="1" t="s">
        <v>15</v>
      </c>
      <c r="F431" s="4">
        <v>61</v>
      </c>
      <c r="G431" s="4">
        <v>71</v>
      </c>
      <c r="H431" s="4">
        <v>78</v>
      </c>
      <c r="I431" s="4">
        <f>AVERAGE(Student­­Performance[[#This Row],[Math Score]],Student­­Performance[[#This Row],[Reading Score]],Student­­Performance[[#This Row],[Writing Score]])</f>
        <v>70</v>
      </c>
      <c r="J431" s="10" t="str">
        <f>IF(Student­­Performance[[#This Row],[Average Score]]&gt;=50,"Pass","Fail")</f>
        <v>Pass</v>
      </c>
      <c r="K43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43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7</v>
      </c>
      <c r="M43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17</v>
      </c>
      <c r="N431" s="4">
        <f>IF(ISNUMBER(Student­­Performance[[#This Row],[Math Score]]),Student­­Performance[[#This Row],[Math Score]],0)</f>
        <v>61</v>
      </c>
      <c r="O431" s="4">
        <f>IF(ISNUMBER(Student­­Performance[[#This Row],[Reading Score]]),Student­­Performance[[#This Row],[Reading Score]],0)</f>
        <v>71</v>
      </c>
      <c r="P431" s="4">
        <f>IF(ISNUMBER(Student­­Performance[[#This Row],[Writing Score]]),Student­­Performance[[#This Row],[Writing Score]],0)</f>
        <v>78</v>
      </c>
      <c r="Q431" s="4" t="str">
        <f>IF(Student­­Performance[[#This Row],[Math Score]]&gt;=50,"Pass","Fail")</f>
        <v>Pass</v>
      </c>
      <c r="R431" s="4" t="str">
        <f>IF(Student­­Performance[[#This Row],[Reading Score]]&gt;=50,"Pass","Fail")</f>
        <v>Pass</v>
      </c>
      <c r="S431" s="4" t="str">
        <f>IF(Student­­Performance[[#This Row],[Writing Score]]&gt;=50,"Pass","Fail")</f>
        <v>Pass</v>
      </c>
      <c r="T43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210</v>
      </c>
      <c r="U431" s="4" cm="1">
        <f t="array" ref="U431">IF(COUNT(F431:H431)=0,"", MAX(IF(ISNUMBER(F431:H431),F431:H431)) - MIN(IF(ISNUMBER(F431:H431),F431:H431)))</f>
        <v>17</v>
      </c>
      <c r="V431" s="4" t="str">
        <f>IF(U431="","",IF(U431&gt;25,"Outlier","Normal"))</f>
        <v>Normal</v>
      </c>
    </row>
    <row r="432" spans="1:22" x14ac:dyDescent="0.3">
      <c r="A432" s="1" t="s">
        <v>8</v>
      </c>
      <c r="B432" s="1" t="s">
        <v>13</v>
      </c>
      <c r="C432" s="1" t="s">
        <v>87</v>
      </c>
      <c r="D432" s="1" t="s">
        <v>20</v>
      </c>
      <c r="E432" s="1" t="s">
        <v>12</v>
      </c>
      <c r="F432" s="4">
        <v>66</v>
      </c>
      <c r="G432" s="4">
        <v>76</v>
      </c>
      <c r="H432" s="4">
        <v>68</v>
      </c>
      <c r="I432" s="4">
        <f>AVERAGE(Student­­Performance[[#This Row],[Math Score]],Student­­Performance[[#This Row],[Reading Score]],Student­­Performance[[#This Row],[Writing Score]])</f>
        <v>70</v>
      </c>
      <c r="J432" s="10" t="str">
        <f>IF(Student­­Performance[[#This Row],[Average Score]]&gt;=50,"Pass","Fail")</f>
        <v>Pass</v>
      </c>
      <c r="K43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43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-8</v>
      </c>
      <c r="M43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432" s="4">
        <f>IF(ISNUMBER(Student­­Performance[[#This Row],[Math Score]]),Student­­Performance[[#This Row],[Math Score]],0)</f>
        <v>66</v>
      </c>
      <c r="O432" s="4">
        <f>IF(ISNUMBER(Student­­Performance[[#This Row],[Reading Score]]),Student­­Performance[[#This Row],[Reading Score]],0)</f>
        <v>76</v>
      </c>
      <c r="P432" s="4">
        <f>IF(ISNUMBER(Student­­Performance[[#This Row],[Writing Score]]),Student­­Performance[[#This Row],[Writing Score]],0)</f>
        <v>68</v>
      </c>
      <c r="Q432" s="4" t="str">
        <f>IF(Student­­Performance[[#This Row],[Math Score]]&gt;=50,"Pass","Fail")</f>
        <v>Pass</v>
      </c>
      <c r="R432" s="4" t="str">
        <f>IF(Student­­Performance[[#This Row],[Reading Score]]&gt;=50,"Pass","Fail")</f>
        <v>Pass</v>
      </c>
      <c r="S432" s="4" t="str">
        <f>IF(Student­­Performance[[#This Row],[Writing Score]]&gt;=50,"Pass","Fail")</f>
        <v>Pass</v>
      </c>
      <c r="T43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210</v>
      </c>
      <c r="U432" s="4" cm="1">
        <f t="array" ref="U432">IF(COUNT(F432:H432)=0,"", MAX(IF(ISNUMBER(F432:H432),F432:H432)) - MIN(IF(ISNUMBER(F432:H432),F432:H432)))</f>
        <v>10</v>
      </c>
      <c r="V432" s="4" t="str">
        <f>IF(U432="","",IF(U432&gt;25,"Outlier","Normal"))</f>
        <v>Normal</v>
      </c>
    </row>
    <row r="433" spans="1:22" x14ac:dyDescent="0.3">
      <c r="A433" s="1" t="s">
        <v>17</v>
      </c>
      <c r="B433" s="1" t="s">
        <v>26</v>
      </c>
      <c r="C433" s="1" t="s">
        <v>83</v>
      </c>
      <c r="D433" s="1" t="s">
        <v>20</v>
      </c>
      <c r="E433" s="1" t="s">
        <v>15</v>
      </c>
      <c r="F433" s="4">
        <v>70</v>
      </c>
      <c r="G433" s="4">
        <v>68</v>
      </c>
      <c r="H433" s="4">
        <v>72</v>
      </c>
      <c r="I433" s="4">
        <f>AVERAGE(Student­­Performance[[#This Row],[Math Score]],Student­­Performance[[#This Row],[Reading Score]],Student­­Performance[[#This Row],[Writing Score]])</f>
        <v>70</v>
      </c>
      <c r="J433" s="10" t="str">
        <f>IF(Student­­Performance[[#This Row],[Average Score]]&gt;=50,"Pass","Fail")</f>
        <v>Pass</v>
      </c>
      <c r="K43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</v>
      </c>
      <c r="L43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43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433" s="4">
        <f>IF(ISNUMBER(Student­­Performance[[#This Row],[Math Score]]),Student­­Performance[[#This Row],[Math Score]],0)</f>
        <v>70</v>
      </c>
      <c r="O433" s="4">
        <f>IF(ISNUMBER(Student­­Performance[[#This Row],[Reading Score]]),Student­­Performance[[#This Row],[Reading Score]],0)</f>
        <v>68</v>
      </c>
      <c r="P433" s="4">
        <f>IF(ISNUMBER(Student­­Performance[[#This Row],[Writing Score]]),Student­­Performance[[#This Row],[Writing Score]],0)</f>
        <v>72</v>
      </c>
      <c r="Q433" s="4" t="str">
        <f>IF(Student­­Performance[[#This Row],[Math Score]]&gt;=50,"Pass","Fail")</f>
        <v>Pass</v>
      </c>
      <c r="R433" s="4" t="str">
        <f>IF(Student­­Performance[[#This Row],[Reading Score]]&gt;=50,"Pass","Fail")</f>
        <v>Pass</v>
      </c>
      <c r="S433" s="4" t="str">
        <f>IF(Student­­Performance[[#This Row],[Writing Score]]&gt;=50,"Pass","Fail")</f>
        <v>Pass</v>
      </c>
      <c r="T43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210</v>
      </c>
      <c r="U433" s="4" cm="1">
        <f t="array" ref="U433">IF(COUNT(F433:H433)=0,"", MAX(IF(ISNUMBER(F433:H433),F433:H433)) - MIN(IF(ISNUMBER(F433:H433),F433:H433)))</f>
        <v>4</v>
      </c>
      <c r="V433" s="4" t="str">
        <f>IF(U433="","",IF(U433&gt;25,"Outlier","Normal"))</f>
        <v>Normal</v>
      </c>
    </row>
    <row r="434" spans="1:22" x14ac:dyDescent="0.3">
      <c r="A434" s="1" t="s">
        <v>8</v>
      </c>
      <c r="B434" s="1" t="s">
        <v>13</v>
      </c>
      <c r="C434" s="1" t="s">
        <v>87</v>
      </c>
      <c r="D434" s="1" t="s">
        <v>11</v>
      </c>
      <c r="E434" s="1" t="s">
        <v>15</v>
      </c>
      <c r="F434" s="4">
        <v>58</v>
      </c>
      <c r="G434" s="4">
        <v>75</v>
      </c>
      <c r="H434" s="4">
        <v>77</v>
      </c>
      <c r="I434" s="4">
        <f>AVERAGE(Student­­Performance[[#This Row],[Math Score]],Student­­Performance[[#This Row],[Reading Score]],Student­­Performance[[#This Row],[Writing Score]])</f>
        <v>70</v>
      </c>
      <c r="J434" s="10" t="str">
        <f>IF(Student­­Performance[[#This Row],[Average Score]]&gt;=50,"Pass","Fail")</f>
        <v>Pass</v>
      </c>
      <c r="K43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17</v>
      </c>
      <c r="L43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43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19</v>
      </c>
      <c r="N434" s="4">
        <f>IF(ISNUMBER(Student­­Performance[[#This Row],[Math Score]]),Student­­Performance[[#This Row],[Math Score]],0)</f>
        <v>58</v>
      </c>
      <c r="O434" s="4">
        <f>IF(ISNUMBER(Student­­Performance[[#This Row],[Reading Score]]),Student­­Performance[[#This Row],[Reading Score]],0)</f>
        <v>75</v>
      </c>
      <c r="P434" s="4">
        <f>IF(ISNUMBER(Student­­Performance[[#This Row],[Writing Score]]),Student­­Performance[[#This Row],[Writing Score]],0)</f>
        <v>77</v>
      </c>
      <c r="Q434" s="4" t="str">
        <f>IF(Student­­Performance[[#This Row],[Math Score]]&gt;=50,"Pass","Fail")</f>
        <v>Pass</v>
      </c>
      <c r="R434" s="4" t="str">
        <f>IF(Student­­Performance[[#This Row],[Reading Score]]&gt;=50,"Pass","Fail")</f>
        <v>Pass</v>
      </c>
      <c r="S434" s="4" t="str">
        <f>IF(Student­­Performance[[#This Row],[Writing Score]]&gt;=50,"Pass","Fail")</f>
        <v>Pass</v>
      </c>
      <c r="T43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210</v>
      </c>
      <c r="U434" s="4" cm="1">
        <f t="array" ref="U434">IF(COUNT(F434:H434)=0,"", MAX(IF(ISNUMBER(F434:H434),F434:H434)) - MIN(IF(ISNUMBER(F434:H434),F434:H434)))</f>
        <v>19</v>
      </c>
      <c r="V434" s="4" t="str">
        <f>IF(U434="","",IF(U434&gt;25,"Outlier","Normal"))</f>
        <v>Normal</v>
      </c>
    </row>
    <row r="435" spans="1:22" x14ac:dyDescent="0.3">
      <c r="A435" s="1" t="s">
        <v>17</v>
      </c>
      <c r="B435" s="1" t="s">
        <v>21</v>
      </c>
      <c r="C435" s="1" t="s">
        <v>87</v>
      </c>
      <c r="D435" s="1" t="s">
        <v>11</v>
      </c>
      <c r="E435" s="1" t="s">
        <v>12</v>
      </c>
      <c r="F435" s="4">
        <v>70</v>
      </c>
      <c r="G435" s="4">
        <v>70</v>
      </c>
      <c r="H435" s="4">
        <v>70</v>
      </c>
      <c r="I435" s="4">
        <f>AVERAGE(Student­­Performance[[#This Row],[Math Score]],Student­­Performance[[#This Row],[Reading Score]],Student­­Performance[[#This Row],[Writing Score]])</f>
        <v>70</v>
      </c>
      <c r="J435" s="10" t="str">
        <f>IF(Student­­Performance[[#This Row],[Average Score]]&gt;=50,"Pass","Fail")</f>
        <v>Pass</v>
      </c>
      <c r="K43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43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43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435" s="4">
        <f>IF(ISNUMBER(Student­­Performance[[#This Row],[Math Score]]),Student­­Performance[[#This Row],[Math Score]],0)</f>
        <v>70</v>
      </c>
      <c r="O435" s="4">
        <f>IF(ISNUMBER(Student­­Performance[[#This Row],[Reading Score]]),Student­­Performance[[#This Row],[Reading Score]],0)</f>
        <v>70</v>
      </c>
      <c r="P435" s="4">
        <f>IF(ISNUMBER(Student­­Performance[[#This Row],[Writing Score]]),Student­­Performance[[#This Row],[Writing Score]],0)</f>
        <v>70</v>
      </c>
      <c r="Q435" s="4" t="str">
        <f>IF(Student­­Performance[[#This Row],[Math Score]]&gt;=50,"Pass","Fail")</f>
        <v>Pass</v>
      </c>
      <c r="R435" s="4" t="str">
        <f>IF(Student­­Performance[[#This Row],[Reading Score]]&gt;=50,"Pass","Fail")</f>
        <v>Pass</v>
      </c>
      <c r="S435" s="4" t="str">
        <f>IF(Student­­Performance[[#This Row],[Writing Score]]&gt;=50,"Pass","Fail")</f>
        <v>Pass</v>
      </c>
      <c r="T43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210</v>
      </c>
      <c r="U435" s="4" cm="1">
        <f t="array" ref="U435">IF(COUNT(F435:H435)=0,"", MAX(IF(ISNUMBER(F435:H435),F435:H435)) - MIN(IF(ISNUMBER(F435:H435),F435:H435)))</f>
        <v>0</v>
      </c>
      <c r="V435" s="4" t="str">
        <f>IF(U435="","",IF(U435&gt;25,"Outlier","Normal"))</f>
        <v>Normal</v>
      </c>
    </row>
    <row r="436" spans="1:22" x14ac:dyDescent="0.3">
      <c r="A436" s="1" t="s">
        <v>8</v>
      </c>
      <c r="B436" s="1" t="s">
        <v>13</v>
      </c>
      <c r="C436" s="1" t="s">
        <v>88</v>
      </c>
      <c r="D436" s="1" t="s">
        <v>11</v>
      </c>
      <c r="E436" s="1" t="s">
        <v>12</v>
      </c>
      <c r="F436" s="4">
        <v>65</v>
      </c>
      <c r="G436" s="4">
        <v>69</v>
      </c>
      <c r="H436" s="4">
        <v>76</v>
      </c>
      <c r="I436" s="4">
        <f>AVERAGE(Student­­Performance[[#This Row],[Math Score]],Student­­Performance[[#This Row],[Reading Score]],Student­­Performance[[#This Row],[Writing Score]])</f>
        <v>70</v>
      </c>
      <c r="J436" s="10" t="str">
        <f>IF(Student­­Performance[[#This Row],[Average Score]]&gt;=50,"Pass","Fail")</f>
        <v>Pass</v>
      </c>
      <c r="K43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43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7</v>
      </c>
      <c r="M43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436" s="4">
        <f>IF(ISNUMBER(Student­­Performance[[#This Row],[Math Score]]),Student­­Performance[[#This Row],[Math Score]],0)</f>
        <v>65</v>
      </c>
      <c r="O436" s="4">
        <f>IF(ISNUMBER(Student­­Performance[[#This Row],[Reading Score]]),Student­­Performance[[#This Row],[Reading Score]],0)</f>
        <v>69</v>
      </c>
      <c r="P436" s="4">
        <f>IF(ISNUMBER(Student­­Performance[[#This Row],[Writing Score]]),Student­­Performance[[#This Row],[Writing Score]],0)</f>
        <v>76</v>
      </c>
      <c r="Q436" s="4" t="str">
        <f>IF(Student­­Performance[[#This Row],[Math Score]]&gt;=50,"Pass","Fail")</f>
        <v>Pass</v>
      </c>
      <c r="R436" s="4" t="str">
        <f>IF(Student­­Performance[[#This Row],[Reading Score]]&gt;=50,"Pass","Fail")</f>
        <v>Pass</v>
      </c>
      <c r="S436" s="4" t="str">
        <f>IF(Student­­Performance[[#This Row],[Writing Score]]&gt;=50,"Pass","Fail")</f>
        <v>Pass</v>
      </c>
      <c r="T43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210</v>
      </c>
      <c r="U436" s="4" cm="1">
        <f t="array" ref="U436">IF(COUNT(F436:H436)=0,"", MAX(IF(ISNUMBER(F436:H436),F436:H436)) - MIN(IF(ISNUMBER(F436:H436),F436:H436)))</f>
        <v>11</v>
      </c>
      <c r="V436" s="4" t="str">
        <f>IF(U436="","",IF(U436&gt;25,"Outlier","Normal"))</f>
        <v>Normal</v>
      </c>
    </row>
    <row r="437" spans="1:22" x14ac:dyDescent="0.3">
      <c r="A437" s="1" t="s">
        <v>17</v>
      </c>
      <c r="B437" s="1" t="s">
        <v>26</v>
      </c>
      <c r="C437" s="1" t="s">
        <v>88</v>
      </c>
      <c r="D437" s="1" t="s">
        <v>11</v>
      </c>
      <c r="E437" s="1" t="s">
        <v>12</v>
      </c>
      <c r="F437" s="4">
        <v>82</v>
      </c>
      <c r="G437" s="4">
        <v>67</v>
      </c>
      <c r="H437" s="4">
        <v>61</v>
      </c>
      <c r="I437" s="4">
        <f>AVERAGE(Student­­Performance[[#This Row],[Math Score]],Student­­Performance[[#This Row],[Reading Score]],Student­­Performance[[#This Row],[Writing Score]])</f>
        <v>70</v>
      </c>
      <c r="J437" s="10" t="str">
        <f>IF(Student­­Performance[[#This Row],[Average Score]]&gt;=50,"Pass","Fail")</f>
        <v>Pass</v>
      </c>
      <c r="K43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-15</v>
      </c>
      <c r="L43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43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-21</v>
      </c>
      <c r="N437" s="4">
        <f>IF(ISNUMBER(Student­­Performance[[#This Row],[Math Score]]),Student­­Performance[[#This Row],[Math Score]],0)</f>
        <v>82</v>
      </c>
      <c r="O437" s="4">
        <f>IF(ISNUMBER(Student­­Performance[[#This Row],[Reading Score]]),Student­­Performance[[#This Row],[Reading Score]],0)</f>
        <v>67</v>
      </c>
      <c r="P437" s="4">
        <f>IF(ISNUMBER(Student­­Performance[[#This Row],[Writing Score]]),Student­­Performance[[#This Row],[Writing Score]],0)</f>
        <v>61</v>
      </c>
      <c r="Q437" s="4" t="str">
        <f>IF(Student­­Performance[[#This Row],[Math Score]]&gt;=50,"Pass","Fail")</f>
        <v>Pass</v>
      </c>
      <c r="R437" s="4" t="str">
        <f>IF(Student­­Performance[[#This Row],[Reading Score]]&gt;=50,"Pass","Fail")</f>
        <v>Pass</v>
      </c>
      <c r="S437" s="4" t="str">
        <f>IF(Student­­Performance[[#This Row],[Writing Score]]&gt;=50,"Pass","Fail")</f>
        <v>Pass</v>
      </c>
      <c r="T43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210</v>
      </c>
      <c r="U437" s="4" cm="1">
        <f t="array" ref="U437">IF(COUNT(F437:H437)=0,"", MAX(IF(ISNUMBER(F437:H437),F437:H437)) - MIN(IF(ISNUMBER(F437:H437),F437:H437)))</f>
        <v>21</v>
      </c>
      <c r="V437" s="4" t="str">
        <f>IF(U437="","",IF(U437&gt;25,"Outlier","Normal"))</f>
        <v>Normal</v>
      </c>
    </row>
    <row r="438" spans="1:22" x14ac:dyDescent="0.3">
      <c r="A438" s="1" t="s">
        <v>17</v>
      </c>
      <c r="B438" s="1" t="s">
        <v>13</v>
      </c>
      <c r="C438" s="1" t="s">
        <v>84</v>
      </c>
      <c r="D438" s="1" t="s">
        <v>20</v>
      </c>
      <c r="E438" s="1" t="s">
        <v>12</v>
      </c>
      <c r="F438" s="4">
        <v>80</v>
      </c>
      <c r="G438" s="4">
        <v>64</v>
      </c>
      <c r="H438" s="4">
        <v>66</v>
      </c>
      <c r="I438" s="4">
        <f>AVERAGE(Student­­Performance[[#This Row],[Math Score]],Student­­Performance[[#This Row],[Reading Score]],Student­­Performance[[#This Row],[Writing Score]])</f>
        <v>70</v>
      </c>
      <c r="J438" s="10" t="str">
        <f>IF(Student­­Performance[[#This Row],[Average Score]]&gt;=50,"Pass","Fail")</f>
        <v>Pass</v>
      </c>
      <c r="K43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-16</v>
      </c>
      <c r="L43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43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-14</v>
      </c>
      <c r="N438" s="4">
        <f>IF(ISNUMBER(Student­­Performance[[#This Row],[Math Score]]),Student­­Performance[[#This Row],[Math Score]],0)</f>
        <v>80</v>
      </c>
      <c r="O438" s="4">
        <f>IF(ISNUMBER(Student­­Performance[[#This Row],[Reading Score]]),Student­­Performance[[#This Row],[Reading Score]],0)</f>
        <v>64</v>
      </c>
      <c r="P438" s="4">
        <f>IF(ISNUMBER(Student­­Performance[[#This Row],[Writing Score]]),Student­­Performance[[#This Row],[Writing Score]],0)</f>
        <v>66</v>
      </c>
      <c r="Q438" s="4" t="str">
        <f>IF(Student­­Performance[[#This Row],[Math Score]]&gt;=50,"Pass","Fail")</f>
        <v>Pass</v>
      </c>
      <c r="R438" s="4" t="str">
        <f>IF(Student­­Performance[[#This Row],[Reading Score]]&gt;=50,"Pass","Fail")</f>
        <v>Pass</v>
      </c>
      <c r="S438" s="4" t="str">
        <f>IF(Student­­Performance[[#This Row],[Writing Score]]&gt;=50,"Pass","Fail")</f>
        <v>Pass</v>
      </c>
      <c r="T43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210</v>
      </c>
      <c r="U438" s="4" cm="1">
        <f t="array" ref="U438">IF(COUNT(F438:H438)=0,"", MAX(IF(ISNUMBER(F438:H438),F438:H438)) - MIN(IF(ISNUMBER(F438:H438),F438:H438)))</f>
        <v>16</v>
      </c>
      <c r="V438" s="4" t="str">
        <f>IF(U438="","",IF(U438&gt;25,"Outlier","Normal"))</f>
        <v>Normal</v>
      </c>
    </row>
    <row r="439" spans="1:22" x14ac:dyDescent="0.3">
      <c r="A439" s="1" t="s">
        <v>17</v>
      </c>
      <c r="B439" s="1" t="s">
        <v>13</v>
      </c>
      <c r="C439" s="1" t="s">
        <v>85</v>
      </c>
      <c r="D439" s="1" t="s">
        <v>20</v>
      </c>
      <c r="E439" s="1" t="s">
        <v>15</v>
      </c>
      <c r="F439" s="4">
        <v>72</v>
      </c>
      <c r="G439" s="4">
        <v>66</v>
      </c>
      <c r="H439" s="4">
        <v>72</v>
      </c>
      <c r="I439" s="4">
        <f>AVERAGE(Student­­Performance[[#This Row],[Math Score]],Student­­Performance[[#This Row],[Reading Score]],Student­­Performance[[#This Row],[Writing Score]])</f>
        <v>70</v>
      </c>
      <c r="J439" s="10" t="str">
        <f>IF(Student­­Performance[[#This Row],[Average Score]]&gt;=50,"Pass","Fail")</f>
        <v>Pass</v>
      </c>
      <c r="K43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43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43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439" s="4">
        <f>IF(ISNUMBER(Student­­Performance[[#This Row],[Math Score]]),Student­­Performance[[#This Row],[Math Score]],0)</f>
        <v>72</v>
      </c>
      <c r="O439" s="4">
        <f>IF(ISNUMBER(Student­­Performance[[#This Row],[Reading Score]]),Student­­Performance[[#This Row],[Reading Score]],0)</f>
        <v>66</v>
      </c>
      <c r="P439" s="4">
        <f>IF(ISNUMBER(Student­­Performance[[#This Row],[Writing Score]]),Student­­Performance[[#This Row],[Writing Score]],0)</f>
        <v>72</v>
      </c>
      <c r="Q439" s="4" t="str">
        <f>IF(Student­­Performance[[#This Row],[Math Score]]&gt;=50,"Pass","Fail")</f>
        <v>Pass</v>
      </c>
      <c r="R439" s="4" t="str">
        <f>IF(Student­­Performance[[#This Row],[Reading Score]]&gt;=50,"Pass","Fail")</f>
        <v>Pass</v>
      </c>
      <c r="S439" s="4" t="str">
        <f>IF(Student­­Performance[[#This Row],[Writing Score]]&gt;=50,"Pass","Fail")</f>
        <v>Pass</v>
      </c>
      <c r="T43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210</v>
      </c>
      <c r="U439" s="4" cm="1">
        <f t="array" ref="U439">IF(COUNT(F439:H439)=0,"", MAX(IF(ISNUMBER(F439:H439),F439:H439)) - MIN(IF(ISNUMBER(F439:H439),F439:H439)))</f>
        <v>6</v>
      </c>
      <c r="V439" s="4" t="str">
        <f>IF(U439="","",IF(U439&gt;25,"Outlier","Normal"))</f>
        <v>Normal</v>
      </c>
    </row>
    <row r="440" spans="1:22" x14ac:dyDescent="0.3">
      <c r="A440" s="1" t="s">
        <v>8</v>
      </c>
      <c r="B440" s="1" t="s">
        <v>13</v>
      </c>
      <c r="C440" s="1" t="s">
        <v>86</v>
      </c>
      <c r="D440" s="1" t="s">
        <v>20</v>
      </c>
      <c r="E440" s="1" t="s">
        <v>12</v>
      </c>
      <c r="F440" s="4">
        <v>60</v>
      </c>
      <c r="G440" s="4">
        <v>75</v>
      </c>
      <c r="H440" s="4">
        <v>74</v>
      </c>
      <c r="I440" s="4">
        <f>AVERAGE(Student­­Performance[[#This Row],[Math Score]],Student­­Performance[[#This Row],[Reading Score]],Student­­Performance[[#This Row],[Writing Score]])</f>
        <v>69.666666666666671</v>
      </c>
      <c r="J440" s="10" t="str">
        <f>IF(Student­­Performance[[#This Row],[Average Score]]&gt;=50,"Pass","Fail")</f>
        <v>Pass</v>
      </c>
      <c r="K44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15</v>
      </c>
      <c r="L44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44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14</v>
      </c>
      <c r="N440" s="4">
        <f>IF(ISNUMBER(Student­­Performance[[#This Row],[Math Score]]),Student­­Performance[[#This Row],[Math Score]],0)</f>
        <v>60</v>
      </c>
      <c r="O440" s="4">
        <f>IF(ISNUMBER(Student­­Performance[[#This Row],[Reading Score]]),Student­­Performance[[#This Row],[Reading Score]],0)</f>
        <v>75</v>
      </c>
      <c r="P440" s="4">
        <f>IF(ISNUMBER(Student­­Performance[[#This Row],[Writing Score]]),Student­­Performance[[#This Row],[Writing Score]],0)</f>
        <v>74</v>
      </c>
      <c r="Q440" s="4" t="str">
        <f>IF(Student­­Performance[[#This Row],[Math Score]]&gt;=50,"Pass","Fail")</f>
        <v>Pass</v>
      </c>
      <c r="R440" s="4" t="str">
        <f>IF(Student­­Performance[[#This Row],[Reading Score]]&gt;=50,"Pass","Fail")</f>
        <v>Pass</v>
      </c>
      <c r="S440" s="4" t="str">
        <f>IF(Student­­Performance[[#This Row],[Writing Score]]&gt;=50,"Pass","Fail")</f>
        <v>Pass</v>
      </c>
      <c r="T44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209</v>
      </c>
      <c r="U440" s="4" cm="1">
        <f t="array" ref="U440">IF(COUNT(F440:H440)=0,"", MAX(IF(ISNUMBER(F440:H440),F440:H440)) - MIN(IF(ISNUMBER(F440:H440),F440:H440)))</f>
        <v>15</v>
      </c>
      <c r="V440" s="4" t="str">
        <f>IF(U440="","",IF(U440&gt;25,"Outlier","Normal"))</f>
        <v>Normal</v>
      </c>
    </row>
    <row r="441" spans="1:22" x14ac:dyDescent="0.3">
      <c r="A441" s="1" t="s">
        <v>17</v>
      </c>
      <c r="B441" s="1" t="s">
        <v>13</v>
      </c>
      <c r="C441" s="1" t="s">
        <v>88</v>
      </c>
      <c r="D441" s="1" t="s">
        <v>11</v>
      </c>
      <c r="E441" s="1" t="s">
        <v>12</v>
      </c>
      <c r="F441" s="4">
        <v>75</v>
      </c>
      <c r="G441" s="4">
        <v>72</v>
      </c>
      <c r="H441" s="4">
        <v>62</v>
      </c>
      <c r="I441" s="4">
        <f>AVERAGE(Student­­Performance[[#This Row],[Math Score]],Student­­Performance[[#This Row],[Reading Score]],Student­­Performance[[#This Row],[Writing Score]])</f>
        <v>69.666666666666671</v>
      </c>
      <c r="J441" s="10" t="str">
        <f>IF(Student­­Performance[[#This Row],[Average Score]]&gt;=50,"Pass","Fail")</f>
        <v>Pass</v>
      </c>
      <c r="K44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44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-10</v>
      </c>
      <c r="M44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-13</v>
      </c>
      <c r="N441" s="4">
        <f>IF(ISNUMBER(Student­­Performance[[#This Row],[Math Score]]),Student­­Performance[[#This Row],[Math Score]],0)</f>
        <v>75</v>
      </c>
      <c r="O441" s="4">
        <f>IF(ISNUMBER(Student­­Performance[[#This Row],[Reading Score]]),Student­­Performance[[#This Row],[Reading Score]],0)</f>
        <v>72</v>
      </c>
      <c r="P441" s="4">
        <f>IF(ISNUMBER(Student­­Performance[[#This Row],[Writing Score]]),Student­­Performance[[#This Row],[Writing Score]],0)</f>
        <v>62</v>
      </c>
      <c r="Q441" s="4" t="str">
        <f>IF(Student­­Performance[[#This Row],[Math Score]]&gt;=50,"Pass","Fail")</f>
        <v>Pass</v>
      </c>
      <c r="R441" s="4" t="str">
        <f>IF(Student­­Performance[[#This Row],[Reading Score]]&gt;=50,"Pass","Fail")</f>
        <v>Pass</v>
      </c>
      <c r="S441" s="4" t="str">
        <f>IF(Student­­Performance[[#This Row],[Writing Score]]&gt;=50,"Pass","Fail")</f>
        <v>Pass</v>
      </c>
      <c r="T44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209</v>
      </c>
      <c r="U441" s="4" cm="1">
        <f t="array" ref="U441">IF(COUNT(F441:H441)=0,"", MAX(IF(ISNUMBER(F441:H441),F441:H441)) - MIN(IF(ISNUMBER(F441:H441),F441:H441)))</f>
        <v>13</v>
      </c>
      <c r="V441" s="4" t="str">
        <f>IF(U441="","",IF(U441&gt;25,"Outlier","Normal"))</f>
        <v>Normal</v>
      </c>
    </row>
    <row r="442" spans="1:22" x14ac:dyDescent="0.3">
      <c r="A442" s="1" t="s">
        <v>17</v>
      </c>
      <c r="B442" s="1" t="s">
        <v>18</v>
      </c>
      <c r="C442" s="1" t="s">
        <v>87</v>
      </c>
      <c r="D442" s="1" t="s">
        <v>11</v>
      </c>
      <c r="E442" s="1" t="s">
        <v>12</v>
      </c>
      <c r="F442" s="4">
        <v>71</v>
      </c>
      <c r="G442" s="4">
        <v>74</v>
      </c>
      <c r="H442" s="4">
        <v>64</v>
      </c>
      <c r="I442" s="4">
        <f>AVERAGE(Student­­Performance[[#This Row],[Math Score]],Student­­Performance[[#This Row],[Reading Score]],Student­­Performance[[#This Row],[Writing Score]])</f>
        <v>69.666666666666671</v>
      </c>
      <c r="J442" s="10" t="str">
        <f>IF(Student­­Performance[[#This Row],[Average Score]]&gt;=50,"Pass","Fail")</f>
        <v>Pass</v>
      </c>
      <c r="K44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44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-10</v>
      </c>
      <c r="M44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442" s="4">
        <f>IF(ISNUMBER(Student­­Performance[[#This Row],[Math Score]]),Student­­Performance[[#This Row],[Math Score]],0)</f>
        <v>71</v>
      </c>
      <c r="O442" s="4">
        <f>IF(ISNUMBER(Student­­Performance[[#This Row],[Reading Score]]),Student­­Performance[[#This Row],[Reading Score]],0)</f>
        <v>74</v>
      </c>
      <c r="P442" s="4">
        <f>IF(ISNUMBER(Student­­Performance[[#This Row],[Writing Score]]),Student­­Performance[[#This Row],[Writing Score]],0)</f>
        <v>64</v>
      </c>
      <c r="Q442" s="4" t="str">
        <f>IF(Student­­Performance[[#This Row],[Math Score]]&gt;=50,"Pass","Fail")</f>
        <v>Pass</v>
      </c>
      <c r="R442" s="4" t="str">
        <f>IF(Student­­Performance[[#This Row],[Reading Score]]&gt;=50,"Pass","Fail")</f>
        <v>Pass</v>
      </c>
      <c r="S442" s="4" t="str">
        <f>IF(Student­­Performance[[#This Row],[Writing Score]]&gt;=50,"Pass","Fail")</f>
        <v>Pass</v>
      </c>
      <c r="T44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209</v>
      </c>
      <c r="U442" s="4" cm="1">
        <f t="array" ref="U442">IF(COUNT(F442:H442)=0,"", MAX(IF(ISNUMBER(F442:H442),F442:H442)) - MIN(IF(ISNUMBER(F442:H442),F442:H442)))</f>
        <v>10</v>
      </c>
      <c r="V442" s="4" t="str">
        <f>IF(U442="","",IF(U442&gt;25,"Outlier","Normal"))</f>
        <v>Normal</v>
      </c>
    </row>
    <row r="443" spans="1:22" x14ac:dyDescent="0.3">
      <c r="A443" s="1" t="s">
        <v>8</v>
      </c>
      <c r="B443" s="1" t="s">
        <v>18</v>
      </c>
      <c r="C443" s="1" t="s">
        <v>86</v>
      </c>
      <c r="D443" s="1" t="s">
        <v>11</v>
      </c>
      <c r="E443" s="1" t="s">
        <v>15</v>
      </c>
      <c r="F443" s="4">
        <v>65</v>
      </c>
      <c r="G443" s="4">
        <v>70</v>
      </c>
      <c r="H443" s="4">
        <v>74</v>
      </c>
      <c r="I443" s="4">
        <f>AVERAGE(Student­­Performance[[#This Row],[Math Score]],Student­­Performance[[#This Row],[Reading Score]],Student­­Performance[[#This Row],[Writing Score]])</f>
        <v>69.666666666666671</v>
      </c>
      <c r="J443" s="10" t="str">
        <f>IF(Student­­Performance[[#This Row],[Average Score]]&gt;=50,"Pass","Fail")</f>
        <v>Pass</v>
      </c>
      <c r="K44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44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44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443" s="4">
        <f>IF(ISNUMBER(Student­­Performance[[#This Row],[Math Score]]),Student­­Performance[[#This Row],[Math Score]],0)</f>
        <v>65</v>
      </c>
      <c r="O443" s="4">
        <f>IF(ISNUMBER(Student­­Performance[[#This Row],[Reading Score]]),Student­­Performance[[#This Row],[Reading Score]],0)</f>
        <v>70</v>
      </c>
      <c r="P443" s="4">
        <f>IF(ISNUMBER(Student­­Performance[[#This Row],[Writing Score]]),Student­­Performance[[#This Row],[Writing Score]],0)</f>
        <v>74</v>
      </c>
      <c r="Q443" s="4" t="str">
        <f>IF(Student­­Performance[[#This Row],[Math Score]]&gt;=50,"Pass","Fail")</f>
        <v>Pass</v>
      </c>
      <c r="R443" s="4" t="str">
        <f>IF(Student­­Performance[[#This Row],[Reading Score]]&gt;=50,"Pass","Fail")</f>
        <v>Pass</v>
      </c>
      <c r="S443" s="4" t="str">
        <f>IF(Student­­Performance[[#This Row],[Writing Score]]&gt;=50,"Pass","Fail")</f>
        <v>Pass</v>
      </c>
      <c r="T44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209</v>
      </c>
      <c r="U443" s="4" cm="1">
        <f t="array" ref="U443">IF(COUNT(F443:H443)=0,"", MAX(IF(ISNUMBER(F443:H443),F443:H443)) - MIN(IF(ISNUMBER(F443:H443),F443:H443)))</f>
        <v>9</v>
      </c>
      <c r="V443" s="4" t="str">
        <f>IF(U443="","",IF(U443&gt;25,"Outlier","Normal"))</f>
        <v>Normal</v>
      </c>
    </row>
    <row r="444" spans="1:22" x14ac:dyDescent="0.3">
      <c r="A444" s="1" t="s">
        <v>17</v>
      </c>
      <c r="B444" s="1" t="s">
        <v>21</v>
      </c>
      <c r="C444" s="1" t="s">
        <v>87</v>
      </c>
      <c r="D444" s="1" t="s">
        <v>20</v>
      </c>
      <c r="E444" s="1" t="s">
        <v>12</v>
      </c>
      <c r="F444" s="4">
        <v>66</v>
      </c>
      <c r="G444" s="4">
        <v>74</v>
      </c>
      <c r="H444" s="4">
        <v>69</v>
      </c>
      <c r="I444" s="4">
        <f>AVERAGE(Student­­Performance[[#This Row],[Math Score]],Student­­Performance[[#This Row],[Reading Score]],Student­­Performance[[#This Row],[Writing Score]])</f>
        <v>69.666666666666671</v>
      </c>
      <c r="J444" s="10" t="str">
        <f>IF(Student­­Performance[[#This Row],[Average Score]]&gt;=50,"Pass","Fail")</f>
        <v>Pass</v>
      </c>
      <c r="K44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44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44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444" s="4">
        <f>IF(ISNUMBER(Student­­Performance[[#This Row],[Math Score]]),Student­­Performance[[#This Row],[Math Score]],0)</f>
        <v>66</v>
      </c>
      <c r="O444" s="4">
        <f>IF(ISNUMBER(Student­­Performance[[#This Row],[Reading Score]]),Student­­Performance[[#This Row],[Reading Score]],0)</f>
        <v>74</v>
      </c>
      <c r="P444" s="4">
        <f>IF(ISNUMBER(Student­­Performance[[#This Row],[Writing Score]]),Student­­Performance[[#This Row],[Writing Score]],0)</f>
        <v>69</v>
      </c>
      <c r="Q444" s="4" t="str">
        <f>IF(Student­­Performance[[#This Row],[Math Score]]&gt;=50,"Pass","Fail")</f>
        <v>Pass</v>
      </c>
      <c r="R444" s="4" t="str">
        <f>IF(Student­­Performance[[#This Row],[Reading Score]]&gt;=50,"Pass","Fail")</f>
        <v>Pass</v>
      </c>
      <c r="S444" s="4" t="str">
        <f>IF(Student­­Performance[[#This Row],[Writing Score]]&gt;=50,"Pass","Fail")</f>
        <v>Pass</v>
      </c>
      <c r="T44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209</v>
      </c>
      <c r="U444" s="4" cm="1">
        <f t="array" ref="U444">IF(COUNT(F444:H444)=0,"", MAX(IF(ISNUMBER(F444:H444),F444:H444)) - MIN(IF(ISNUMBER(F444:H444),F444:H444)))</f>
        <v>8</v>
      </c>
      <c r="V444" s="4" t="str">
        <f>IF(U444="","",IF(U444&gt;25,"Outlier","Normal"))</f>
        <v>Normal</v>
      </c>
    </row>
    <row r="445" spans="1:22" x14ac:dyDescent="0.3">
      <c r="A445" s="1" t="s">
        <v>8</v>
      </c>
      <c r="B445" s="1" t="s">
        <v>13</v>
      </c>
      <c r="C445" s="1" t="s">
        <v>86</v>
      </c>
      <c r="D445" s="1" t="s">
        <v>11</v>
      </c>
      <c r="E445" s="1" t="s">
        <v>15</v>
      </c>
      <c r="F445" s="4">
        <v>68</v>
      </c>
      <c r="G445" s="4">
        <v>67</v>
      </c>
      <c r="H445" s="4">
        <v>73</v>
      </c>
      <c r="I445" s="4">
        <f>AVERAGE(Student­­Performance[[#This Row],[Math Score]],Student­­Performance[[#This Row],[Reading Score]],Student­­Performance[[#This Row],[Writing Score]])</f>
        <v>69.333333333333329</v>
      </c>
      <c r="J445" s="10" t="str">
        <f>IF(Student­­Performance[[#This Row],[Average Score]]&gt;=50,"Pass","Fail")</f>
        <v>Pass</v>
      </c>
      <c r="K44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44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44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445" s="4">
        <f>IF(ISNUMBER(Student­­Performance[[#This Row],[Math Score]]),Student­­Performance[[#This Row],[Math Score]],0)</f>
        <v>68</v>
      </c>
      <c r="O445" s="4">
        <f>IF(ISNUMBER(Student­­Performance[[#This Row],[Reading Score]]),Student­­Performance[[#This Row],[Reading Score]],0)</f>
        <v>67</v>
      </c>
      <c r="P445" s="4">
        <f>IF(ISNUMBER(Student­­Performance[[#This Row],[Writing Score]]),Student­­Performance[[#This Row],[Writing Score]],0)</f>
        <v>73</v>
      </c>
      <c r="Q445" s="4" t="str">
        <f>IF(Student­­Performance[[#This Row],[Math Score]]&gt;=50,"Pass","Fail")</f>
        <v>Pass</v>
      </c>
      <c r="R445" s="4" t="str">
        <f>IF(Student­­Performance[[#This Row],[Reading Score]]&gt;=50,"Pass","Fail")</f>
        <v>Pass</v>
      </c>
      <c r="S445" s="4" t="str">
        <f>IF(Student­­Performance[[#This Row],[Writing Score]]&gt;=50,"Pass","Fail")</f>
        <v>Pass</v>
      </c>
      <c r="T44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208</v>
      </c>
      <c r="U445" s="4" cm="1">
        <f t="array" ref="U445">IF(COUNT(F445:H445)=0,"", MAX(IF(ISNUMBER(F445:H445),F445:H445)) - MIN(IF(ISNUMBER(F445:H445),F445:H445)))</f>
        <v>6</v>
      </c>
      <c r="V445" s="4" t="str">
        <f>IF(U445="","",IF(U445&gt;25,"Outlier","Normal"))</f>
        <v>Normal</v>
      </c>
    </row>
    <row r="446" spans="1:22" x14ac:dyDescent="0.3">
      <c r="A446" s="1" t="s">
        <v>17</v>
      </c>
      <c r="B446" s="1" t="s">
        <v>13</v>
      </c>
      <c r="C446" s="1" t="s">
        <v>84</v>
      </c>
      <c r="D446" s="1" t="s">
        <v>11</v>
      </c>
      <c r="E446" s="1" t="s">
        <v>12</v>
      </c>
      <c r="F446" s="4">
        <v>73</v>
      </c>
      <c r="G446" s="4">
        <v>74</v>
      </c>
      <c r="H446" s="4">
        <v>61</v>
      </c>
      <c r="I446" s="4">
        <f>AVERAGE(Student­­Performance[[#This Row],[Math Score]],Student­­Performance[[#This Row],[Reading Score]],Student­­Performance[[#This Row],[Writing Score]])</f>
        <v>69.333333333333329</v>
      </c>
      <c r="J446" s="10" t="str">
        <f>IF(Student­­Performance[[#This Row],[Average Score]]&gt;=50,"Pass","Fail")</f>
        <v>Pass</v>
      </c>
      <c r="K44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44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-13</v>
      </c>
      <c r="M44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-12</v>
      </c>
      <c r="N446" s="4">
        <f>IF(ISNUMBER(Student­­Performance[[#This Row],[Math Score]]),Student­­Performance[[#This Row],[Math Score]],0)</f>
        <v>73</v>
      </c>
      <c r="O446" s="4">
        <f>IF(ISNUMBER(Student­­Performance[[#This Row],[Reading Score]]),Student­­Performance[[#This Row],[Reading Score]],0)</f>
        <v>74</v>
      </c>
      <c r="P446" s="4">
        <f>IF(ISNUMBER(Student­­Performance[[#This Row],[Writing Score]]),Student­­Performance[[#This Row],[Writing Score]],0)</f>
        <v>61</v>
      </c>
      <c r="Q446" s="4" t="str">
        <f>IF(Student­­Performance[[#This Row],[Math Score]]&gt;=50,"Pass","Fail")</f>
        <v>Pass</v>
      </c>
      <c r="R446" s="4" t="str">
        <f>IF(Student­­Performance[[#This Row],[Reading Score]]&gt;=50,"Pass","Fail")</f>
        <v>Pass</v>
      </c>
      <c r="S446" s="4" t="str">
        <f>IF(Student­­Performance[[#This Row],[Writing Score]]&gt;=50,"Pass","Fail")</f>
        <v>Pass</v>
      </c>
      <c r="T44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208</v>
      </c>
      <c r="U446" s="4" cm="1">
        <f t="array" ref="U446">IF(COUNT(F446:H446)=0,"", MAX(IF(ISNUMBER(F446:H446),F446:H446)) - MIN(IF(ISNUMBER(F446:H446),F446:H446)))</f>
        <v>13</v>
      </c>
      <c r="V446" s="4" t="str">
        <f>IF(U446="","",IF(U446&gt;25,"Outlier","Normal"))</f>
        <v>Normal</v>
      </c>
    </row>
    <row r="447" spans="1:22" x14ac:dyDescent="0.3">
      <c r="A447" s="1" t="s">
        <v>17</v>
      </c>
      <c r="B447" s="1" t="s">
        <v>21</v>
      </c>
      <c r="C447" s="1" t="s">
        <v>88</v>
      </c>
      <c r="D447" s="1" t="s">
        <v>11</v>
      </c>
      <c r="E447" s="1" t="s">
        <v>15</v>
      </c>
      <c r="F447" s="4">
        <v>71</v>
      </c>
      <c r="G447" s="4">
        <v>69</v>
      </c>
      <c r="H447" s="4">
        <v>68</v>
      </c>
      <c r="I447" s="4">
        <f>AVERAGE(Student­­Performance[[#This Row],[Math Score]],Student­­Performance[[#This Row],[Reading Score]],Student­­Performance[[#This Row],[Writing Score]])</f>
        <v>69.333333333333329</v>
      </c>
      <c r="J447" s="10" t="str">
        <f>IF(Student­­Performance[[#This Row],[Average Score]]&gt;=50,"Pass","Fail")</f>
        <v>Pass</v>
      </c>
      <c r="K44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</v>
      </c>
      <c r="L44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44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447" s="4">
        <f>IF(ISNUMBER(Student­­Performance[[#This Row],[Math Score]]),Student­­Performance[[#This Row],[Math Score]],0)</f>
        <v>71</v>
      </c>
      <c r="O447" s="4">
        <f>IF(ISNUMBER(Student­­Performance[[#This Row],[Reading Score]]),Student­­Performance[[#This Row],[Reading Score]],0)</f>
        <v>69</v>
      </c>
      <c r="P447" s="4">
        <f>IF(ISNUMBER(Student­­Performance[[#This Row],[Writing Score]]),Student­­Performance[[#This Row],[Writing Score]],0)</f>
        <v>68</v>
      </c>
      <c r="Q447" s="4" t="str">
        <f>IF(Student­­Performance[[#This Row],[Math Score]]&gt;=50,"Pass","Fail")</f>
        <v>Pass</v>
      </c>
      <c r="R447" s="4" t="str">
        <f>IF(Student­­Performance[[#This Row],[Reading Score]]&gt;=50,"Pass","Fail")</f>
        <v>Pass</v>
      </c>
      <c r="S447" s="4" t="str">
        <f>IF(Student­­Performance[[#This Row],[Writing Score]]&gt;=50,"Pass","Fail")</f>
        <v>Pass</v>
      </c>
      <c r="T44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208</v>
      </c>
      <c r="U447" s="4" cm="1">
        <f t="array" ref="U447">IF(COUNT(F447:H447)=0,"", MAX(IF(ISNUMBER(F447:H447),F447:H447)) - MIN(IF(ISNUMBER(F447:H447),F447:H447)))</f>
        <v>3</v>
      </c>
      <c r="V447" s="4" t="str">
        <f>IF(U447="","",IF(U447&gt;25,"Outlier","Normal"))</f>
        <v>Normal</v>
      </c>
    </row>
    <row r="448" spans="1:22" x14ac:dyDescent="0.3">
      <c r="A448" s="1" t="s">
        <v>8</v>
      </c>
      <c r="B448" s="1" t="s">
        <v>9</v>
      </c>
      <c r="C448" s="1" t="s">
        <v>87</v>
      </c>
      <c r="D448" s="1" t="s">
        <v>11</v>
      </c>
      <c r="E448" s="1" t="s">
        <v>12</v>
      </c>
      <c r="F448" s="4">
        <v>66</v>
      </c>
      <c r="G448" s="4">
        <v>72</v>
      </c>
      <c r="H448" s="4">
        <v>70</v>
      </c>
      <c r="I448" s="4">
        <f>AVERAGE(Student­­Performance[[#This Row],[Math Score]],Student­­Performance[[#This Row],[Reading Score]],Student­­Performance[[#This Row],[Writing Score]])</f>
        <v>69.333333333333329</v>
      </c>
      <c r="J448" s="10" t="str">
        <f>IF(Student­­Performance[[#This Row],[Average Score]]&gt;=50,"Pass","Fail")</f>
        <v>Pass</v>
      </c>
      <c r="K44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44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44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448" s="4">
        <f>IF(ISNUMBER(Student­­Performance[[#This Row],[Math Score]]),Student­­Performance[[#This Row],[Math Score]],0)</f>
        <v>66</v>
      </c>
      <c r="O448" s="4">
        <f>IF(ISNUMBER(Student­­Performance[[#This Row],[Reading Score]]),Student­­Performance[[#This Row],[Reading Score]],0)</f>
        <v>72</v>
      </c>
      <c r="P448" s="4">
        <f>IF(ISNUMBER(Student­­Performance[[#This Row],[Writing Score]]),Student­­Performance[[#This Row],[Writing Score]],0)</f>
        <v>70</v>
      </c>
      <c r="Q448" s="4" t="str">
        <f>IF(Student­­Performance[[#This Row],[Math Score]]&gt;=50,"Pass","Fail")</f>
        <v>Pass</v>
      </c>
      <c r="R448" s="4" t="str">
        <f>IF(Student­­Performance[[#This Row],[Reading Score]]&gt;=50,"Pass","Fail")</f>
        <v>Pass</v>
      </c>
      <c r="S448" s="4" t="str">
        <f>IF(Student­­Performance[[#This Row],[Writing Score]]&gt;=50,"Pass","Fail")</f>
        <v>Pass</v>
      </c>
      <c r="T44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208</v>
      </c>
      <c r="U448" s="4" cm="1">
        <f t="array" ref="U448">IF(COUNT(F448:H448)=0,"", MAX(IF(ISNUMBER(F448:H448),F448:H448)) - MIN(IF(ISNUMBER(F448:H448),F448:H448)))</f>
        <v>6</v>
      </c>
      <c r="V448" s="4" t="str">
        <f>IF(U448="","",IF(U448&gt;25,"Outlier","Normal"))</f>
        <v>Normal</v>
      </c>
    </row>
    <row r="449" spans="1:22" x14ac:dyDescent="0.3">
      <c r="A449" s="1" t="s">
        <v>17</v>
      </c>
      <c r="B449" s="1" t="s">
        <v>13</v>
      </c>
      <c r="C449" s="1" t="s">
        <v>88</v>
      </c>
      <c r="D449" s="1" t="s">
        <v>11</v>
      </c>
      <c r="E449" s="1" t="s">
        <v>15</v>
      </c>
      <c r="F449" s="4">
        <v>67</v>
      </c>
      <c r="G449" s="4">
        <v>73</v>
      </c>
      <c r="H449" s="4">
        <v>68</v>
      </c>
      <c r="I449" s="4">
        <f>AVERAGE(Student­­Performance[[#This Row],[Math Score]],Student­­Performance[[#This Row],[Reading Score]],Student­­Performance[[#This Row],[Writing Score]])</f>
        <v>69.333333333333329</v>
      </c>
      <c r="J449" s="10" t="str">
        <f>IF(Student­­Performance[[#This Row],[Average Score]]&gt;=50,"Pass","Fail")</f>
        <v>Pass</v>
      </c>
      <c r="K44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44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44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449" s="4">
        <f>IF(ISNUMBER(Student­­Performance[[#This Row],[Math Score]]),Student­­Performance[[#This Row],[Math Score]],0)</f>
        <v>67</v>
      </c>
      <c r="O449" s="4">
        <f>IF(ISNUMBER(Student­­Performance[[#This Row],[Reading Score]]),Student­­Performance[[#This Row],[Reading Score]],0)</f>
        <v>73</v>
      </c>
      <c r="P449" s="4">
        <f>IF(ISNUMBER(Student­­Performance[[#This Row],[Writing Score]]),Student­­Performance[[#This Row],[Writing Score]],0)</f>
        <v>68</v>
      </c>
      <c r="Q449" s="4" t="str">
        <f>IF(Student­­Performance[[#This Row],[Math Score]]&gt;=50,"Pass","Fail")</f>
        <v>Pass</v>
      </c>
      <c r="R449" s="4" t="str">
        <f>IF(Student­­Performance[[#This Row],[Reading Score]]&gt;=50,"Pass","Fail")</f>
        <v>Pass</v>
      </c>
      <c r="S449" s="4" t="str">
        <f>IF(Student­­Performance[[#This Row],[Writing Score]]&gt;=50,"Pass","Fail")</f>
        <v>Pass</v>
      </c>
      <c r="T44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208</v>
      </c>
      <c r="U449" s="4" cm="1">
        <f t="array" ref="U449">IF(COUNT(F449:H449)=0,"", MAX(IF(ISNUMBER(F449:H449),F449:H449)) - MIN(IF(ISNUMBER(F449:H449),F449:H449)))</f>
        <v>6</v>
      </c>
      <c r="V449" s="4" t="str">
        <f>IF(U449="","",IF(U449&gt;25,"Outlier","Normal"))</f>
        <v>Normal</v>
      </c>
    </row>
    <row r="450" spans="1:22" x14ac:dyDescent="0.3">
      <c r="A450" s="1" t="s">
        <v>17</v>
      </c>
      <c r="B450" s="1" t="s">
        <v>9</v>
      </c>
      <c r="C450" s="1" t="s">
        <v>84</v>
      </c>
      <c r="D450" s="1" t="s">
        <v>20</v>
      </c>
      <c r="E450" s="1" t="s">
        <v>12</v>
      </c>
      <c r="F450" s="4">
        <v>75</v>
      </c>
      <c r="G450" s="4">
        <v>68</v>
      </c>
      <c r="H450" s="4">
        <v>65</v>
      </c>
      <c r="I450" s="4">
        <f>AVERAGE(Student­­Performance[[#This Row],[Math Score]],Student­­Performance[[#This Row],[Reading Score]],Student­­Performance[[#This Row],[Writing Score]])</f>
        <v>69.333333333333329</v>
      </c>
      <c r="J450" s="10" t="str">
        <f>IF(Student­­Performance[[#This Row],[Average Score]]&gt;=50,"Pass","Fail")</f>
        <v>Pass</v>
      </c>
      <c r="K45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-7</v>
      </c>
      <c r="L45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45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-10</v>
      </c>
      <c r="N450" s="4">
        <f>IF(ISNUMBER(Student­­Performance[[#This Row],[Math Score]]),Student­­Performance[[#This Row],[Math Score]],0)</f>
        <v>75</v>
      </c>
      <c r="O450" s="4">
        <f>IF(ISNUMBER(Student­­Performance[[#This Row],[Reading Score]]),Student­­Performance[[#This Row],[Reading Score]],0)</f>
        <v>68</v>
      </c>
      <c r="P450" s="4">
        <f>IF(ISNUMBER(Student­­Performance[[#This Row],[Writing Score]]),Student­­Performance[[#This Row],[Writing Score]],0)</f>
        <v>65</v>
      </c>
      <c r="Q450" s="4" t="str">
        <f>IF(Student­­Performance[[#This Row],[Math Score]]&gt;=50,"Pass","Fail")</f>
        <v>Pass</v>
      </c>
      <c r="R450" s="4" t="str">
        <f>IF(Student­­Performance[[#This Row],[Reading Score]]&gt;=50,"Pass","Fail")</f>
        <v>Pass</v>
      </c>
      <c r="S450" s="4" t="str">
        <f>IF(Student­­Performance[[#This Row],[Writing Score]]&gt;=50,"Pass","Fail")</f>
        <v>Pass</v>
      </c>
      <c r="T45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208</v>
      </c>
      <c r="U450" s="4" cm="1">
        <f t="array" ref="U450">IF(COUNT(F450:H450)=0,"", MAX(IF(ISNUMBER(F450:H450),F450:H450)) - MIN(IF(ISNUMBER(F450:H450),F450:H450)))</f>
        <v>10</v>
      </c>
      <c r="V450" s="4" t="str">
        <f>IF(U450="","",IF(U450&gt;25,"Outlier","Normal"))</f>
        <v>Normal</v>
      </c>
    </row>
    <row r="451" spans="1:22" x14ac:dyDescent="0.3">
      <c r="A451" s="1" t="s">
        <v>8</v>
      </c>
      <c r="B451" s="1" t="s">
        <v>9</v>
      </c>
      <c r="C451" s="1" t="s">
        <v>87</v>
      </c>
      <c r="D451" s="1" t="s">
        <v>20</v>
      </c>
      <c r="E451" s="1" t="s">
        <v>12</v>
      </c>
      <c r="F451" s="4">
        <v>64</v>
      </c>
      <c r="G451" s="4">
        <v>73</v>
      </c>
      <c r="H451" s="4">
        <v>71</v>
      </c>
      <c r="I451" s="4">
        <f>AVERAGE(Student­­Performance[[#This Row],[Math Score]],Student­­Performance[[#This Row],[Reading Score]],Student­­Performance[[#This Row],[Writing Score]])</f>
        <v>69.333333333333329</v>
      </c>
      <c r="J451" s="10" t="str">
        <f>IF(Student­­Performance[[#This Row],[Average Score]]&gt;=50,"Pass","Fail")</f>
        <v>Pass</v>
      </c>
      <c r="K45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45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45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451" s="4">
        <f>IF(ISNUMBER(Student­­Performance[[#This Row],[Math Score]]),Student­­Performance[[#This Row],[Math Score]],0)</f>
        <v>64</v>
      </c>
      <c r="O451" s="4">
        <f>IF(ISNUMBER(Student­­Performance[[#This Row],[Reading Score]]),Student­­Performance[[#This Row],[Reading Score]],0)</f>
        <v>73</v>
      </c>
      <c r="P451" s="4">
        <f>IF(ISNUMBER(Student­­Performance[[#This Row],[Writing Score]]),Student­­Performance[[#This Row],[Writing Score]],0)</f>
        <v>71</v>
      </c>
      <c r="Q451" s="4" t="str">
        <f>IF(Student­­Performance[[#This Row],[Math Score]]&gt;=50,"Pass","Fail")</f>
        <v>Pass</v>
      </c>
      <c r="R451" s="4" t="str">
        <f>IF(Student­­Performance[[#This Row],[Reading Score]]&gt;=50,"Pass","Fail")</f>
        <v>Pass</v>
      </c>
      <c r="S451" s="4" t="str">
        <f>IF(Student­­Performance[[#This Row],[Writing Score]]&gt;=50,"Pass","Fail")</f>
        <v>Pass</v>
      </c>
      <c r="T45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208</v>
      </c>
      <c r="U451" s="4" cm="1">
        <f t="array" ref="U451">IF(COUNT(F451:H451)=0,"", MAX(IF(ISNUMBER(F451:H451),F451:H451)) - MIN(IF(ISNUMBER(F451:H451),F451:H451)))</f>
        <v>9</v>
      </c>
      <c r="V451" s="4" t="str">
        <f>IF(U451="","",IF(U451&gt;25,"Outlier","Normal"))</f>
        <v>Normal</v>
      </c>
    </row>
    <row r="452" spans="1:22" x14ac:dyDescent="0.3">
      <c r="A452" s="1" t="s">
        <v>8</v>
      </c>
      <c r="B452" s="1" t="s">
        <v>21</v>
      </c>
      <c r="C452" s="1" t="s">
        <v>84</v>
      </c>
      <c r="D452" s="1" t="s">
        <v>20</v>
      </c>
      <c r="E452" s="1" t="s">
        <v>12</v>
      </c>
      <c r="F452" s="4">
        <v>69</v>
      </c>
      <c r="G452" s="4">
        <v>65</v>
      </c>
      <c r="H452" s="4">
        <v>74</v>
      </c>
      <c r="I452" s="4">
        <f>AVERAGE(Student­­Performance[[#This Row],[Math Score]],Student­­Performance[[#This Row],[Reading Score]],Student­­Performance[[#This Row],[Writing Score]])</f>
        <v>69.333333333333329</v>
      </c>
      <c r="J452" s="10" t="str">
        <f>IF(Student­­Performance[[#This Row],[Average Score]]&gt;=50,"Pass","Fail")</f>
        <v>Pass</v>
      </c>
      <c r="K45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45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9</v>
      </c>
      <c r="M45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452" s="4">
        <f>IF(ISNUMBER(Student­­Performance[[#This Row],[Math Score]]),Student­­Performance[[#This Row],[Math Score]],0)</f>
        <v>69</v>
      </c>
      <c r="O452" s="4">
        <f>IF(ISNUMBER(Student­­Performance[[#This Row],[Reading Score]]),Student­­Performance[[#This Row],[Reading Score]],0)</f>
        <v>65</v>
      </c>
      <c r="P452" s="4">
        <f>IF(ISNUMBER(Student­­Performance[[#This Row],[Writing Score]]),Student­­Performance[[#This Row],[Writing Score]],0)</f>
        <v>74</v>
      </c>
      <c r="Q452" s="4" t="str">
        <f>IF(Student­­Performance[[#This Row],[Math Score]]&gt;=50,"Pass","Fail")</f>
        <v>Pass</v>
      </c>
      <c r="R452" s="4" t="str">
        <f>IF(Student­­Performance[[#This Row],[Reading Score]]&gt;=50,"Pass","Fail")</f>
        <v>Pass</v>
      </c>
      <c r="S452" s="4" t="str">
        <f>IF(Student­­Performance[[#This Row],[Writing Score]]&gt;=50,"Pass","Fail")</f>
        <v>Pass</v>
      </c>
      <c r="T45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208</v>
      </c>
      <c r="U452" s="4" cm="1">
        <f t="array" ref="U452">IF(COUNT(F452:H452)=0,"", MAX(IF(ISNUMBER(F452:H452),F452:H452)) - MIN(IF(ISNUMBER(F452:H452),F452:H452)))</f>
        <v>9</v>
      </c>
      <c r="V452" s="4" t="str">
        <f>IF(U452="","",IF(U452&gt;25,"Outlier","Normal"))</f>
        <v>Normal</v>
      </c>
    </row>
    <row r="453" spans="1:22" x14ac:dyDescent="0.3">
      <c r="A453" s="1" t="s">
        <v>8</v>
      </c>
      <c r="B453" s="1" t="s">
        <v>21</v>
      </c>
      <c r="C453" s="1" t="s">
        <v>83</v>
      </c>
      <c r="D453" s="1" t="s">
        <v>20</v>
      </c>
      <c r="E453" s="1" t="s">
        <v>12</v>
      </c>
      <c r="F453" s="4">
        <v>62</v>
      </c>
      <c r="G453" s="4">
        <v>72</v>
      </c>
      <c r="H453" s="4">
        <v>74</v>
      </c>
      <c r="I453" s="4">
        <f>AVERAGE(Student­­Performance[[#This Row],[Math Score]],Student­­Performance[[#This Row],[Reading Score]],Student­­Performance[[#This Row],[Writing Score]])</f>
        <v>69.333333333333329</v>
      </c>
      <c r="J453" s="10" t="str">
        <f>IF(Student­­Performance[[#This Row],[Average Score]]&gt;=50,"Pass","Fail")</f>
        <v>Pass</v>
      </c>
      <c r="K45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45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45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453" s="4">
        <f>IF(ISNUMBER(Student­­Performance[[#This Row],[Math Score]]),Student­­Performance[[#This Row],[Math Score]],0)</f>
        <v>62</v>
      </c>
      <c r="O453" s="4">
        <f>IF(ISNUMBER(Student­­Performance[[#This Row],[Reading Score]]),Student­­Performance[[#This Row],[Reading Score]],0)</f>
        <v>72</v>
      </c>
      <c r="P453" s="4">
        <f>IF(ISNUMBER(Student­­Performance[[#This Row],[Writing Score]]),Student­­Performance[[#This Row],[Writing Score]],0)</f>
        <v>74</v>
      </c>
      <c r="Q453" s="4" t="str">
        <f>IF(Student­­Performance[[#This Row],[Math Score]]&gt;=50,"Pass","Fail")</f>
        <v>Pass</v>
      </c>
      <c r="R453" s="4" t="str">
        <f>IF(Student­­Performance[[#This Row],[Reading Score]]&gt;=50,"Pass","Fail")</f>
        <v>Pass</v>
      </c>
      <c r="S453" s="4" t="str">
        <f>IF(Student­­Performance[[#This Row],[Writing Score]]&gt;=50,"Pass","Fail")</f>
        <v>Pass</v>
      </c>
      <c r="T45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208</v>
      </c>
      <c r="U453" s="4" cm="1">
        <f t="array" ref="U453">IF(COUNT(F453:H453)=0,"", MAX(IF(ISNUMBER(F453:H453),F453:H453)) - MIN(IF(ISNUMBER(F453:H453),F453:H453)))</f>
        <v>12</v>
      </c>
      <c r="V453" s="4" t="str">
        <f>IF(U453="","",IF(U453&gt;25,"Outlier","Normal"))</f>
        <v>Normal</v>
      </c>
    </row>
    <row r="454" spans="1:22" x14ac:dyDescent="0.3">
      <c r="A454" s="1" t="s">
        <v>8</v>
      </c>
      <c r="B454" s="1" t="s">
        <v>21</v>
      </c>
      <c r="C454" s="1" t="s">
        <v>85</v>
      </c>
      <c r="D454" s="1" t="s">
        <v>11</v>
      </c>
      <c r="E454" s="1" t="s">
        <v>12</v>
      </c>
      <c r="F454" s="4">
        <v>62</v>
      </c>
      <c r="G454" s="4">
        <v>70</v>
      </c>
      <c r="H454" s="4">
        <v>75</v>
      </c>
      <c r="I454" s="4">
        <f>AVERAGE(Student­­Performance[[#This Row],[Math Score]],Student­­Performance[[#This Row],[Reading Score]],Student­­Performance[[#This Row],[Writing Score]])</f>
        <v>69</v>
      </c>
      <c r="J454" s="10" t="str">
        <f>IF(Student­­Performance[[#This Row],[Average Score]]&gt;=50,"Pass","Fail")</f>
        <v>Pass</v>
      </c>
      <c r="K45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45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45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13</v>
      </c>
      <c r="N454" s="4">
        <f>IF(ISNUMBER(Student­­Performance[[#This Row],[Math Score]]),Student­­Performance[[#This Row],[Math Score]],0)</f>
        <v>62</v>
      </c>
      <c r="O454" s="4">
        <f>IF(ISNUMBER(Student­­Performance[[#This Row],[Reading Score]]),Student­­Performance[[#This Row],[Reading Score]],0)</f>
        <v>70</v>
      </c>
      <c r="P454" s="4">
        <f>IF(ISNUMBER(Student­­Performance[[#This Row],[Writing Score]]),Student­­Performance[[#This Row],[Writing Score]],0)</f>
        <v>75</v>
      </c>
      <c r="Q454" s="4" t="str">
        <f>IF(Student­­Performance[[#This Row],[Math Score]]&gt;=50,"Pass","Fail")</f>
        <v>Pass</v>
      </c>
      <c r="R454" s="4" t="str">
        <f>IF(Student­­Performance[[#This Row],[Reading Score]]&gt;=50,"Pass","Fail")</f>
        <v>Pass</v>
      </c>
      <c r="S454" s="4" t="str">
        <f>IF(Student­­Performance[[#This Row],[Writing Score]]&gt;=50,"Pass","Fail")</f>
        <v>Pass</v>
      </c>
      <c r="T45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207</v>
      </c>
      <c r="U454" s="4" cm="1">
        <f t="array" ref="U454">IF(COUNT(F454:H454)=0,"", MAX(IF(ISNUMBER(F454:H454),F454:H454)) - MIN(IF(ISNUMBER(F454:H454),F454:H454)))</f>
        <v>13</v>
      </c>
      <c r="V454" s="4" t="str">
        <f>IF(U454="","",IF(U454&gt;25,"Outlier","Normal"))</f>
        <v>Normal</v>
      </c>
    </row>
    <row r="455" spans="1:22" x14ac:dyDescent="0.3">
      <c r="A455" s="1" t="s">
        <v>8</v>
      </c>
      <c r="B455" s="1" t="s">
        <v>21</v>
      </c>
      <c r="C455" s="1" t="s">
        <v>86</v>
      </c>
      <c r="D455" s="1" t="s">
        <v>20</v>
      </c>
      <c r="E455" s="1" t="s">
        <v>15</v>
      </c>
      <c r="F455" s="4">
        <v>57</v>
      </c>
      <c r="G455" s="4">
        <v>74</v>
      </c>
      <c r="H455" s="4">
        <v>76</v>
      </c>
      <c r="I455" s="4">
        <f>AVERAGE(Student­­Performance[[#This Row],[Math Score]],Student­­Performance[[#This Row],[Reading Score]],Student­­Performance[[#This Row],[Writing Score]])</f>
        <v>69</v>
      </c>
      <c r="J455" s="10" t="str">
        <f>IF(Student­­Performance[[#This Row],[Average Score]]&gt;=50,"Pass","Fail")</f>
        <v>Pass</v>
      </c>
      <c r="K45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17</v>
      </c>
      <c r="L45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45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19</v>
      </c>
      <c r="N455" s="4">
        <f>IF(ISNUMBER(Student­­Performance[[#This Row],[Math Score]]),Student­­Performance[[#This Row],[Math Score]],0)</f>
        <v>57</v>
      </c>
      <c r="O455" s="4">
        <f>IF(ISNUMBER(Student­­Performance[[#This Row],[Reading Score]]),Student­­Performance[[#This Row],[Reading Score]],0)</f>
        <v>74</v>
      </c>
      <c r="P455" s="4">
        <f>IF(ISNUMBER(Student­­Performance[[#This Row],[Writing Score]]),Student­­Performance[[#This Row],[Writing Score]],0)</f>
        <v>76</v>
      </c>
      <c r="Q455" s="4" t="str">
        <f>IF(Student­­Performance[[#This Row],[Math Score]]&gt;=50,"Pass","Fail")</f>
        <v>Pass</v>
      </c>
      <c r="R455" s="4" t="str">
        <f>IF(Student­­Performance[[#This Row],[Reading Score]]&gt;=50,"Pass","Fail")</f>
        <v>Pass</v>
      </c>
      <c r="S455" s="4" t="str">
        <f>IF(Student­­Performance[[#This Row],[Writing Score]]&gt;=50,"Pass","Fail")</f>
        <v>Pass</v>
      </c>
      <c r="T45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207</v>
      </c>
      <c r="U455" s="4" cm="1">
        <f t="array" ref="U455">IF(COUNT(F455:H455)=0,"", MAX(IF(ISNUMBER(F455:H455),F455:H455)) - MIN(IF(ISNUMBER(F455:H455),F455:H455)))</f>
        <v>19</v>
      </c>
      <c r="V455" s="4" t="str">
        <f>IF(U455="","",IF(U455&gt;25,"Outlier","Normal"))</f>
        <v>Normal</v>
      </c>
    </row>
    <row r="456" spans="1:22" x14ac:dyDescent="0.3">
      <c r="A456" s="1" t="s">
        <v>8</v>
      </c>
      <c r="B456" s="1" t="s">
        <v>21</v>
      </c>
      <c r="C456" s="1" t="s">
        <v>88</v>
      </c>
      <c r="D456" s="1" t="s">
        <v>11</v>
      </c>
      <c r="E456" s="1" t="s">
        <v>15</v>
      </c>
      <c r="F456" s="4">
        <v>61</v>
      </c>
      <c r="G456" s="4">
        <v>74</v>
      </c>
      <c r="H456" s="4">
        <v>72</v>
      </c>
      <c r="I456" s="4">
        <f>AVERAGE(Student­­Performance[[#This Row],[Math Score]],Student­­Performance[[#This Row],[Reading Score]],Student­­Performance[[#This Row],[Writing Score]])</f>
        <v>69</v>
      </c>
      <c r="J456" s="10" t="str">
        <f>IF(Student­­Performance[[#This Row],[Average Score]]&gt;=50,"Pass","Fail")</f>
        <v>Pass</v>
      </c>
      <c r="K45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13</v>
      </c>
      <c r="L45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45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456" s="4">
        <f>IF(ISNUMBER(Student­­Performance[[#This Row],[Math Score]]),Student­­Performance[[#This Row],[Math Score]],0)</f>
        <v>61</v>
      </c>
      <c r="O456" s="4">
        <f>IF(ISNUMBER(Student­­Performance[[#This Row],[Reading Score]]),Student­­Performance[[#This Row],[Reading Score]],0)</f>
        <v>74</v>
      </c>
      <c r="P456" s="4">
        <f>IF(ISNUMBER(Student­­Performance[[#This Row],[Writing Score]]),Student­­Performance[[#This Row],[Writing Score]],0)</f>
        <v>72</v>
      </c>
      <c r="Q456" s="4" t="str">
        <f>IF(Student­­Performance[[#This Row],[Math Score]]&gt;=50,"Pass","Fail")</f>
        <v>Pass</v>
      </c>
      <c r="R456" s="4" t="str">
        <f>IF(Student­­Performance[[#This Row],[Reading Score]]&gt;=50,"Pass","Fail")</f>
        <v>Pass</v>
      </c>
      <c r="S456" s="4" t="str">
        <f>IF(Student­­Performance[[#This Row],[Writing Score]]&gt;=50,"Pass","Fail")</f>
        <v>Pass</v>
      </c>
      <c r="T45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207</v>
      </c>
      <c r="U456" s="4" cm="1">
        <f t="array" ref="U456">IF(COUNT(F456:H456)=0,"", MAX(IF(ISNUMBER(F456:H456),F456:H456)) - MIN(IF(ISNUMBER(F456:H456),F456:H456)))</f>
        <v>13</v>
      </c>
      <c r="V456" s="4" t="str">
        <f>IF(U456="","",IF(U456&gt;25,"Outlier","Normal"))</f>
        <v>Normal</v>
      </c>
    </row>
    <row r="457" spans="1:22" x14ac:dyDescent="0.3">
      <c r="A457" s="1" t="s">
        <v>17</v>
      </c>
      <c r="B457" s="1" t="s">
        <v>9</v>
      </c>
      <c r="C457" s="1" t="s">
        <v>88</v>
      </c>
      <c r="D457" s="1" t="s">
        <v>11</v>
      </c>
      <c r="E457" s="1" t="s">
        <v>12</v>
      </c>
      <c r="F457" s="4">
        <v>72</v>
      </c>
      <c r="G457" s="4">
        <v>68</v>
      </c>
      <c r="H457" s="4">
        <v>67</v>
      </c>
      <c r="I457" s="4">
        <f>AVERAGE(Student­­Performance[[#This Row],[Math Score]],Student­­Performance[[#This Row],[Reading Score]],Student­­Performance[[#This Row],[Writing Score]])</f>
        <v>69</v>
      </c>
      <c r="J457" s="10" t="str">
        <f>IF(Student­­Performance[[#This Row],[Average Score]]&gt;=50,"Pass","Fail")</f>
        <v>Pass</v>
      </c>
      <c r="K45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45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45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-5</v>
      </c>
      <c r="N457" s="4">
        <f>IF(ISNUMBER(Student­­Performance[[#This Row],[Math Score]]),Student­­Performance[[#This Row],[Math Score]],0)</f>
        <v>72</v>
      </c>
      <c r="O457" s="4">
        <f>IF(ISNUMBER(Student­­Performance[[#This Row],[Reading Score]]),Student­­Performance[[#This Row],[Reading Score]],0)</f>
        <v>68</v>
      </c>
      <c r="P457" s="4">
        <f>IF(ISNUMBER(Student­­Performance[[#This Row],[Writing Score]]),Student­­Performance[[#This Row],[Writing Score]],0)</f>
        <v>67</v>
      </c>
      <c r="Q457" s="4" t="str">
        <f>IF(Student­­Performance[[#This Row],[Math Score]]&gt;=50,"Pass","Fail")</f>
        <v>Pass</v>
      </c>
      <c r="R457" s="4" t="str">
        <f>IF(Student­­Performance[[#This Row],[Reading Score]]&gt;=50,"Pass","Fail")</f>
        <v>Pass</v>
      </c>
      <c r="S457" s="4" t="str">
        <f>IF(Student­­Performance[[#This Row],[Writing Score]]&gt;=50,"Pass","Fail")</f>
        <v>Pass</v>
      </c>
      <c r="T45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207</v>
      </c>
      <c r="U457" s="4" cm="1">
        <f t="array" ref="U457">IF(COUNT(F457:H457)=0,"", MAX(IF(ISNUMBER(F457:H457),F457:H457)) - MIN(IF(ISNUMBER(F457:H457),F457:H457)))</f>
        <v>5</v>
      </c>
      <c r="V457" s="4" t="str">
        <f>IF(U457="","",IF(U457&gt;25,"Outlier","Normal"))</f>
        <v>Normal</v>
      </c>
    </row>
    <row r="458" spans="1:22" x14ac:dyDescent="0.3">
      <c r="A458" s="1" t="s">
        <v>17</v>
      </c>
      <c r="B458" s="1" t="s">
        <v>13</v>
      </c>
      <c r="C458" s="1" t="s">
        <v>86</v>
      </c>
      <c r="D458" s="1" t="s">
        <v>20</v>
      </c>
      <c r="E458" s="1" t="s">
        <v>12</v>
      </c>
      <c r="F458" s="4">
        <v>73</v>
      </c>
      <c r="G458" s="4">
        <v>68</v>
      </c>
      <c r="H458" s="4">
        <v>66</v>
      </c>
      <c r="I458" s="4">
        <f>AVERAGE(Student­­Performance[[#This Row],[Math Score]],Student­­Performance[[#This Row],[Reading Score]],Student­­Performance[[#This Row],[Writing Score]])</f>
        <v>69</v>
      </c>
      <c r="J458" s="10" t="str">
        <f>IF(Student­­Performance[[#This Row],[Average Score]]&gt;=50,"Pass","Fail")</f>
        <v>Pass</v>
      </c>
      <c r="K45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45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45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458" s="4">
        <f>IF(ISNUMBER(Student­­Performance[[#This Row],[Math Score]]),Student­­Performance[[#This Row],[Math Score]],0)</f>
        <v>73</v>
      </c>
      <c r="O458" s="4">
        <f>IF(ISNUMBER(Student­­Performance[[#This Row],[Reading Score]]),Student­­Performance[[#This Row],[Reading Score]],0)</f>
        <v>68</v>
      </c>
      <c r="P458" s="4">
        <f>IF(ISNUMBER(Student­­Performance[[#This Row],[Writing Score]]),Student­­Performance[[#This Row],[Writing Score]],0)</f>
        <v>66</v>
      </c>
      <c r="Q458" s="4" t="str">
        <f>IF(Student­­Performance[[#This Row],[Math Score]]&gt;=50,"Pass","Fail")</f>
        <v>Pass</v>
      </c>
      <c r="R458" s="4" t="str">
        <f>IF(Student­­Performance[[#This Row],[Reading Score]]&gt;=50,"Pass","Fail")</f>
        <v>Pass</v>
      </c>
      <c r="S458" s="4" t="str">
        <f>IF(Student­­Performance[[#This Row],[Writing Score]]&gt;=50,"Pass","Fail")</f>
        <v>Pass</v>
      </c>
      <c r="T45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207</v>
      </c>
      <c r="U458" s="4" cm="1">
        <f t="array" ref="U458">IF(COUNT(F458:H458)=0,"", MAX(IF(ISNUMBER(F458:H458),F458:H458)) - MIN(IF(ISNUMBER(F458:H458),F458:H458)))</f>
        <v>7</v>
      </c>
      <c r="V458" s="4" t="str">
        <f>IF(U458="","",IF(U458&gt;25,"Outlier","Normal"))</f>
        <v>Normal</v>
      </c>
    </row>
    <row r="459" spans="1:22" x14ac:dyDescent="0.3">
      <c r="A459" s="1" t="s">
        <v>17</v>
      </c>
      <c r="B459" s="1" t="s">
        <v>21</v>
      </c>
      <c r="C459" s="1" t="s">
        <v>87</v>
      </c>
      <c r="D459" s="1" t="s">
        <v>20</v>
      </c>
      <c r="E459" s="1" t="s">
        <v>15</v>
      </c>
      <c r="F459" s="4">
        <v>73</v>
      </c>
      <c r="G459" s="4">
        <v>68</v>
      </c>
      <c r="H459" s="4">
        <v>66</v>
      </c>
      <c r="I459" s="4">
        <f>AVERAGE(Student­­Performance[[#This Row],[Math Score]],Student­­Performance[[#This Row],[Reading Score]],Student­­Performance[[#This Row],[Writing Score]])</f>
        <v>69</v>
      </c>
      <c r="J459" s="10" t="str">
        <f>IF(Student­­Performance[[#This Row],[Average Score]]&gt;=50,"Pass","Fail")</f>
        <v>Pass</v>
      </c>
      <c r="K45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45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45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459" s="4">
        <f>IF(ISNUMBER(Student­­Performance[[#This Row],[Math Score]]),Student­­Performance[[#This Row],[Math Score]],0)</f>
        <v>73</v>
      </c>
      <c r="O459" s="4">
        <f>IF(ISNUMBER(Student­­Performance[[#This Row],[Reading Score]]),Student­­Performance[[#This Row],[Reading Score]],0)</f>
        <v>68</v>
      </c>
      <c r="P459" s="4">
        <f>IF(ISNUMBER(Student­­Performance[[#This Row],[Writing Score]]),Student­­Performance[[#This Row],[Writing Score]],0)</f>
        <v>66</v>
      </c>
      <c r="Q459" s="4" t="str">
        <f>IF(Student­­Performance[[#This Row],[Math Score]]&gt;=50,"Pass","Fail")</f>
        <v>Pass</v>
      </c>
      <c r="R459" s="4" t="str">
        <f>IF(Student­­Performance[[#This Row],[Reading Score]]&gt;=50,"Pass","Fail")</f>
        <v>Pass</v>
      </c>
      <c r="S459" s="4" t="str">
        <f>IF(Student­­Performance[[#This Row],[Writing Score]]&gt;=50,"Pass","Fail")</f>
        <v>Pass</v>
      </c>
      <c r="T45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207</v>
      </c>
      <c r="U459" s="4" cm="1">
        <f t="array" ref="U459">IF(COUNT(F459:H459)=0,"", MAX(IF(ISNUMBER(F459:H459),F459:H459)) - MIN(IF(ISNUMBER(F459:H459),F459:H459)))</f>
        <v>7</v>
      </c>
      <c r="V459" s="4" t="str">
        <f>IF(U459="","",IF(U459&gt;25,"Outlier","Normal"))</f>
        <v>Normal</v>
      </c>
    </row>
    <row r="460" spans="1:22" x14ac:dyDescent="0.3">
      <c r="A460" s="1" t="s">
        <v>8</v>
      </c>
      <c r="B460" s="1" t="s">
        <v>26</v>
      </c>
      <c r="C460" s="1" t="s">
        <v>83</v>
      </c>
      <c r="D460" s="1" t="s">
        <v>11</v>
      </c>
      <c r="E460" s="1" t="s">
        <v>12</v>
      </c>
      <c r="F460" s="4">
        <v>64</v>
      </c>
      <c r="G460" s="4">
        <v>73</v>
      </c>
      <c r="H460" s="4">
        <v>70</v>
      </c>
      <c r="I460" s="4">
        <f>AVERAGE(Student­­Performance[[#This Row],[Math Score]],Student­­Performance[[#This Row],[Reading Score]],Student­­Performance[[#This Row],[Writing Score]])</f>
        <v>69</v>
      </c>
      <c r="J460" s="10" t="str">
        <f>IF(Student­­Performance[[#This Row],[Average Score]]&gt;=50,"Pass","Fail")</f>
        <v>Pass</v>
      </c>
      <c r="K46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46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46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460" s="4">
        <f>IF(ISNUMBER(Student­­Performance[[#This Row],[Math Score]]),Student­­Performance[[#This Row],[Math Score]],0)</f>
        <v>64</v>
      </c>
      <c r="O460" s="4">
        <f>IF(ISNUMBER(Student­­Performance[[#This Row],[Reading Score]]),Student­­Performance[[#This Row],[Reading Score]],0)</f>
        <v>73</v>
      </c>
      <c r="P460" s="4">
        <f>IF(ISNUMBER(Student­­Performance[[#This Row],[Writing Score]]),Student­­Performance[[#This Row],[Writing Score]],0)</f>
        <v>70</v>
      </c>
      <c r="Q460" s="4" t="str">
        <f>IF(Student­­Performance[[#This Row],[Math Score]]&gt;=50,"Pass","Fail")</f>
        <v>Pass</v>
      </c>
      <c r="R460" s="4" t="str">
        <f>IF(Student­­Performance[[#This Row],[Reading Score]]&gt;=50,"Pass","Fail")</f>
        <v>Pass</v>
      </c>
      <c r="S460" s="4" t="str">
        <f>IF(Student­­Performance[[#This Row],[Writing Score]]&gt;=50,"Pass","Fail")</f>
        <v>Pass</v>
      </c>
      <c r="T46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207</v>
      </c>
      <c r="U460" s="4" cm="1">
        <f t="array" ref="U460">IF(COUNT(F460:H460)=0,"", MAX(IF(ISNUMBER(F460:H460),F460:H460)) - MIN(IF(ISNUMBER(F460:H460),F460:H460)))</f>
        <v>9</v>
      </c>
      <c r="V460" s="4" t="str">
        <f>IF(U460="","",IF(U460&gt;25,"Outlier","Normal"))</f>
        <v>Normal</v>
      </c>
    </row>
    <row r="461" spans="1:22" x14ac:dyDescent="0.3">
      <c r="A461" s="1" t="s">
        <v>8</v>
      </c>
      <c r="B461" s="1" t="s">
        <v>13</v>
      </c>
      <c r="C461" s="1" t="s">
        <v>83</v>
      </c>
      <c r="D461" s="1" t="s">
        <v>11</v>
      </c>
      <c r="E461" s="1" t="s">
        <v>15</v>
      </c>
      <c r="F461" s="4">
        <v>56</v>
      </c>
      <c r="G461" s="4">
        <v>79</v>
      </c>
      <c r="H461" s="4">
        <v>72</v>
      </c>
      <c r="I461" s="4">
        <f>AVERAGE(Student­­Performance[[#This Row],[Math Score]],Student­­Performance[[#This Row],[Reading Score]],Student­­Performance[[#This Row],[Writing Score]])</f>
        <v>69</v>
      </c>
      <c r="J461" s="10" t="str">
        <f>IF(Student­­Performance[[#This Row],[Average Score]]&gt;=50,"Pass","Fail")</f>
        <v>Pass</v>
      </c>
      <c r="K46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23</v>
      </c>
      <c r="L46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46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16</v>
      </c>
      <c r="N461" s="4">
        <f>IF(ISNUMBER(Student­­Performance[[#This Row],[Math Score]]),Student­­Performance[[#This Row],[Math Score]],0)</f>
        <v>56</v>
      </c>
      <c r="O461" s="4">
        <f>IF(ISNUMBER(Student­­Performance[[#This Row],[Reading Score]]),Student­­Performance[[#This Row],[Reading Score]],0)</f>
        <v>79</v>
      </c>
      <c r="P461" s="4">
        <f>IF(ISNUMBER(Student­­Performance[[#This Row],[Writing Score]]),Student­­Performance[[#This Row],[Writing Score]],0)</f>
        <v>72</v>
      </c>
      <c r="Q461" s="4" t="str">
        <f>IF(Student­­Performance[[#This Row],[Math Score]]&gt;=50,"Pass","Fail")</f>
        <v>Pass</v>
      </c>
      <c r="R461" s="4" t="str">
        <f>IF(Student­­Performance[[#This Row],[Reading Score]]&gt;=50,"Pass","Fail")</f>
        <v>Pass</v>
      </c>
      <c r="S461" s="4" t="str">
        <f>IF(Student­­Performance[[#This Row],[Writing Score]]&gt;=50,"Pass","Fail")</f>
        <v>Pass</v>
      </c>
      <c r="T46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207</v>
      </c>
      <c r="U461" s="4" cm="1">
        <f t="array" ref="U461">IF(COUNT(F461:H461)=0,"", MAX(IF(ISNUMBER(F461:H461),F461:H461)) - MIN(IF(ISNUMBER(F461:H461),F461:H461)))</f>
        <v>23</v>
      </c>
      <c r="V461" s="4" t="str">
        <f>IF(U461="","",IF(U461&gt;25,"Outlier","Normal"))</f>
        <v>Normal</v>
      </c>
    </row>
    <row r="462" spans="1:22" x14ac:dyDescent="0.3">
      <c r="A462" s="1" t="s">
        <v>8</v>
      </c>
      <c r="B462" s="1" t="s">
        <v>13</v>
      </c>
      <c r="C462" s="1" t="s">
        <v>84</v>
      </c>
      <c r="D462" s="1" t="s">
        <v>20</v>
      </c>
      <c r="E462" s="1" t="s">
        <v>15</v>
      </c>
      <c r="F462" s="4">
        <v>63</v>
      </c>
      <c r="G462" s="4">
        <v>73</v>
      </c>
      <c r="H462" s="4">
        <v>71</v>
      </c>
      <c r="I462" s="4">
        <f>AVERAGE(Student­­Performance[[#This Row],[Math Score]],Student­­Performance[[#This Row],[Reading Score]],Student­­Performance[[#This Row],[Writing Score]])</f>
        <v>69</v>
      </c>
      <c r="J462" s="10" t="str">
        <f>IF(Student­­Performance[[#This Row],[Average Score]]&gt;=50,"Pass","Fail")</f>
        <v>Pass</v>
      </c>
      <c r="K46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46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46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462" s="4">
        <f>IF(ISNUMBER(Student­­Performance[[#This Row],[Math Score]]),Student­­Performance[[#This Row],[Math Score]],0)</f>
        <v>63</v>
      </c>
      <c r="O462" s="4">
        <f>IF(ISNUMBER(Student­­Performance[[#This Row],[Reading Score]]),Student­­Performance[[#This Row],[Reading Score]],0)</f>
        <v>73</v>
      </c>
      <c r="P462" s="4">
        <f>IF(ISNUMBER(Student­­Performance[[#This Row],[Writing Score]]),Student­­Performance[[#This Row],[Writing Score]],0)</f>
        <v>71</v>
      </c>
      <c r="Q462" s="4" t="str">
        <f>IF(Student­­Performance[[#This Row],[Math Score]]&gt;=50,"Pass","Fail")</f>
        <v>Pass</v>
      </c>
      <c r="R462" s="4" t="str">
        <f>IF(Student­­Performance[[#This Row],[Reading Score]]&gt;=50,"Pass","Fail")</f>
        <v>Pass</v>
      </c>
      <c r="S462" s="4" t="str">
        <f>IF(Student­­Performance[[#This Row],[Writing Score]]&gt;=50,"Pass","Fail")</f>
        <v>Pass</v>
      </c>
      <c r="T46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207</v>
      </c>
      <c r="U462" s="4" cm="1">
        <f t="array" ref="U462">IF(COUNT(F462:H462)=0,"", MAX(IF(ISNUMBER(F462:H462),F462:H462)) - MIN(IF(ISNUMBER(F462:H462),F462:H462)))</f>
        <v>10</v>
      </c>
      <c r="V462" s="4" t="str">
        <f>IF(U462="","",IF(U462&gt;25,"Outlier","Normal"))</f>
        <v>Normal</v>
      </c>
    </row>
    <row r="463" spans="1:22" x14ac:dyDescent="0.3">
      <c r="A463" s="1" t="s">
        <v>17</v>
      </c>
      <c r="B463" s="1" t="s">
        <v>21</v>
      </c>
      <c r="C463" s="1" t="s">
        <v>83</v>
      </c>
      <c r="D463" s="1" t="s">
        <v>20</v>
      </c>
      <c r="E463" s="1" t="s">
        <v>15</v>
      </c>
      <c r="F463" s="4">
        <v>61</v>
      </c>
      <c r="G463" s="4">
        <v>70</v>
      </c>
      <c r="H463" s="4">
        <v>76</v>
      </c>
      <c r="I463" s="4">
        <f>AVERAGE(Student­­Performance[[#This Row],[Math Score]],Student­­Performance[[#This Row],[Reading Score]],Student­­Performance[[#This Row],[Writing Score]])</f>
        <v>69</v>
      </c>
      <c r="J463" s="10" t="str">
        <f>IF(Student­­Performance[[#This Row],[Average Score]]&gt;=50,"Pass","Fail")</f>
        <v>Pass</v>
      </c>
      <c r="K46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46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46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15</v>
      </c>
      <c r="N463" s="4">
        <f>IF(ISNUMBER(Student­­Performance[[#This Row],[Math Score]]),Student­­Performance[[#This Row],[Math Score]],0)</f>
        <v>61</v>
      </c>
      <c r="O463" s="4">
        <f>IF(ISNUMBER(Student­­Performance[[#This Row],[Reading Score]]),Student­­Performance[[#This Row],[Reading Score]],0)</f>
        <v>70</v>
      </c>
      <c r="P463" s="4">
        <f>IF(ISNUMBER(Student­­Performance[[#This Row],[Writing Score]]),Student­­Performance[[#This Row],[Writing Score]],0)</f>
        <v>76</v>
      </c>
      <c r="Q463" s="4" t="str">
        <f>IF(Student­­Performance[[#This Row],[Math Score]]&gt;=50,"Pass","Fail")</f>
        <v>Pass</v>
      </c>
      <c r="R463" s="4" t="str">
        <f>IF(Student­­Performance[[#This Row],[Reading Score]]&gt;=50,"Pass","Fail")</f>
        <v>Pass</v>
      </c>
      <c r="S463" s="4" t="str">
        <f>IF(Student­­Performance[[#This Row],[Writing Score]]&gt;=50,"Pass","Fail")</f>
        <v>Pass</v>
      </c>
      <c r="T46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207</v>
      </c>
      <c r="U463" s="4" cm="1">
        <f t="array" ref="U463">IF(COUNT(F463:H463)=0,"", MAX(IF(ISNUMBER(F463:H463),F463:H463)) - MIN(IF(ISNUMBER(F463:H463),F463:H463)))</f>
        <v>15</v>
      </c>
      <c r="V463" s="4" t="str">
        <f>IF(U463="","",IF(U463&gt;25,"Outlier","Normal"))</f>
        <v>Normal</v>
      </c>
    </row>
    <row r="464" spans="1:22" x14ac:dyDescent="0.3">
      <c r="A464" s="1" t="s">
        <v>8</v>
      </c>
      <c r="B464" s="1" t="s">
        <v>21</v>
      </c>
      <c r="C464" s="1" t="s">
        <v>86</v>
      </c>
      <c r="D464" s="1" t="s">
        <v>20</v>
      </c>
      <c r="E464" s="1" t="s">
        <v>12</v>
      </c>
      <c r="F464" s="4">
        <v>55</v>
      </c>
      <c r="G464" s="4">
        <v>76</v>
      </c>
      <c r="H464" s="4">
        <v>76</v>
      </c>
      <c r="I464" s="4">
        <f>AVERAGE(Student­­Performance[[#This Row],[Math Score]],Student­­Performance[[#This Row],[Reading Score]],Student­­Performance[[#This Row],[Writing Score]])</f>
        <v>69</v>
      </c>
      <c r="J464" s="10" t="str">
        <f>IF(Student­­Performance[[#This Row],[Average Score]]&gt;=50,"Pass","Fail")</f>
        <v>Pass</v>
      </c>
      <c r="K46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21</v>
      </c>
      <c r="L46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46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21</v>
      </c>
      <c r="N464" s="4">
        <f>IF(ISNUMBER(Student­­Performance[[#This Row],[Math Score]]),Student­­Performance[[#This Row],[Math Score]],0)</f>
        <v>55</v>
      </c>
      <c r="O464" s="4">
        <f>IF(ISNUMBER(Student­­Performance[[#This Row],[Reading Score]]),Student­­Performance[[#This Row],[Reading Score]],0)</f>
        <v>76</v>
      </c>
      <c r="P464" s="4">
        <f>IF(ISNUMBER(Student­­Performance[[#This Row],[Writing Score]]),Student­­Performance[[#This Row],[Writing Score]],0)</f>
        <v>76</v>
      </c>
      <c r="Q464" s="4" t="str">
        <f>IF(Student­­Performance[[#This Row],[Math Score]]&gt;=50,"Pass","Fail")</f>
        <v>Pass</v>
      </c>
      <c r="R464" s="4" t="str">
        <f>IF(Student­­Performance[[#This Row],[Reading Score]]&gt;=50,"Pass","Fail")</f>
        <v>Pass</v>
      </c>
      <c r="S464" s="4" t="str">
        <f>IF(Student­­Performance[[#This Row],[Writing Score]]&gt;=50,"Pass","Fail")</f>
        <v>Pass</v>
      </c>
      <c r="T46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207</v>
      </c>
      <c r="U464" s="4" cm="1">
        <f t="array" ref="U464">IF(COUNT(F464:H464)=0,"", MAX(IF(ISNUMBER(F464:H464),F464:H464)) - MIN(IF(ISNUMBER(F464:H464),F464:H464)))</f>
        <v>21</v>
      </c>
      <c r="V464" s="4" t="str">
        <f>IF(U464="","",IF(U464&gt;25,"Outlier","Normal"))</f>
        <v>Normal</v>
      </c>
    </row>
    <row r="465" spans="1:22" x14ac:dyDescent="0.3">
      <c r="A465" s="1" t="s">
        <v>17</v>
      </c>
      <c r="B465" s="1" t="s">
        <v>21</v>
      </c>
      <c r="C465" s="1" t="s">
        <v>86</v>
      </c>
      <c r="D465" s="1" t="s">
        <v>11</v>
      </c>
      <c r="E465" s="1" t="s">
        <v>12</v>
      </c>
      <c r="F465" s="4">
        <v>75</v>
      </c>
      <c r="G465" s="4">
        <v>68</v>
      </c>
      <c r="H465" s="4">
        <v>64</v>
      </c>
      <c r="I465" s="4">
        <f>AVERAGE(Student­­Performance[[#This Row],[Math Score]],Student­­Performance[[#This Row],[Reading Score]],Student­­Performance[[#This Row],[Writing Score]])</f>
        <v>69</v>
      </c>
      <c r="J465" s="10" t="str">
        <f>IF(Student­­Performance[[#This Row],[Average Score]]&gt;=50,"Pass","Fail")</f>
        <v>Pass</v>
      </c>
      <c r="K46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-7</v>
      </c>
      <c r="L46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46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-11</v>
      </c>
      <c r="N465" s="4">
        <f>IF(ISNUMBER(Student­­Performance[[#This Row],[Math Score]]),Student­­Performance[[#This Row],[Math Score]],0)</f>
        <v>75</v>
      </c>
      <c r="O465" s="4">
        <f>IF(ISNUMBER(Student­­Performance[[#This Row],[Reading Score]]),Student­­Performance[[#This Row],[Reading Score]],0)</f>
        <v>68</v>
      </c>
      <c r="P465" s="4">
        <f>IF(ISNUMBER(Student­­Performance[[#This Row],[Writing Score]]),Student­­Performance[[#This Row],[Writing Score]],0)</f>
        <v>64</v>
      </c>
      <c r="Q465" s="4" t="str">
        <f>IF(Student­­Performance[[#This Row],[Math Score]]&gt;=50,"Pass","Fail")</f>
        <v>Pass</v>
      </c>
      <c r="R465" s="4" t="str">
        <f>IF(Student­­Performance[[#This Row],[Reading Score]]&gt;=50,"Pass","Fail")</f>
        <v>Pass</v>
      </c>
      <c r="S465" s="4" t="str">
        <f>IF(Student­­Performance[[#This Row],[Writing Score]]&gt;=50,"Pass","Fail")</f>
        <v>Pass</v>
      </c>
      <c r="T46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207</v>
      </c>
      <c r="U465" s="4" cm="1">
        <f t="array" ref="U465">IF(COUNT(F465:H465)=0,"", MAX(IF(ISNUMBER(F465:H465),F465:H465)) - MIN(IF(ISNUMBER(F465:H465),F465:H465)))</f>
        <v>11</v>
      </c>
      <c r="V465" s="4" t="str">
        <f>IF(U465="","",IF(U465&gt;25,"Outlier","Normal"))</f>
        <v>Normal</v>
      </c>
    </row>
    <row r="466" spans="1:22" x14ac:dyDescent="0.3">
      <c r="A466" s="1" t="s">
        <v>8</v>
      </c>
      <c r="B466" s="1" t="s">
        <v>13</v>
      </c>
      <c r="C466" s="1" t="s">
        <v>84</v>
      </c>
      <c r="D466" s="1" t="s">
        <v>11</v>
      </c>
      <c r="E466" s="1" t="s">
        <v>12</v>
      </c>
      <c r="F466" s="4">
        <v>60</v>
      </c>
      <c r="G466" s="4">
        <v>72</v>
      </c>
      <c r="H466" s="4">
        <v>74</v>
      </c>
      <c r="I466" s="4">
        <f>AVERAGE(Student­­Performance[[#This Row],[Math Score]],Student­­Performance[[#This Row],[Reading Score]],Student­­Performance[[#This Row],[Writing Score]])</f>
        <v>68.666666666666671</v>
      </c>
      <c r="J466" s="10" t="str">
        <f>IF(Student­­Performance[[#This Row],[Average Score]]&gt;=50,"Pass","Fail")</f>
        <v>Pass</v>
      </c>
      <c r="K46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46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46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14</v>
      </c>
      <c r="N466" s="4">
        <f>IF(ISNUMBER(Student­­Performance[[#This Row],[Math Score]]),Student­­Performance[[#This Row],[Math Score]],0)</f>
        <v>60</v>
      </c>
      <c r="O466" s="4">
        <f>IF(ISNUMBER(Student­­Performance[[#This Row],[Reading Score]]),Student­­Performance[[#This Row],[Reading Score]],0)</f>
        <v>72</v>
      </c>
      <c r="P466" s="4">
        <f>IF(ISNUMBER(Student­­Performance[[#This Row],[Writing Score]]),Student­­Performance[[#This Row],[Writing Score]],0)</f>
        <v>74</v>
      </c>
      <c r="Q466" s="4" t="str">
        <f>IF(Student­­Performance[[#This Row],[Math Score]]&gt;=50,"Pass","Fail")</f>
        <v>Pass</v>
      </c>
      <c r="R466" s="4" t="str">
        <f>IF(Student­­Performance[[#This Row],[Reading Score]]&gt;=50,"Pass","Fail")</f>
        <v>Pass</v>
      </c>
      <c r="S466" s="4" t="str">
        <f>IF(Student­­Performance[[#This Row],[Writing Score]]&gt;=50,"Pass","Fail")</f>
        <v>Pass</v>
      </c>
      <c r="T46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206</v>
      </c>
      <c r="U466" s="4" cm="1">
        <f t="array" ref="U466">IF(COUNT(F466:H466)=0,"", MAX(IF(ISNUMBER(F466:H466),F466:H466)) - MIN(IF(ISNUMBER(F466:H466),F466:H466)))</f>
        <v>14</v>
      </c>
      <c r="V466" s="4" t="str">
        <f>IF(U466="","",IF(U466&gt;25,"Outlier","Normal"))</f>
        <v>Normal</v>
      </c>
    </row>
    <row r="467" spans="1:22" x14ac:dyDescent="0.3">
      <c r="A467" s="1" t="s">
        <v>17</v>
      </c>
      <c r="B467" s="1" t="s">
        <v>26</v>
      </c>
      <c r="C467" s="1" t="s">
        <v>83</v>
      </c>
      <c r="D467" s="1" t="s">
        <v>11</v>
      </c>
      <c r="E467" s="1" t="s">
        <v>12</v>
      </c>
      <c r="F467" s="4">
        <v>82</v>
      </c>
      <c r="G467" s="4">
        <v>62</v>
      </c>
      <c r="H467" s="4">
        <v>62</v>
      </c>
      <c r="I467" s="4">
        <f>AVERAGE(Student­­Performance[[#This Row],[Math Score]],Student­­Performance[[#This Row],[Reading Score]],Student­­Performance[[#This Row],[Writing Score]])</f>
        <v>68.666666666666671</v>
      </c>
      <c r="J467" s="10" t="str">
        <f>IF(Student­­Performance[[#This Row],[Average Score]]&gt;=50,"Pass","Fail")</f>
        <v>Pass</v>
      </c>
      <c r="K46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-20</v>
      </c>
      <c r="L46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46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-20</v>
      </c>
      <c r="N467" s="4">
        <f>IF(ISNUMBER(Student­­Performance[[#This Row],[Math Score]]),Student­­Performance[[#This Row],[Math Score]],0)</f>
        <v>82</v>
      </c>
      <c r="O467" s="4">
        <f>IF(ISNUMBER(Student­­Performance[[#This Row],[Reading Score]]),Student­­Performance[[#This Row],[Reading Score]],0)</f>
        <v>62</v>
      </c>
      <c r="P467" s="4">
        <f>IF(ISNUMBER(Student­­Performance[[#This Row],[Writing Score]]),Student­­Performance[[#This Row],[Writing Score]],0)</f>
        <v>62</v>
      </c>
      <c r="Q467" s="4" t="str">
        <f>IF(Student­­Performance[[#This Row],[Math Score]]&gt;=50,"Pass","Fail")</f>
        <v>Pass</v>
      </c>
      <c r="R467" s="4" t="str">
        <f>IF(Student­­Performance[[#This Row],[Reading Score]]&gt;=50,"Pass","Fail")</f>
        <v>Pass</v>
      </c>
      <c r="S467" s="4" t="str">
        <f>IF(Student­­Performance[[#This Row],[Writing Score]]&gt;=50,"Pass","Fail")</f>
        <v>Pass</v>
      </c>
      <c r="T46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206</v>
      </c>
      <c r="U467" s="4" cm="1">
        <f t="array" ref="U467">IF(COUNT(F467:H467)=0,"", MAX(IF(ISNUMBER(F467:H467),F467:H467)) - MIN(IF(ISNUMBER(F467:H467),F467:H467)))</f>
        <v>20</v>
      </c>
      <c r="V467" s="4" t="str">
        <f>IF(U467="","",IF(U467&gt;25,"Outlier","Normal"))</f>
        <v>Normal</v>
      </c>
    </row>
    <row r="468" spans="1:22" x14ac:dyDescent="0.3">
      <c r="A468" s="1" t="s">
        <v>17</v>
      </c>
      <c r="B468" s="1" t="s">
        <v>21</v>
      </c>
      <c r="C468" s="1" t="s">
        <v>84</v>
      </c>
      <c r="D468" s="1" t="s">
        <v>11</v>
      </c>
      <c r="E468" s="1" t="s">
        <v>12</v>
      </c>
      <c r="F468" s="4">
        <v>76</v>
      </c>
      <c r="G468" s="4">
        <v>64</v>
      </c>
      <c r="H468" s="4">
        <v>66</v>
      </c>
      <c r="I468" s="4">
        <f>AVERAGE(Student­­Performance[[#This Row],[Math Score]],Student­­Performance[[#This Row],[Reading Score]],Student­­Performance[[#This Row],[Writing Score]])</f>
        <v>68.666666666666671</v>
      </c>
      <c r="J468" s="10" t="str">
        <f>IF(Student­­Performance[[#This Row],[Average Score]]&gt;=50,"Pass","Fail")</f>
        <v>Pass</v>
      </c>
      <c r="K46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-12</v>
      </c>
      <c r="L46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46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-10</v>
      </c>
      <c r="N468" s="4">
        <f>IF(ISNUMBER(Student­­Performance[[#This Row],[Math Score]]),Student­­Performance[[#This Row],[Math Score]],0)</f>
        <v>76</v>
      </c>
      <c r="O468" s="4">
        <f>IF(ISNUMBER(Student­­Performance[[#This Row],[Reading Score]]),Student­­Performance[[#This Row],[Reading Score]],0)</f>
        <v>64</v>
      </c>
      <c r="P468" s="4">
        <f>IF(ISNUMBER(Student­­Performance[[#This Row],[Writing Score]]),Student­­Performance[[#This Row],[Writing Score]],0)</f>
        <v>66</v>
      </c>
      <c r="Q468" s="4" t="str">
        <f>IF(Student­­Performance[[#This Row],[Math Score]]&gt;=50,"Pass","Fail")</f>
        <v>Pass</v>
      </c>
      <c r="R468" s="4" t="str">
        <f>IF(Student­­Performance[[#This Row],[Reading Score]]&gt;=50,"Pass","Fail")</f>
        <v>Pass</v>
      </c>
      <c r="S468" s="4" t="str">
        <f>IF(Student­­Performance[[#This Row],[Writing Score]]&gt;=50,"Pass","Fail")</f>
        <v>Pass</v>
      </c>
      <c r="T46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206</v>
      </c>
      <c r="U468" s="4" cm="1">
        <f t="array" ref="U468">IF(COUNT(F468:H468)=0,"", MAX(IF(ISNUMBER(F468:H468),F468:H468)) - MIN(IF(ISNUMBER(F468:H468),F468:H468)))</f>
        <v>12</v>
      </c>
      <c r="V468" s="4" t="str">
        <f>IF(U468="","",IF(U468&gt;25,"Outlier","Normal"))</f>
        <v>Normal</v>
      </c>
    </row>
    <row r="469" spans="1:22" x14ac:dyDescent="0.3">
      <c r="A469" s="1" t="s">
        <v>17</v>
      </c>
      <c r="B469" s="1" t="s">
        <v>21</v>
      </c>
      <c r="C469" s="1" t="s">
        <v>86</v>
      </c>
      <c r="D469" s="1" t="s">
        <v>11</v>
      </c>
      <c r="E469" s="1" t="s">
        <v>15</v>
      </c>
      <c r="F469" s="4">
        <v>67</v>
      </c>
      <c r="G469" s="4">
        <v>72</v>
      </c>
      <c r="H469" s="4">
        <v>67</v>
      </c>
      <c r="I469" s="4">
        <f>AVERAGE(Student­­Performance[[#This Row],[Math Score]],Student­­Performance[[#This Row],[Reading Score]],Student­­Performance[[#This Row],[Writing Score]])</f>
        <v>68.666666666666671</v>
      </c>
      <c r="J469" s="10" t="str">
        <f>IF(Student­­Performance[[#This Row],[Average Score]]&gt;=50,"Pass","Fail")</f>
        <v>Pass</v>
      </c>
      <c r="K46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46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46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469" s="4">
        <f>IF(ISNUMBER(Student­­Performance[[#This Row],[Math Score]]),Student­­Performance[[#This Row],[Math Score]],0)</f>
        <v>67</v>
      </c>
      <c r="O469" s="4">
        <f>IF(ISNUMBER(Student­­Performance[[#This Row],[Reading Score]]),Student­­Performance[[#This Row],[Reading Score]],0)</f>
        <v>72</v>
      </c>
      <c r="P469" s="4">
        <f>IF(ISNUMBER(Student­­Performance[[#This Row],[Writing Score]]),Student­­Performance[[#This Row],[Writing Score]],0)</f>
        <v>67</v>
      </c>
      <c r="Q469" s="4" t="str">
        <f>IF(Student­­Performance[[#This Row],[Math Score]]&gt;=50,"Pass","Fail")</f>
        <v>Pass</v>
      </c>
      <c r="R469" s="4" t="str">
        <f>IF(Student­­Performance[[#This Row],[Reading Score]]&gt;=50,"Pass","Fail")</f>
        <v>Pass</v>
      </c>
      <c r="S469" s="4" t="str">
        <f>IF(Student­­Performance[[#This Row],[Writing Score]]&gt;=50,"Pass","Fail")</f>
        <v>Pass</v>
      </c>
      <c r="T46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206</v>
      </c>
      <c r="U469" s="4" cm="1">
        <f t="array" ref="U469">IF(COUNT(F469:H469)=0,"", MAX(IF(ISNUMBER(F469:H469),F469:H469)) - MIN(IF(ISNUMBER(F469:H469),F469:H469)))</f>
        <v>5</v>
      </c>
      <c r="V469" s="4" t="str">
        <f>IF(U469="","",IF(U469&gt;25,"Outlier","Normal"))</f>
        <v>Normal</v>
      </c>
    </row>
    <row r="470" spans="1:22" x14ac:dyDescent="0.3">
      <c r="A470" s="1" t="s">
        <v>8</v>
      </c>
      <c r="B470" s="1" t="s">
        <v>13</v>
      </c>
      <c r="C470" s="1" t="s">
        <v>87</v>
      </c>
      <c r="D470" s="1" t="s">
        <v>11</v>
      </c>
      <c r="E470" s="1" t="s">
        <v>12</v>
      </c>
      <c r="F470" s="4">
        <v>63</v>
      </c>
      <c r="G470" s="4">
        <v>69</v>
      </c>
      <c r="H470" s="4">
        <v>74</v>
      </c>
      <c r="I470" s="4">
        <f>AVERAGE(Student­­Performance[[#This Row],[Math Score]],Student­­Performance[[#This Row],[Reading Score]],Student­­Performance[[#This Row],[Writing Score]])</f>
        <v>68.666666666666671</v>
      </c>
      <c r="J470" s="10" t="str">
        <f>IF(Student­­Performance[[#This Row],[Average Score]]&gt;=50,"Pass","Fail")</f>
        <v>Pass</v>
      </c>
      <c r="K47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47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47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470" s="4">
        <f>IF(ISNUMBER(Student­­Performance[[#This Row],[Math Score]]),Student­­Performance[[#This Row],[Math Score]],0)</f>
        <v>63</v>
      </c>
      <c r="O470" s="4">
        <f>IF(ISNUMBER(Student­­Performance[[#This Row],[Reading Score]]),Student­­Performance[[#This Row],[Reading Score]],0)</f>
        <v>69</v>
      </c>
      <c r="P470" s="4">
        <f>IF(ISNUMBER(Student­­Performance[[#This Row],[Writing Score]]),Student­­Performance[[#This Row],[Writing Score]],0)</f>
        <v>74</v>
      </c>
      <c r="Q470" s="4" t="str">
        <f>IF(Student­­Performance[[#This Row],[Math Score]]&gt;=50,"Pass","Fail")</f>
        <v>Pass</v>
      </c>
      <c r="R470" s="4" t="str">
        <f>IF(Student­­Performance[[#This Row],[Reading Score]]&gt;=50,"Pass","Fail")</f>
        <v>Pass</v>
      </c>
      <c r="S470" s="4" t="str">
        <f>IF(Student­­Performance[[#This Row],[Writing Score]]&gt;=50,"Pass","Fail")</f>
        <v>Pass</v>
      </c>
      <c r="T47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206</v>
      </c>
      <c r="U470" s="4" cm="1">
        <f t="array" ref="U470">IF(COUNT(F470:H470)=0,"", MAX(IF(ISNUMBER(F470:H470),F470:H470)) - MIN(IF(ISNUMBER(F470:H470),F470:H470)))</f>
        <v>11</v>
      </c>
      <c r="V470" s="4" t="str">
        <f>IF(U470="","",IF(U470&gt;25,"Outlier","Normal"))</f>
        <v>Normal</v>
      </c>
    </row>
    <row r="471" spans="1:22" x14ac:dyDescent="0.3">
      <c r="A471" s="1" t="s">
        <v>8</v>
      </c>
      <c r="B471" s="1" t="s">
        <v>13</v>
      </c>
      <c r="C471" s="1" t="s">
        <v>86</v>
      </c>
      <c r="D471" s="1" t="s">
        <v>11</v>
      </c>
      <c r="E471" s="1" t="s">
        <v>12</v>
      </c>
      <c r="F471" s="4">
        <v>62</v>
      </c>
      <c r="G471" s="4">
        <v>74</v>
      </c>
      <c r="H471" s="4">
        <v>70</v>
      </c>
      <c r="I471" s="4">
        <f>AVERAGE(Student­­Performance[[#This Row],[Math Score]],Student­­Performance[[#This Row],[Reading Score]],Student­­Performance[[#This Row],[Writing Score]])</f>
        <v>68.666666666666671</v>
      </c>
      <c r="J471" s="10" t="str">
        <f>IF(Student­­Performance[[#This Row],[Average Score]]&gt;=50,"Pass","Fail")</f>
        <v>Pass</v>
      </c>
      <c r="K47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47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47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471" s="4">
        <f>IF(ISNUMBER(Student­­Performance[[#This Row],[Math Score]]),Student­­Performance[[#This Row],[Math Score]],0)</f>
        <v>62</v>
      </c>
      <c r="O471" s="4">
        <f>IF(ISNUMBER(Student­­Performance[[#This Row],[Reading Score]]),Student­­Performance[[#This Row],[Reading Score]],0)</f>
        <v>74</v>
      </c>
      <c r="P471" s="4">
        <f>IF(ISNUMBER(Student­­Performance[[#This Row],[Writing Score]]),Student­­Performance[[#This Row],[Writing Score]],0)</f>
        <v>70</v>
      </c>
      <c r="Q471" s="4" t="str">
        <f>IF(Student­­Performance[[#This Row],[Math Score]]&gt;=50,"Pass","Fail")</f>
        <v>Pass</v>
      </c>
      <c r="R471" s="4" t="str">
        <f>IF(Student­­Performance[[#This Row],[Reading Score]]&gt;=50,"Pass","Fail")</f>
        <v>Pass</v>
      </c>
      <c r="S471" s="4" t="str">
        <f>IF(Student­­Performance[[#This Row],[Writing Score]]&gt;=50,"Pass","Fail")</f>
        <v>Pass</v>
      </c>
      <c r="T47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206</v>
      </c>
      <c r="U471" s="4" cm="1">
        <f t="array" ref="U471">IF(COUNT(F471:H471)=0,"", MAX(IF(ISNUMBER(F471:H471),F471:H471)) - MIN(IF(ISNUMBER(F471:H471),F471:H471)))</f>
        <v>12</v>
      </c>
      <c r="V471" s="4" t="str">
        <f>IF(U471="","",IF(U471&gt;25,"Outlier","Normal"))</f>
        <v>Normal</v>
      </c>
    </row>
    <row r="472" spans="1:22" x14ac:dyDescent="0.3">
      <c r="A472" s="1" t="s">
        <v>8</v>
      </c>
      <c r="B472" s="1" t="s">
        <v>13</v>
      </c>
      <c r="C472" s="1" t="s">
        <v>86</v>
      </c>
      <c r="D472" s="1" t="s">
        <v>11</v>
      </c>
      <c r="E472" s="1" t="s">
        <v>15</v>
      </c>
      <c r="F472" s="4">
        <v>55</v>
      </c>
      <c r="G472" s="4">
        <v>72</v>
      </c>
      <c r="H472" s="4">
        <v>79</v>
      </c>
      <c r="I472" s="4">
        <f>AVERAGE(Student­­Performance[[#This Row],[Math Score]],Student­­Performance[[#This Row],[Reading Score]],Student­­Performance[[#This Row],[Writing Score]])</f>
        <v>68.666666666666671</v>
      </c>
      <c r="J472" s="10" t="str">
        <f>IF(Student­­Performance[[#This Row],[Average Score]]&gt;=50,"Pass","Fail")</f>
        <v>Pass</v>
      </c>
      <c r="K47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17</v>
      </c>
      <c r="L47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7</v>
      </c>
      <c r="M47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24</v>
      </c>
      <c r="N472" s="4">
        <f>IF(ISNUMBER(Student­­Performance[[#This Row],[Math Score]]),Student­­Performance[[#This Row],[Math Score]],0)</f>
        <v>55</v>
      </c>
      <c r="O472" s="4">
        <f>IF(ISNUMBER(Student­­Performance[[#This Row],[Reading Score]]),Student­­Performance[[#This Row],[Reading Score]],0)</f>
        <v>72</v>
      </c>
      <c r="P472" s="4">
        <f>IF(ISNUMBER(Student­­Performance[[#This Row],[Writing Score]]),Student­­Performance[[#This Row],[Writing Score]],0)</f>
        <v>79</v>
      </c>
      <c r="Q472" s="4" t="str">
        <f>IF(Student­­Performance[[#This Row],[Math Score]]&gt;=50,"Pass","Fail")</f>
        <v>Pass</v>
      </c>
      <c r="R472" s="4" t="str">
        <f>IF(Student­­Performance[[#This Row],[Reading Score]]&gt;=50,"Pass","Fail")</f>
        <v>Pass</v>
      </c>
      <c r="S472" s="4" t="str">
        <f>IF(Student­­Performance[[#This Row],[Writing Score]]&gt;=50,"Pass","Fail")</f>
        <v>Pass</v>
      </c>
      <c r="T47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206</v>
      </c>
      <c r="U472" s="4" cm="1">
        <f t="array" ref="U472">IF(COUNT(F472:H472)=0,"", MAX(IF(ISNUMBER(F472:H472),F472:H472)) - MIN(IF(ISNUMBER(F472:H472),F472:H472)))</f>
        <v>24</v>
      </c>
      <c r="V472" s="4" t="str">
        <f>IF(U472="","",IF(U472&gt;25,"Outlier","Normal"))</f>
        <v>Normal</v>
      </c>
    </row>
    <row r="473" spans="1:22" x14ac:dyDescent="0.3">
      <c r="A473" s="1" t="s">
        <v>17</v>
      </c>
      <c r="B473" s="1" t="s">
        <v>13</v>
      </c>
      <c r="C473" s="1" t="s">
        <v>86</v>
      </c>
      <c r="D473" s="1" t="s">
        <v>20</v>
      </c>
      <c r="E473" s="1" t="s">
        <v>15</v>
      </c>
      <c r="F473" s="4">
        <v>65</v>
      </c>
      <c r="G473" s="4">
        <v>73</v>
      </c>
      <c r="H473" s="4">
        <v>68</v>
      </c>
      <c r="I473" s="4">
        <f>AVERAGE(Student­­Performance[[#This Row],[Math Score]],Student­­Performance[[#This Row],[Reading Score]],Student­­Performance[[#This Row],[Writing Score]])</f>
        <v>68.666666666666671</v>
      </c>
      <c r="J473" s="10" t="str">
        <f>IF(Student­­Performance[[#This Row],[Average Score]]&gt;=50,"Pass","Fail")</f>
        <v>Pass</v>
      </c>
      <c r="K47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47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47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473" s="4">
        <f>IF(ISNUMBER(Student­­Performance[[#This Row],[Math Score]]),Student­­Performance[[#This Row],[Math Score]],0)</f>
        <v>65</v>
      </c>
      <c r="O473" s="4">
        <f>IF(ISNUMBER(Student­­Performance[[#This Row],[Reading Score]]),Student­­Performance[[#This Row],[Reading Score]],0)</f>
        <v>73</v>
      </c>
      <c r="P473" s="4">
        <f>IF(ISNUMBER(Student­­Performance[[#This Row],[Writing Score]]),Student­­Performance[[#This Row],[Writing Score]],0)</f>
        <v>68</v>
      </c>
      <c r="Q473" s="4" t="str">
        <f>IF(Student­­Performance[[#This Row],[Math Score]]&gt;=50,"Pass","Fail")</f>
        <v>Pass</v>
      </c>
      <c r="R473" s="4" t="str">
        <f>IF(Student­­Performance[[#This Row],[Reading Score]]&gt;=50,"Pass","Fail")</f>
        <v>Pass</v>
      </c>
      <c r="S473" s="4" t="str">
        <f>IF(Student­­Performance[[#This Row],[Writing Score]]&gt;=50,"Pass","Fail")</f>
        <v>Pass</v>
      </c>
      <c r="T47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206</v>
      </c>
      <c r="U473" s="4" cm="1">
        <f t="array" ref="U473">IF(COUNT(F473:H473)=0,"", MAX(IF(ISNUMBER(F473:H473),F473:H473)) - MIN(IF(ISNUMBER(F473:H473),F473:H473)))</f>
        <v>8</v>
      </c>
      <c r="V473" s="4" t="str">
        <f>IF(U473="","",IF(U473&gt;25,"Outlier","Normal"))</f>
        <v>Normal</v>
      </c>
    </row>
    <row r="474" spans="1:22" x14ac:dyDescent="0.3">
      <c r="A474" s="1" t="s">
        <v>17</v>
      </c>
      <c r="B474" s="1" t="s">
        <v>21</v>
      </c>
      <c r="C474" s="1" t="s">
        <v>86</v>
      </c>
      <c r="D474" s="1" t="s">
        <v>11</v>
      </c>
      <c r="E474" s="1" t="s">
        <v>12</v>
      </c>
      <c r="F474" s="4">
        <v>80</v>
      </c>
      <c r="G474" s="4">
        <v>63</v>
      </c>
      <c r="H474" s="4">
        <v>63</v>
      </c>
      <c r="I474" s="4">
        <f>AVERAGE(Student­­Performance[[#This Row],[Math Score]],Student­­Performance[[#This Row],[Reading Score]],Student­­Performance[[#This Row],[Writing Score]])</f>
        <v>68.666666666666671</v>
      </c>
      <c r="J474" s="10" t="str">
        <f>IF(Student­­Performance[[#This Row],[Average Score]]&gt;=50,"Pass","Fail")</f>
        <v>Pass</v>
      </c>
      <c r="K47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-17</v>
      </c>
      <c r="L47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47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-17</v>
      </c>
      <c r="N474" s="4">
        <f>IF(ISNUMBER(Student­­Performance[[#This Row],[Math Score]]),Student­­Performance[[#This Row],[Math Score]],0)</f>
        <v>80</v>
      </c>
      <c r="O474" s="4">
        <f>IF(ISNUMBER(Student­­Performance[[#This Row],[Reading Score]]),Student­­Performance[[#This Row],[Reading Score]],0)</f>
        <v>63</v>
      </c>
      <c r="P474" s="4">
        <f>IF(ISNUMBER(Student­­Performance[[#This Row],[Writing Score]]),Student­­Performance[[#This Row],[Writing Score]],0)</f>
        <v>63</v>
      </c>
      <c r="Q474" s="4" t="str">
        <f>IF(Student­­Performance[[#This Row],[Math Score]]&gt;=50,"Pass","Fail")</f>
        <v>Pass</v>
      </c>
      <c r="R474" s="4" t="str">
        <f>IF(Student­­Performance[[#This Row],[Reading Score]]&gt;=50,"Pass","Fail")</f>
        <v>Pass</v>
      </c>
      <c r="S474" s="4" t="str">
        <f>IF(Student­­Performance[[#This Row],[Writing Score]]&gt;=50,"Pass","Fail")</f>
        <v>Pass</v>
      </c>
      <c r="T47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206</v>
      </c>
      <c r="U474" s="4" cm="1">
        <f t="array" ref="U474">IF(COUNT(F474:H474)=0,"", MAX(IF(ISNUMBER(F474:H474),F474:H474)) - MIN(IF(ISNUMBER(F474:H474),F474:H474)))</f>
        <v>17</v>
      </c>
      <c r="V474" s="4" t="str">
        <f>IF(U474="","",IF(U474&gt;25,"Outlier","Normal"))</f>
        <v>Normal</v>
      </c>
    </row>
    <row r="475" spans="1:22" x14ac:dyDescent="0.3">
      <c r="A475" s="1" t="s">
        <v>17</v>
      </c>
      <c r="B475" s="1" t="s">
        <v>21</v>
      </c>
      <c r="C475" s="1" t="s">
        <v>87</v>
      </c>
      <c r="D475" s="1" t="s">
        <v>20</v>
      </c>
      <c r="E475" s="1" t="s">
        <v>12</v>
      </c>
      <c r="F475" s="4">
        <v>69</v>
      </c>
      <c r="G475" s="4">
        <v>70</v>
      </c>
      <c r="H475" s="4">
        <v>67</v>
      </c>
      <c r="I475" s="4">
        <f>AVERAGE(Student­­Performance[[#This Row],[Math Score]],Student­­Performance[[#This Row],[Reading Score]],Student­­Performance[[#This Row],[Writing Score]])</f>
        <v>68.666666666666671</v>
      </c>
      <c r="J475" s="10" t="str">
        <f>IF(Student­­Performance[[#This Row],[Average Score]]&gt;=50,"Pass","Fail")</f>
        <v>Pass</v>
      </c>
      <c r="K47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47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47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475" s="4">
        <f>IF(ISNUMBER(Student­­Performance[[#This Row],[Math Score]]),Student­­Performance[[#This Row],[Math Score]],0)</f>
        <v>69</v>
      </c>
      <c r="O475" s="4">
        <f>IF(ISNUMBER(Student­­Performance[[#This Row],[Reading Score]]),Student­­Performance[[#This Row],[Reading Score]],0)</f>
        <v>70</v>
      </c>
      <c r="P475" s="4">
        <f>IF(ISNUMBER(Student­­Performance[[#This Row],[Writing Score]]),Student­­Performance[[#This Row],[Writing Score]],0)</f>
        <v>67</v>
      </c>
      <c r="Q475" s="4" t="str">
        <f>IF(Student­­Performance[[#This Row],[Math Score]]&gt;=50,"Pass","Fail")</f>
        <v>Pass</v>
      </c>
      <c r="R475" s="4" t="str">
        <f>IF(Student­­Performance[[#This Row],[Reading Score]]&gt;=50,"Pass","Fail")</f>
        <v>Pass</v>
      </c>
      <c r="S475" s="4" t="str">
        <f>IF(Student­­Performance[[#This Row],[Writing Score]]&gt;=50,"Pass","Fail")</f>
        <v>Pass</v>
      </c>
      <c r="T47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206</v>
      </c>
      <c r="U475" s="4" cm="1">
        <f t="array" ref="U475">IF(COUNT(F475:H475)=0,"", MAX(IF(ISNUMBER(F475:H475),F475:H475)) - MIN(IF(ISNUMBER(F475:H475),F475:H475)))</f>
        <v>3</v>
      </c>
      <c r="V475" s="4" t="str">
        <f>IF(U475="","",IF(U475&gt;25,"Outlier","Normal"))</f>
        <v>Normal</v>
      </c>
    </row>
    <row r="476" spans="1:22" x14ac:dyDescent="0.3">
      <c r="A476" s="1" t="s">
        <v>17</v>
      </c>
      <c r="B476" s="1" t="s">
        <v>13</v>
      </c>
      <c r="C476" s="1" t="s">
        <v>87</v>
      </c>
      <c r="D476" s="1" t="s">
        <v>11</v>
      </c>
      <c r="E476" s="1" t="s">
        <v>12</v>
      </c>
      <c r="F476" s="4">
        <v>70</v>
      </c>
      <c r="G476" s="4">
        <v>70</v>
      </c>
      <c r="H476" s="4">
        <v>65</v>
      </c>
      <c r="I476" s="4">
        <f>AVERAGE(Student­­Performance[[#This Row],[Math Score]],Student­­Performance[[#This Row],[Reading Score]],Student­­Performance[[#This Row],[Writing Score]])</f>
        <v>68.333333333333329</v>
      </c>
      <c r="J476" s="10" t="str">
        <f>IF(Student­­Performance[[#This Row],[Average Score]]&gt;=50,"Pass","Fail")</f>
        <v>Pass</v>
      </c>
      <c r="K47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47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47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-5</v>
      </c>
      <c r="N476" s="4">
        <f>IF(ISNUMBER(Student­­Performance[[#This Row],[Math Score]]),Student­­Performance[[#This Row],[Math Score]],0)</f>
        <v>70</v>
      </c>
      <c r="O476" s="4">
        <f>IF(ISNUMBER(Student­­Performance[[#This Row],[Reading Score]]),Student­­Performance[[#This Row],[Reading Score]],0)</f>
        <v>70</v>
      </c>
      <c r="P476" s="4">
        <f>IF(ISNUMBER(Student­­Performance[[#This Row],[Writing Score]]),Student­­Performance[[#This Row],[Writing Score]],0)</f>
        <v>65</v>
      </c>
      <c r="Q476" s="4" t="str">
        <f>IF(Student­­Performance[[#This Row],[Math Score]]&gt;=50,"Pass","Fail")</f>
        <v>Pass</v>
      </c>
      <c r="R476" s="4" t="str">
        <f>IF(Student­­Performance[[#This Row],[Reading Score]]&gt;=50,"Pass","Fail")</f>
        <v>Pass</v>
      </c>
      <c r="S476" s="4" t="str">
        <f>IF(Student­­Performance[[#This Row],[Writing Score]]&gt;=50,"Pass","Fail")</f>
        <v>Pass</v>
      </c>
      <c r="T47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205</v>
      </c>
      <c r="U476" s="4" cm="1">
        <f t="array" ref="U476">IF(COUNT(F476:H476)=0,"", MAX(IF(ISNUMBER(F476:H476),F476:H476)) - MIN(IF(ISNUMBER(F476:H476),F476:H476)))</f>
        <v>5</v>
      </c>
      <c r="V476" s="4" t="str">
        <f>IF(U476="","",IF(U476&gt;25,"Outlier","Normal"))</f>
        <v>Normal</v>
      </c>
    </row>
    <row r="477" spans="1:22" x14ac:dyDescent="0.3">
      <c r="A477" s="1" t="s">
        <v>8</v>
      </c>
      <c r="B477" s="1" t="s">
        <v>26</v>
      </c>
      <c r="C477" s="1" t="s">
        <v>84</v>
      </c>
      <c r="D477" s="1" t="s">
        <v>11</v>
      </c>
      <c r="E477" s="1" t="s">
        <v>15</v>
      </c>
      <c r="F477" s="4">
        <v>63</v>
      </c>
      <c r="G477" s="4">
        <v>72</v>
      </c>
      <c r="H477" s="4">
        <v>70</v>
      </c>
      <c r="I477" s="4">
        <f>AVERAGE(Student­­Performance[[#This Row],[Math Score]],Student­­Performance[[#This Row],[Reading Score]],Student­­Performance[[#This Row],[Writing Score]])</f>
        <v>68.333333333333329</v>
      </c>
      <c r="J477" s="10" t="str">
        <f>IF(Student­­Performance[[#This Row],[Average Score]]&gt;=50,"Pass","Fail")</f>
        <v>Pass</v>
      </c>
      <c r="K47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47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47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477" s="4">
        <f>IF(ISNUMBER(Student­­Performance[[#This Row],[Math Score]]),Student­­Performance[[#This Row],[Math Score]],0)</f>
        <v>63</v>
      </c>
      <c r="O477" s="4">
        <f>IF(ISNUMBER(Student­­Performance[[#This Row],[Reading Score]]),Student­­Performance[[#This Row],[Reading Score]],0)</f>
        <v>72</v>
      </c>
      <c r="P477" s="4">
        <f>IF(ISNUMBER(Student­­Performance[[#This Row],[Writing Score]]),Student­­Performance[[#This Row],[Writing Score]],0)</f>
        <v>70</v>
      </c>
      <c r="Q477" s="4" t="str">
        <f>IF(Student­­Performance[[#This Row],[Math Score]]&gt;=50,"Pass","Fail")</f>
        <v>Pass</v>
      </c>
      <c r="R477" s="4" t="str">
        <f>IF(Student­­Performance[[#This Row],[Reading Score]]&gt;=50,"Pass","Fail")</f>
        <v>Pass</v>
      </c>
      <c r="S477" s="4" t="str">
        <f>IF(Student­­Performance[[#This Row],[Writing Score]]&gt;=50,"Pass","Fail")</f>
        <v>Pass</v>
      </c>
      <c r="T47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205</v>
      </c>
      <c r="U477" s="4" cm="1">
        <f t="array" ref="U477">IF(COUNT(F477:H477)=0,"", MAX(IF(ISNUMBER(F477:H477),F477:H477)) - MIN(IF(ISNUMBER(F477:H477),F477:H477)))</f>
        <v>9</v>
      </c>
      <c r="V477" s="4" t="str">
        <f>IF(U477="","",IF(U477&gt;25,"Outlier","Normal"))</f>
        <v>Normal</v>
      </c>
    </row>
    <row r="478" spans="1:22" x14ac:dyDescent="0.3">
      <c r="A478" s="1" t="s">
        <v>17</v>
      </c>
      <c r="B478" s="1" t="s">
        <v>13</v>
      </c>
      <c r="C478" s="1" t="s">
        <v>85</v>
      </c>
      <c r="D478" s="1" t="s">
        <v>20</v>
      </c>
      <c r="E478" s="1" t="s">
        <v>15</v>
      </c>
      <c r="F478" s="4">
        <v>62</v>
      </c>
      <c r="G478" s="4">
        <v>68</v>
      </c>
      <c r="H478" s="4">
        <v>75</v>
      </c>
      <c r="I478" s="4">
        <f>AVERAGE(Student­­Performance[[#This Row],[Math Score]],Student­­Performance[[#This Row],[Reading Score]],Student­­Performance[[#This Row],[Writing Score]])</f>
        <v>68.333333333333329</v>
      </c>
      <c r="J478" s="10" t="str">
        <f>IF(Student­­Performance[[#This Row],[Average Score]]&gt;=50,"Pass","Fail")</f>
        <v>Pass</v>
      </c>
      <c r="K47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47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7</v>
      </c>
      <c r="M47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13</v>
      </c>
      <c r="N478" s="4">
        <f>IF(ISNUMBER(Student­­Performance[[#This Row],[Math Score]]),Student­­Performance[[#This Row],[Math Score]],0)</f>
        <v>62</v>
      </c>
      <c r="O478" s="4">
        <f>IF(ISNUMBER(Student­­Performance[[#This Row],[Reading Score]]),Student­­Performance[[#This Row],[Reading Score]],0)</f>
        <v>68</v>
      </c>
      <c r="P478" s="4">
        <f>IF(ISNUMBER(Student­­Performance[[#This Row],[Writing Score]]),Student­­Performance[[#This Row],[Writing Score]],0)</f>
        <v>75</v>
      </c>
      <c r="Q478" s="4" t="str">
        <f>IF(Student­­Performance[[#This Row],[Math Score]]&gt;=50,"Pass","Fail")</f>
        <v>Pass</v>
      </c>
      <c r="R478" s="4" t="str">
        <f>IF(Student­­Performance[[#This Row],[Reading Score]]&gt;=50,"Pass","Fail")</f>
        <v>Pass</v>
      </c>
      <c r="S478" s="4" t="str">
        <f>IF(Student­­Performance[[#This Row],[Writing Score]]&gt;=50,"Pass","Fail")</f>
        <v>Pass</v>
      </c>
      <c r="T47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205</v>
      </c>
      <c r="U478" s="4" cm="1">
        <f t="array" ref="U478">IF(COUNT(F478:H478)=0,"", MAX(IF(ISNUMBER(F478:H478),F478:H478)) - MIN(IF(ISNUMBER(F478:H478),F478:H478)))</f>
        <v>13</v>
      </c>
      <c r="V478" s="4" t="str">
        <f>IF(U478="","",IF(U478&gt;25,"Outlier","Normal"))</f>
        <v>Normal</v>
      </c>
    </row>
    <row r="479" spans="1:22" x14ac:dyDescent="0.3">
      <c r="A479" s="1" t="s">
        <v>8</v>
      </c>
      <c r="B479" s="1" t="s">
        <v>26</v>
      </c>
      <c r="C479" s="1" t="s">
        <v>84</v>
      </c>
      <c r="D479" s="1" t="s">
        <v>11</v>
      </c>
      <c r="E479" s="1" t="s">
        <v>12</v>
      </c>
      <c r="F479" s="4">
        <v>62</v>
      </c>
      <c r="G479" s="4">
        <v>73</v>
      </c>
      <c r="H479" s="4">
        <v>70</v>
      </c>
      <c r="I479" s="4">
        <f>AVERAGE(Student­­Performance[[#This Row],[Math Score]],Student­­Performance[[#This Row],[Reading Score]],Student­­Performance[[#This Row],[Writing Score]])</f>
        <v>68.333333333333329</v>
      </c>
      <c r="J479" s="10" t="str">
        <f>IF(Student­­Performance[[#This Row],[Average Score]]&gt;=50,"Pass","Fail")</f>
        <v>Pass</v>
      </c>
      <c r="K47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47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47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479" s="4">
        <f>IF(ISNUMBER(Student­­Performance[[#This Row],[Math Score]]),Student­­Performance[[#This Row],[Math Score]],0)</f>
        <v>62</v>
      </c>
      <c r="O479" s="4">
        <f>IF(ISNUMBER(Student­­Performance[[#This Row],[Reading Score]]),Student­­Performance[[#This Row],[Reading Score]],0)</f>
        <v>73</v>
      </c>
      <c r="P479" s="4">
        <f>IF(ISNUMBER(Student­­Performance[[#This Row],[Writing Score]]),Student­­Performance[[#This Row],[Writing Score]],0)</f>
        <v>70</v>
      </c>
      <c r="Q479" s="4" t="str">
        <f>IF(Student­­Performance[[#This Row],[Math Score]]&gt;=50,"Pass","Fail")</f>
        <v>Pass</v>
      </c>
      <c r="R479" s="4" t="str">
        <f>IF(Student­­Performance[[#This Row],[Reading Score]]&gt;=50,"Pass","Fail")</f>
        <v>Pass</v>
      </c>
      <c r="S479" s="4" t="str">
        <f>IF(Student­­Performance[[#This Row],[Writing Score]]&gt;=50,"Pass","Fail")</f>
        <v>Pass</v>
      </c>
      <c r="T47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205</v>
      </c>
      <c r="U479" s="4" cm="1">
        <f t="array" ref="U479">IF(COUNT(F479:H479)=0,"", MAX(IF(ISNUMBER(F479:H479),F479:H479)) - MIN(IF(ISNUMBER(F479:H479),F479:H479)))</f>
        <v>11</v>
      </c>
      <c r="V479" s="4" t="str">
        <f>IF(U479="","",IF(U479&gt;25,"Outlier","Normal"))</f>
        <v>Normal</v>
      </c>
    </row>
    <row r="480" spans="1:22" x14ac:dyDescent="0.3">
      <c r="A480" s="1" t="s">
        <v>8</v>
      </c>
      <c r="B480" s="1" t="s">
        <v>13</v>
      </c>
      <c r="C480" s="1" t="s">
        <v>86</v>
      </c>
      <c r="D480" s="1" t="s">
        <v>20</v>
      </c>
      <c r="E480" s="1" t="s">
        <v>12</v>
      </c>
      <c r="F480" s="4">
        <v>64</v>
      </c>
      <c r="G480" s="4">
        <v>73</v>
      </c>
      <c r="H480" s="4">
        <v>68</v>
      </c>
      <c r="I480" s="4">
        <f>AVERAGE(Student­­Performance[[#This Row],[Math Score]],Student­­Performance[[#This Row],[Reading Score]],Student­­Performance[[#This Row],[Writing Score]])</f>
        <v>68.333333333333329</v>
      </c>
      <c r="J480" s="10" t="str">
        <f>IF(Student­­Performance[[#This Row],[Average Score]]&gt;=50,"Pass","Fail")</f>
        <v>Pass</v>
      </c>
      <c r="K48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48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48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480" s="4">
        <f>IF(ISNUMBER(Student­­Performance[[#This Row],[Math Score]]),Student­­Performance[[#This Row],[Math Score]],0)</f>
        <v>64</v>
      </c>
      <c r="O480" s="4">
        <f>IF(ISNUMBER(Student­­Performance[[#This Row],[Reading Score]]),Student­­Performance[[#This Row],[Reading Score]],0)</f>
        <v>73</v>
      </c>
      <c r="P480" s="4">
        <f>IF(ISNUMBER(Student­­Performance[[#This Row],[Writing Score]]),Student­­Performance[[#This Row],[Writing Score]],0)</f>
        <v>68</v>
      </c>
      <c r="Q480" s="4" t="str">
        <f>IF(Student­­Performance[[#This Row],[Math Score]]&gt;=50,"Pass","Fail")</f>
        <v>Pass</v>
      </c>
      <c r="R480" s="4" t="str">
        <f>IF(Student­­Performance[[#This Row],[Reading Score]]&gt;=50,"Pass","Fail")</f>
        <v>Pass</v>
      </c>
      <c r="S480" s="4" t="str">
        <f>IF(Student­­Performance[[#This Row],[Writing Score]]&gt;=50,"Pass","Fail")</f>
        <v>Pass</v>
      </c>
      <c r="T48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205</v>
      </c>
      <c r="U480" s="4" cm="1">
        <f t="array" ref="U480">IF(COUNT(F480:H480)=0,"", MAX(IF(ISNUMBER(F480:H480),F480:H480)) - MIN(IF(ISNUMBER(F480:H480),F480:H480)))</f>
        <v>9</v>
      </c>
      <c r="V480" s="4" t="str">
        <f>IF(U480="","",IF(U480&gt;25,"Outlier","Normal"))</f>
        <v>Normal</v>
      </c>
    </row>
    <row r="481" spans="1:22" x14ac:dyDescent="0.3">
      <c r="A481" s="1" t="s">
        <v>17</v>
      </c>
      <c r="B481" s="1" t="s">
        <v>18</v>
      </c>
      <c r="C481" s="1" t="s">
        <v>84</v>
      </c>
      <c r="D481" s="1" t="s">
        <v>11</v>
      </c>
      <c r="E481" s="1" t="s">
        <v>12</v>
      </c>
      <c r="F481" s="4">
        <v>69</v>
      </c>
      <c r="G481" s="4">
        <v>67</v>
      </c>
      <c r="H481" s="4">
        <v>69</v>
      </c>
      <c r="I481" s="4">
        <f>AVERAGE(Student­­Performance[[#This Row],[Math Score]],Student­­Performance[[#This Row],[Reading Score]],Student­­Performance[[#This Row],[Writing Score]])</f>
        <v>68.333333333333329</v>
      </c>
      <c r="J481" s="10" t="str">
        <f>IF(Student­­Performance[[#This Row],[Average Score]]&gt;=50,"Pass","Fail")</f>
        <v>Pass</v>
      </c>
      <c r="K48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</v>
      </c>
      <c r="L48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48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481" s="4">
        <f>IF(ISNUMBER(Student­­Performance[[#This Row],[Math Score]]),Student­­Performance[[#This Row],[Math Score]],0)</f>
        <v>69</v>
      </c>
      <c r="O481" s="4">
        <f>IF(ISNUMBER(Student­­Performance[[#This Row],[Reading Score]]),Student­­Performance[[#This Row],[Reading Score]],0)</f>
        <v>67</v>
      </c>
      <c r="P481" s="4">
        <f>IF(ISNUMBER(Student­­Performance[[#This Row],[Writing Score]]),Student­­Performance[[#This Row],[Writing Score]],0)</f>
        <v>69</v>
      </c>
      <c r="Q481" s="4" t="str">
        <f>IF(Student­­Performance[[#This Row],[Math Score]]&gt;=50,"Pass","Fail")</f>
        <v>Pass</v>
      </c>
      <c r="R481" s="4" t="str">
        <f>IF(Student­­Performance[[#This Row],[Reading Score]]&gt;=50,"Pass","Fail")</f>
        <v>Pass</v>
      </c>
      <c r="S481" s="4" t="str">
        <f>IF(Student­­Performance[[#This Row],[Writing Score]]&gt;=50,"Pass","Fail")</f>
        <v>Pass</v>
      </c>
      <c r="T48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205</v>
      </c>
      <c r="U481" s="4" cm="1">
        <f t="array" ref="U481">IF(COUNT(F481:H481)=0,"", MAX(IF(ISNUMBER(F481:H481),F481:H481)) - MIN(IF(ISNUMBER(F481:H481),F481:H481)))</f>
        <v>2</v>
      </c>
      <c r="V481" s="4" t="str">
        <f>IF(U481="","",IF(U481&gt;25,"Outlier","Normal"))</f>
        <v>Normal</v>
      </c>
    </row>
    <row r="482" spans="1:22" x14ac:dyDescent="0.3">
      <c r="A482" s="1" t="s">
        <v>17</v>
      </c>
      <c r="B482" s="1" t="s">
        <v>13</v>
      </c>
      <c r="C482" s="1" t="s">
        <v>88</v>
      </c>
      <c r="D482" s="1" t="s">
        <v>20</v>
      </c>
      <c r="E482" s="1" t="s">
        <v>12</v>
      </c>
      <c r="F482" s="4">
        <v>69</v>
      </c>
      <c r="G482" s="4">
        <v>71</v>
      </c>
      <c r="H482" s="4">
        <v>65</v>
      </c>
      <c r="I482" s="4">
        <f>AVERAGE(Student­­Performance[[#This Row],[Math Score]],Student­­Performance[[#This Row],[Reading Score]],Student­­Performance[[#This Row],[Writing Score]])</f>
        <v>68.333333333333329</v>
      </c>
      <c r="J482" s="10" t="str">
        <f>IF(Student­­Performance[[#This Row],[Average Score]]&gt;=50,"Pass","Fail")</f>
        <v>Pass</v>
      </c>
      <c r="K48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48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48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482" s="4">
        <f>IF(ISNUMBER(Student­­Performance[[#This Row],[Math Score]]),Student­­Performance[[#This Row],[Math Score]],0)</f>
        <v>69</v>
      </c>
      <c r="O482" s="4">
        <f>IF(ISNUMBER(Student­­Performance[[#This Row],[Reading Score]]),Student­­Performance[[#This Row],[Reading Score]],0)</f>
        <v>71</v>
      </c>
      <c r="P482" s="4">
        <f>IF(ISNUMBER(Student­­Performance[[#This Row],[Writing Score]]),Student­­Performance[[#This Row],[Writing Score]],0)</f>
        <v>65</v>
      </c>
      <c r="Q482" s="4" t="str">
        <f>IF(Student­­Performance[[#This Row],[Math Score]]&gt;=50,"Pass","Fail")</f>
        <v>Pass</v>
      </c>
      <c r="R482" s="4" t="str">
        <f>IF(Student­­Performance[[#This Row],[Reading Score]]&gt;=50,"Pass","Fail")</f>
        <v>Pass</v>
      </c>
      <c r="S482" s="4" t="str">
        <f>IF(Student­­Performance[[#This Row],[Writing Score]]&gt;=50,"Pass","Fail")</f>
        <v>Pass</v>
      </c>
      <c r="T48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205</v>
      </c>
      <c r="U482" s="4" cm="1">
        <f t="array" ref="U482">IF(COUNT(F482:H482)=0,"", MAX(IF(ISNUMBER(F482:H482),F482:H482)) - MIN(IF(ISNUMBER(F482:H482),F482:H482)))</f>
        <v>6</v>
      </c>
      <c r="V482" s="4" t="str">
        <f>IF(U482="","",IF(U482&gt;25,"Outlier","Normal"))</f>
        <v>Normal</v>
      </c>
    </row>
    <row r="483" spans="1:22" x14ac:dyDescent="0.3">
      <c r="A483" s="1" t="s">
        <v>17</v>
      </c>
      <c r="B483" s="1" t="s">
        <v>13</v>
      </c>
      <c r="C483" s="1" t="s">
        <v>88</v>
      </c>
      <c r="D483" s="1" t="s">
        <v>11</v>
      </c>
      <c r="E483" s="1" t="s">
        <v>12</v>
      </c>
      <c r="F483" s="4">
        <v>73</v>
      </c>
      <c r="G483" s="4">
        <v>66</v>
      </c>
      <c r="H483" s="4">
        <v>66</v>
      </c>
      <c r="I483" s="4">
        <f>AVERAGE(Student­­Performance[[#This Row],[Math Score]],Student­­Performance[[#This Row],[Reading Score]],Student­­Performance[[#This Row],[Writing Score]])</f>
        <v>68.333333333333329</v>
      </c>
      <c r="J483" s="10" t="str">
        <f>IF(Student­­Performance[[#This Row],[Average Score]]&gt;=50,"Pass","Fail")</f>
        <v>Pass</v>
      </c>
      <c r="K48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-7</v>
      </c>
      <c r="L48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48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483" s="4">
        <f>IF(ISNUMBER(Student­­Performance[[#This Row],[Math Score]]),Student­­Performance[[#This Row],[Math Score]],0)</f>
        <v>73</v>
      </c>
      <c r="O483" s="4">
        <f>IF(ISNUMBER(Student­­Performance[[#This Row],[Reading Score]]),Student­­Performance[[#This Row],[Reading Score]],0)</f>
        <v>66</v>
      </c>
      <c r="P483" s="4">
        <f>IF(ISNUMBER(Student­­Performance[[#This Row],[Writing Score]]),Student­­Performance[[#This Row],[Writing Score]],0)</f>
        <v>66</v>
      </c>
      <c r="Q483" s="4" t="str">
        <f>IF(Student­­Performance[[#This Row],[Math Score]]&gt;=50,"Pass","Fail")</f>
        <v>Pass</v>
      </c>
      <c r="R483" s="4" t="str">
        <f>IF(Student­­Performance[[#This Row],[Reading Score]]&gt;=50,"Pass","Fail")</f>
        <v>Pass</v>
      </c>
      <c r="S483" s="4" t="str">
        <f>IF(Student­­Performance[[#This Row],[Writing Score]]&gt;=50,"Pass","Fail")</f>
        <v>Pass</v>
      </c>
      <c r="T48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205</v>
      </c>
      <c r="U483" s="4" cm="1">
        <f t="array" ref="U483">IF(COUNT(F483:H483)=0,"", MAX(IF(ISNUMBER(F483:H483),F483:H483)) - MIN(IF(ISNUMBER(F483:H483),F483:H483)))</f>
        <v>7</v>
      </c>
      <c r="V483" s="4" t="str">
        <f>IF(U483="","",IF(U483&gt;25,"Outlier","Normal"))</f>
        <v>Normal</v>
      </c>
    </row>
    <row r="484" spans="1:22" x14ac:dyDescent="0.3">
      <c r="A484" s="1" t="s">
        <v>17</v>
      </c>
      <c r="B484" s="1" t="s">
        <v>9</v>
      </c>
      <c r="C484" s="1" t="s">
        <v>87</v>
      </c>
      <c r="D484" s="1" t="s">
        <v>11</v>
      </c>
      <c r="E484" s="1" t="s">
        <v>15</v>
      </c>
      <c r="F484" s="4">
        <v>72</v>
      </c>
      <c r="G484" s="4">
        <v>65</v>
      </c>
      <c r="H484" s="4">
        <v>68</v>
      </c>
      <c r="I484" s="4">
        <f>AVERAGE(Student­­Performance[[#This Row],[Math Score]],Student­­Performance[[#This Row],[Reading Score]],Student­­Performance[[#This Row],[Writing Score]])</f>
        <v>68.333333333333329</v>
      </c>
      <c r="J484" s="10" t="str">
        <f>IF(Student­­Performance[[#This Row],[Average Score]]&gt;=50,"Pass","Fail")</f>
        <v>Pass</v>
      </c>
      <c r="K48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-7</v>
      </c>
      <c r="L48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48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484" s="4">
        <f>IF(ISNUMBER(Student­­Performance[[#This Row],[Math Score]]),Student­­Performance[[#This Row],[Math Score]],0)</f>
        <v>72</v>
      </c>
      <c r="O484" s="4">
        <f>IF(ISNUMBER(Student­­Performance[[#This Row],[Reading Score]]),Student­­Performance[[#This Row],[Reading Score]],0)</f>
        <v>65</v>
      </c>
      <c r="P484" s="4">
        <f>IF(ISNUMBER(Student­­Performance[[#This Row],[Writing Score]]),Student­­Performance[[#This Row],[Writing Score]],0)</f>
        <v>68</v>
      </c>
      <c r="Q484" s="4" t="str">
        <f>IF(Student­­Performance[[#This Row],[Math Score]]&gt;=50,"Pass","Fail")</f>
        <v>Pass</v>
      </c>
      <c r="R484" s="4" t="str">
        <f>IF(Student­­Performance[[#This Row],[Reading Score]]&gt;=50,"Pass","Fail")</f>
        <v>Pass</v>
      </c>
      <c r="S484" s="4" t="str">
        <f>IF(Student­­Performance[[#This Row],[Writing Score]]&gt;=50,"Pass","Fail")</f>
        <v>Pass</v>
      </c>
      <c r="T48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205</v>
      </c>
      <c r="U484" s="4" cm="1">
        <f t="array" ref="U484">IF(COUNT(F484:H484)=0,"", MAX(IF(ISNUMBER(F484:H484),F484:H484)) - MIN(IF(ISNUMBER(F484:H484),F484:H484)))</f>
        <v>7</v>
      </c>
      <c r="V484" s="4" t="str">
        <f>IF(U484="","",IF(U484&gt;25,"Outlier","Normal"))</f>
        <v>Normal</v>
      </c>
    </row>
    <row r="485" spans="1:22" x14ac:dyDescent="0.3">
      <c r="A485" s="1" t="s">
        <v>17</v>
      </c>
      <c r="B485" s="1" t="s">
        <v>26</v>
      </c>
      <c r="C485" s="1" t="s">
        <v>84</v>
      </c>
      <c r="D485" s="1" t="s">
        <v>11</v>
      </c>
      <c r="E485" s="1" t="s">
        <v>12</v>
      </c>
      <c r="F485" s="4">
        <v>68</v>
      </c>
      <c r="G485" s="4">
        <v>72</v>
      </c>
      <c r="H485" s="4">
        <v>65</v>
      </c>
      <c r="I485" s="4">
        <f>AVERAGE(Student­­Performance[[#This Row],[Math Score]],Student­­Performance[[#This Row],[Reading Score]],Student­­Performance[[#This Row],[Writing Score]])</f>
        <v>68.333333333333329</v>
      </c>
      <c r="J485" s="10" t="str">
        <f>IF(Student­­Performance[[#This Row],[Average Score]]&gt;=50,"Pass","Fail")</f>
        <v>Pass</v>
      </c>
      <c r="K48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48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48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485" s="4">
        <f>IF(ISNUMBER(Student­­Performance[[#This Row],[Math Score]]),Student­­Performance[[#This Row],[Math Score]],0)</f>
        <v>68</v>
      </c>
      <c r="O485" s="4">
        <f>IF(ISNUMBER(Student­­Performance[[#This Row],[Reading Score]]),Student­­Performance[[#This Row],[Reading Score]],0)</f>
        <v>72</v>
      </c>
      <c r="P485" s="4">
        <f>IF(ISNUMBER(Student­­Performance[[#This Row],[Writing Score]]),Student­­Performance[[#This Row],[Writing Score]],0)</f>
        <v>65</v>
      </c>
      <c r="Q485" s="4" t="str">
        <f>IF(Student­­Performance[[#This Row],[Math Score]]&gt;=50,"Pass","Fail")</f>
        <v>Pass</v>
      </c>
      <c r="R485" s="4" t="str">
        <f>IF(Student­­Performance[[#This Row],[Reading Score]]&gt;=50,"Pass","Fail")</f>
        <v>Pass</v>
      </c>
      <c r="S485" s="4" t="str">
        <f>IF(Student­­Performance[[#This Row],[Writing Score]]&gt;=50,"Pass","Fail")</f>
        <v>Pass</v>
      </c>
      <c r="T48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205</v>
      </c>
      <c r="U485" s="4" cm="1">
        <f t="array" ref="U485">IF(COUNT(F485:H485)=0,"", MAX(IF(ISNUMBER(F485:H485),F485:H485)) - MIN(IF(ISNUMBER(F485:H485),F485:H485)))</f>
        <v>7</v>
      </c>
      <c r="V485" s="4" t="str">
        <f>IF(U485="","",IF(U485&gt;25,"Outlier","Normal"))</f>
        <v>Normal</v>
      </c>
    </row>
    <row r="486" spans="1:22" x14ac:dyDescent="0.3">
      <c r="A486" s="1" t="s">
        <v>17</v>
      </c>
      <c r="B486" s="1" t="s">
        <v>13</v>
      </c>
      <c r="C486" s="1" t="s">
        <v>85</v>
      </c>
      <c r="D486" s="1" t="s">
        <v>11</v>
      </c>
      <c r="E486" s="1" t="s">
        <v>12</v>
      </c>
      <c r="F486" s="4">
        <v>71</v>
      </c>
      <c r="G486" s="4">
        <v>67</v>
      </c>
      <c r="H486" s="4">
        <v>67</v>
      </c>
      <c r="I486" s="4">
        <f>AVERAGE(Student­­Performance[[#This Row],[Math Score]],Student­­Performance[[#This Row],[Reading Score]],Student­­Performance[[#This Row],[Writing Score]])</f>
        <v>68.333333333333329</v>
      </c>
      <c r="J486" s="10" t="str">
        <f>IF(Student­­Performance[[#This Row],[Average Score]]&gt;=50,"Pass","Fail")</f>
        <v>Pass</v>
      </c>
      <c r="K48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48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48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486" s="4">
        <f>IF(ISNUMBER(Student­­Performance[[#This Row],[Math Score]]),Student­­Performance[[#This Row],[Math Score]],0)</f>
        <v>71</v>
      </c>
      <c r="O486" s="4">
        <f>IF(ISNUMBER(Student­­Performance[[#This Row],[Reading Score]]),Student­­Performance[[#This Row],[Reading Score]],0)</f>
        <v>67</v>
      </c>
      <c r="P486" s="4">
        <f>IF(ISNUMBER(Student­­Performance[[#This Row],[Writing Score]]),Student­­Performance[[#This Row],[Writing Score]],0)</f>
        <v>67</v>
      </c>
      <c r="Q486" s="4" t="str">
        <f>IF(Student­­Performance[[#This Row],[Math Score]]&gt;=50,"Pass","Fail")</f>
        <v>Pass</v>
      </c>
      <c r="R486" s="4" t="str">
        <f>IF(Student­­Performance[[#This Row],[Reading Score]]&gt;=50,"Pass","Fail")</f>
        <v>Pass</v>
      </c>
      <c r="S486" s="4" t="str">
        <f>IF(Student­­Performance[[#This Row],[Writing Score]]&gt;=50,"Pass","Fail")</f>
        <v>Pass</v>
      </c>
      <c r="T48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205</v>
      </c>
      <c r="U486" s="4" cm="1">
        <f t="array" ref="U486">IF(COUNT(F486:H486)=0,"", MAX(IF(ISNUMBER(F486:H486),F486:H486)) - MIN(IF(ISNUMBER(F486:H486),F486:H486)))</f>
        <v>4</v>
      </c>
      <c r="V486" s="4" t="str">
        <f>IF(U486="","",IF(U486&gt;25,"Outlier","Normal"))</f>
        <v>Normal</v>
      </c>
    </row>
    <row r="487" spans="1:22" x14ac:dyDescent="0.3">
      <c r="A487" s="1" t="s">
        <v>17</v>
      </c>
      <c r="B487" s="1" t="s">
        <v>21</v>
      </c>
      <c r="C487" s="1" t="s">
        <v>86</v>
      </c>
      <c r="D487" s="1" t="s">
        <v>20</v>
      </c>
      <c r="E487" s="1" t="s">
        <v>15</v>
      </c>
      <c r="F487" s="4">
        <v>61</v>
      </c>
      <c r="G487" s="4">
        <v>71</v>
      </c>
      <c r="H487" s="4">
        <v>73</v>
      </c>
      <c r="I487" s="4">
        <f>AVERAGE(Student­­Performance[[#This Row],[Math Score]],Student­­Performance[[#This Row],[Reading Score]],Student­­Performance[[#This Row],[Writing Score]])</f>
        <v>68.333333333333329</v>
      </c>
      <c r="J487" s="10" t="str">
        <f>IF(Student­­Performance[[#This Row],[Average Score]]&gt;=50,"Pass","Fail")</f>
        <v>Pass</v>
      </c>
      <c r="K48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48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48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487" s="4">
        <f>IF(ISNUMBER(Student­­Performance[[#This Row],[Math Score]]),Student­­Performance[[#This Row],[Math Score]],0)</f>
        <v>61</v>
      </c>
      <c r="O487" s="4">
        <f>IF(ISNUMBER(Student­­Performance[[#This Row],[Reading Score]]),Student­­Performance[[#This Row],[Reading Score]],0)</f>
        <v>71</v>
      </c>
      <c r="P487" s="4">
        <f>IF(ISNUMBER(Student­­Performance[[#This Row],[Writing Score]]),Student­­Performance[[#This Row],[Writing Score]],0)</f>
        <v>73</v>
      </c>
      <c r="Q487" s="4" t="str">
        <f>IF(Student­­Performance[[#This Row],[Math Score]]&gt;=50,"Pass","Fail")</f>
        <v>Pass</v>
      </c>
      <c r="R487" s="4" t="str">
        <f>IF(Student­­Performance[[#This Row],[Reading Score]]&gt;=50,"Pass","Fail")</f>
        <v>Pass</v>
      </c>
      <c r="S487" s="4" t="str">
        <f>IF(Student­­Performance[[#This Row],[Writing Score]]&gt;=50,"Pass","Fail")</f>
        <v>Pass</v>
      </c>
      <c r="T48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205</v>
      </c>
      <c r="U487" s="4" cm="1">
        <f t="array" ref="U487">IF(COUNT(F487:H487)=0,"", MAX(IF(ISNUMBER(F487:H487),F487:H487)) - MIN(IF(ISNUMBER(F487:H487),F487:H487)))</f>
        <v>12</v>
      </c>
      <c r="V487" s="4" t="str">
        <f>IF(U487="","",IF(U487&gt;25,"Outlier","Normal"))</f>
        <v>Normal</v>
      </c>
    </row>
    <row r="488" spans="1:22" x14ac:dyDescent="0.3">
      <c r="A488" s="1" t="s">
        <v>8</v>
      </c>
      <c r="B488" s="1" t="s">
        <v>26</v>
      </c>
      <c r="C488" s="1" t="s">
        <v>87</v>
      </c>
      <c r="D488" s="1" t="s">
        <v>20</v>
      </c>
      <c r="E488" s="1" t="s">
        <v>15</v>
      </c>
      <c r="F488" s="4">
        <v>57</v>
      </c>
      <c r="G488" s="4">
        <v>75</v>
      </c>
      <c r="H488" s="4">
        <v>73</v>
      </c>
      <c r="I488" s="4">
        <f>AVERAGE(Student­­Performance[[#This Row],[Math Score]],Student­­Performance[[#This Row],[Reading Score]],Student­­Performance[[#This Row],[Writing Score]])</f>
        <v>68.333333333333329</v>
      </c>
      <c r="J488" s="10" t="str">
        <f>IF(Student­­Performance[[#This Row],[Average Score]]&gt;=50,"Pass","Fail")</f>
        <v>Pass</v>
      </c>
      <c r="K48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18</v>
      </c>
      <c r="L48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48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16</v>
      </c>
      <c r="N488" s="4">
        <f>IF(ISNUMBER(Student­­Performance[[#This Row],[Math Score]]),Student­­Performance[[#This Row],[Math Score]],0)</f>
        <v>57</v>
      </c>
      <c r="O488" s="4">
        <f>IF(ISNUMBER(Student­­Performance[[#This Row],[Reading Score]]),Student­­Performance[[#This Row],[Reading Score]],0)</f>
        <v>75</v>
      </c>
      <c r="P488" s="4">
        <f>IF(ISNUMBER(Student­­Performance[[#This Row],[Writing Score]]),Student­­Performance[[#This Row],[Writing Score]],0)</f>
        <v>73</v>
      </c>
      <c r="Q488" s="4" t="str">
        <f>IF(Student­­Performance[[#This Row],[Math Score]]&gt;=50,"Pass","Fail")</f>
        <v>Pass</v>
      </c>
      <c r="R488" s="4" t="str">
        <f>IF(Student­­Performance[[#This Row],[Reading Score]]&gt;=50,"Pass","Fail")</f>
        <v>Pass</v>
      </c>
      <c r="S488" s="4" t="str">
        <f>IF(Student­­Performance[[#This Row],[Writing Score]]&gt;=50,"Pass","Fail")</f>
        <v>Pass</v>
      </c>
      <c r="T48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205</v>
      </c>
      <c r="U488" s="4" cm="1">
        <f t="array" ref="U488">IF(COUNT(F488:H488)=0,"", MAX(IF(ISNUMBER(F488:H488),F488:H488)) - MIN(IF(ISNUMBER(F488:H488),F488:H488)))</f>
        <v>18</v>
      </c>
      <c r="V488" s="4" t="str">
        <f>IF(U488="","",IF(U488&gt;25,"Outlier","Normal"))</f>
        <v>Normal</v>
      </c>
    </row>
    <row r="489" spans="1:22" x14ac:dyDescent="0.3">
      <c r="A489" s="1" t="s">
        <v>8</v>
      </c>
      <c r="B489" s="1" t="s">
        <v>21</v>
      </c>
      <c r="C489" s="1" t="s">
        <v>86</v>
      </c>
      <c r="D489" s="1" t="s">
        <v>11</v>
      </c>
      <c r="E489" s="1" t="s">
        <v>12</v>
      </c>
      <c r="F489" s="4">
        <v>65</v>
      </c>
      <c r="G489" s="4">
        <v>69</v>
      </c>
      <c r="H489" s="4">
        <v>70</v>
      </c>
      <c r="I489" s="4">
        <f>AVERAGE(Student­­Performance[[#This Row],[Math Score]],Student­­Performance[[#This Row],[Reading Score]],Student­­Performance[[#This Row],[Writing Score]])</f>
        <v>68</v>
      </c>
      <c r="J489" s="10" t="str">
        <f>IF(Student­­Performance[[#This Row],[Average Score]]&gt;=50,"Pass","Fail")</f>
        <v>Pass</v>
      </c>
      <c r="K48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48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48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489" s="4">
        <f>IF(ISNUMBER(Student­­Performance[[#This Row],[Math Score]]),Student­­Performance[[#This Row],[Math Score]],0)</f>
        <v>65</v>
      </c>
      <c r="O489" s="4">
        <f>IF(ISNUMBER(Student­­Performance[[#This Row],[Reading Score]]),Student­­Performance[[#This Row],[Reading Score]],0)</f>
        <v>69</v>
      </c>
      <c r="P489" s="4">
        <f>IF(ISNUMBER(Student­­Performance[[#This Row],[Writing Score]]),Student­­Performance[[#This Row],[Writing Score]],0)</f>
        <v>70</v>
      </c>
      <c r="Q489" s="4" t="str">
        <f>IF(Student­­Performance[[#This Row],[Math Score]]&gt;=50,"Pass","Fail")</f>
        <v>Pass</v>
      </c>
      <c r="R489" s="4" t="str">
        <f>IF(Student­­Performance[[#This Row],[Reading Score]]&gt;=50,"Pass","Fail")</f>
        <v>Pass</v>
      </c>
      <c r="S489" s="4" t="str">
        <f>IF(Student­­Performance[[#This Row],[Writing Score]]&gt;=50,"Pass","Fail")</f>
        <v>Pass</v>
      </c>
      <c r="T48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204</v>
      </c>
      <c r="U489" s="4" cm="1">
        <f t="array" ref="U489">IF(COUNT(F489:H489)=0,"", MAX(IF(ISNUMBER(F489:H489),F489:H489)) - MIN(IF(ISNUMBER(F489:H489),F489:H489)))</f>
        <v>5</v>
      </c>
      <c r="V489" s="4" t="str">
        <f>IF(U489="","",IF(U489&gt;25,"Outlier","Normal"))</f>
        <v>Normal</v>
      </c>
    </row>
    <row r="490" spans="1:22" x14ac:dyDescent="0.3">
      <c r="A490" s="1" t="s">
        <v>17</v>
      </c>
      <c r="B490" s="1" t="s">
        <v>18</v>
      </c>
      <c r="C490" s="1" t="s">
        <v>88</v>
      </c>
      <c r="D490" s="1" t="s">
        <v>20</v>
      </c>
      <c r="E490" s="1" t="s">
        <v>12</v>
      </c>
      <c r="F490" s="4">
        <v>68</v>
      </c>
      <c r="G490" s="4">
        <v>72</v>
      </c>
      <c r="H490" s="4">
        <v>64</v>
      </c>
      <c r="I490" s="4">
        <f>AVERAGE(Student­­Performance[[#This Row],[Math Score]],Student­­Performance[[#This Row],[Reading Score]],Student­­Performance[[#This Row],[Writing Score]])</f>
        <v>68</v>
      </c>
      <c r="J490" s="10" t="str">
        <f>IF(Student­­Performance[[#This Row],[Average Score]]&gt;=50,"Pass","Fail")</f>
        <v>Pass</v>
      </c>
      <c r="K49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49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-8</v>
      </c>
      <c r="M49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490" s="4">
        <f>IF(ISNUMBER(Student­­Performance[[#This Row],[Math Score]]),Student­­Performance[[#This Row],[Math Score]],0)</f>
        <v>68</v>
      </c>
      <c r="O490" s="4">
        <f>IF(ISNUMBER(Student­­Performance[[#This Row],[Reading Score]]),Student­­Performance[[#This Row],[Reading Score]],0)</f>
        <v>72</v>
      </c>
      <c r="P490" s="4">
        <f>IF(ISNUMBER(Student­­Performance[[#This Row],[Writing Score]]),Student­­Performance[[#This Row],[Writing Score]],0)</f>
        <v>64</v>
      </c>
      <c r="Q490" s="4" t="str">
        <f>IF(Student­­Performance[[#This Row],[Math Score]]&gt;=50,"Pass","Fail")</f>
        <v>Pass</v>
      </c>
      <c r="R490" s="4" t="str">
        <f>IF(Student­­Performance[[#This Row],[Reading Score]]&gt;=50,"Pass","Fail")</f>
        <v>Pass</v>
      </c>
      <c r="S490" s="4" t="str">
        <f>IF(Student­­Performance[[#This Row],[Writing Score]]&gt;=50,"Pass","Fail")</f>
        <v>Pass</v>
      </c>
      <c r="T49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204</v>
      </c>
      <c r="U490" s="4" cm="1">
        <f t="array" ref="U490">IF(COUNT(F490:H490)=0,"", MAX(IF(ISNUMBER(F490:H490),F490:H490)) - MIN(IF(ISNUMBER(F490:H490),F490:H490)))</f>
        <v>8</v>
      </c>
      <c r="V490" s="4" t="str">
        <f>IF(U490="","",IF(U490&gt;25,"Outlier","Normal"))</f>
        <v>Normal</v>
      </c>
    </row>
    <row r="491" spans="1:22" x14ac:dyDescent="0.3">
      <c r="A491" s="1" t="s">
        <v>8</v>
      </c>
      <c r="B491" s="1" t="s">
        <v>13</v>
      </c>
      <c r="C491" s="1" t="s">
        <v>86</v>
      </c>
      <c r="D491" s="1" t="s">
        <v>20</v>
      </c>
      <c r="E491" s="1" t="s">
        <v>15</v>
      </c>
      <c r="F491" s="4">
        <v>68</v>
      </c>
      <c r="G491" s="4">
        <v>67</v>
      </c>
      <c r="H491" s="4">
        <v>69</v>
      </c>
      <c r="I491" s="4">
        <f>AVERAGE(Student­­Performance[[#This Row],[Math Score]],Student­­Performance[[#This Row],[Reading Score]],Student­­Performance[[#This Row],[Writing Score]])</f>
        <v>68</v>
      </c>
      <c r="J491" s="10" t="str">
        <f>IF(Student­­Performance[[#This Row],[Average Score]]&gt;=50,"Pass","Fail")</f>
        <v>Pass</v>
      </c>
      <c r="K49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49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49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491" s="4">
        <f>IF(ISNUMBER(Student­­Performance[[#This Row],[Math Score]]),Student­­Performance[[#This Row],[Math Score]],0)</f>
        <v>68</v>
      </c>
      <c r="O491" s="4">
        <f>IF(ISNUMBER(Student­­Performance[[#This Row],[Reading Score]]),Student­­Performance[[#This Row],[Reading Score]],0)</f>
        <v>67</v>
      </c>
      <c r="P491" s="4">
        <f>IF(ISNUMBER(Student­­Performance[[#This Row],[Writing Score]]),Student­­Performance[[#This Row],[Writing Score]],0)</f>
        <v>69</v>
      </c>
      <c r="Q491" s="4" t="str">
        <f>IF(Student­­Performance[[#This Row],[Math Score]]&gt;=50,"Pass","Fail")</f>
        <v>Pass</v>
      </c>
      <c r="R491" s="4" t="str">
        <f>IF(Student­­Performance[[#This Row],[Reading Score]]&gt;=50,"Pass","Fail")</f>
        <v>Pass</v>
      </c>
      <c r="S491" s="4" t="str">
        <f>IF(Student­­Performance[[#This Row],[Writing Score]]&gt;=50,"Pass","Fail")</f>
        <v>Pass</v>
      </c>
      <c r="T49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204</v>
      </c>
      <c r="U491" s="4" cm="1">
        <f t="array" ref="U491">IF(COUNT(F491:H491)=0,"", MAX(IF(ISNUMBER(F491:H491),F491:H491)) - MIN(IF(ISNUMBER(F491:H491),F491:H491)))</f>
        <v>2</v>
      </c>
      <c r="V491" s="4" t="str">
        <f>IF(U491="","",IF(U491&gt;25,"Outlier","Normal"))</f>
        <v>Normal</v>
      </c>
    </row>
    <row r="492" spans="1:22" x14ac:dyDescent="0.3">
      <c r="A492" s="1" t="s">
        <v>8</v>
      </c>
      <c r="B492" s="1" t="s">
        <v>13</v>
      </c>
      <c r="C492" s="1" t="s">
        <v>88</v>
      </c>
      <c r="D492" s="1" t="s">
        <v>11</v>
      </c>
      <c r="E492" s="1" t="s">
        <v>12</v>
      </c>
      <c r="F492" s="4">
        <v>63</v>
      </c>
      <c r="G492" s="4">
        <v>73</v>
      </c>
      <c r="H492" s="4">
        <v>68</v>
      </c>
      <c r="I492" s="4">
        <f>AVERAGE(Student­­Performance[[#This Row],[Math Score]],Student­­Performance[[#This Row],[Reading Score]],Student­­Performance[[#This Row],[Writing Score]])</f>
        <v>68</v>
      </c>
      <c r="J492" s="10" t="str">
        <f>IF(Student­­Performance[[#This Row],[Average Score]]&gt;=50,"Pass","Fail")</f>
        <v>Pass</v>
      </c>
      <c r="K49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49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49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492" s="4">
        <f>IF(ISNUMBER(Student­­Performance[[#This Row],[Math Score]]),Student­­Performance[[#This Row],[Math Score]],0)</f>
        <v>63</v>
      </c>
      <c r="O492" s="4">
        <f>IF(ISNUMBER(Student­­Performance[[#This Row],[Reading Score]]),Student­­Performance[[#This Row],[Reading Score]],0)</f>
        <v>73</v>
      </c>
      <c r="P492" s="4">
        <f>IF(ISNUMBER(Student­­Performance[[#This Row],[Writing Score]]),Student­­Performance[[#This Row],[Writing Score]],0)</f>
        <v>68</v>
      </c>
      <c r="Q492" s="4" t="str">
        <f>IF(Student­­Performance[[#This Row],[Math Score]]&gt;=50,"Pass","Fail")</f>
        <v>Pass</v>
      </c>
      <c r="R492" s="4" t="str">
        <f>IF(Student­­Performance[[#This Row],[Reading Score]]&gt;=50,"Pass","Fail")</f>
        <v>Pass</v>
      </c>
      <c r="S492" s="4" t="str">
        <f>IF(Student­­Performance[[#This Row],[Writing Score]]&gt;=50,"Pass","Fail")</f>
        <v>Pass</v>
      </c>
      <c r="T49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204</v>
      </c>
      <c r="U492" s="4" cm="1">
        <f t="array" ref="U492">IF(COUNT(F492:H492)=0,"", MAX(IF(ISNUMBER(F492:H492),F492:H492)) - MIN(IF(ISNUMBER(F492:H492),F492:H492)))</f>
        <v>10</v>
      </c>
      <c r="V492" s="4" t="str">
        <f>IF(U492="","",IF(U492&gt;25,"Outlier","Normal"))</f>
        <v>Normal</v>
      </c>
    </row>
    <row r="493" spans="1:22" x14ac:dyDescent="0.3">
      <c r="A493" s="1" t="s">
        <v>17</v>
      </c>
      <c r="B493" s="1" t="s">
        <v>18</v>
      </c>
      <c r="C493" s="1" t="s">
        <v>87</v>
      </c>
      <c r="D493" s="1" t="s">
        <v>20</v>
      </c>
      <c r="E493" s="1" t="s">
        <v>15</v>
      </c>
      <c r="F493" s="4">
        <v>72</v>
      </c>
      <c r="G493" s="4">
        <v>67</v>
      </c>
      <c r="H493" s="4">
        <v>65</v>
      </c>
      <c r="I493" s="4">
        <f>AVERAGE(Student­­Performance[[#This Row],[Math Score]],Student­­Performance[[#This Row],[Reading Score]],Student­­Performance[[#This Row],[Writing Score]])</f>
        <v>68</v>
      </c>
      <c r="J493" s="10" t="str">
        <f>IF(Student­­Performance[[#This Row],[Average Score]]&gt;=50,"Pass","Fail")</f>
        <v>Pass</v>
      </c>
      <c r="K49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49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49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493" s="4">
        <f>IF(ISNUMBER(Student­­Performance[[#This Row],[Math Score]]),Student­­Performance[[#This Row],[Math Score]],0)</f>
        <v>72</v>
      </c>
      <c r="O493" s="4">
        <f>IF(ISNUMBER(Student­­Performance[[#This Row],[Reading Score]]),Student­­Performance[[#This Row],[Reading Score]],0)</f>
        <v>67</v>
      </c>
      <c r="P493" s="4">
        <f>IF(ISNUMBER(Student­­Performance[[#This Row],[Writing Score]]),Student­­Performance[[#This Row],[Writing Score]],0)</f>
        <v>65</v>
      </c>
      <c r="Q493" s="4" t="str">
        <f>IF(Student­­Performance[[#This Row],[Math Score]]&gt;=50,"Pass","Fail")</f>
        <v>Pass</v>
      </c>
      <c r="R493" s="4" t="str">
        <f>IF(Student­­Performance[[#This Row],[Reading Score]]&gt;=50,"Pass","Fail")</f>
        <v>Pass</v>
      </c>
      <c r="S493" s="4" t="str">
        <f>IF(Student­­Performance[[#This Row],[Writing Score]]&gt;=50,"Pass","Fail")</f>
        <v>Pass</v>
      </c>
      <c r="T49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204</v>
      </c>
      <c r="U493" s="4" cm="1">
        <f t="array" ref="U493">IF(COUNT(F493:H493)=0,"", MAX(IF(ISNUMBER(F493:H493),F493:H493)) - MIN(IF(ISNUMBER(F493:H493),F493:H493)))</f>
        <v>7</v>
      </c>
      <c r="V493" s="4" t="str">
        <f>IF(U493="","",IF(U493&gt;25,"Outlier","Normal"))</f>
        <v>Normal</v>
      </c>
    </row>
    <row r="494" spans="1:22" x14ac:dyDescent="0.3">
      <c r="A494" s="1" t="s">
        <v>17</v>
      </c>
      <c r="B494" s="1" t="s">
        <v>26</v>
      </c>
      <c r="C494" s="1" t="s">
        <v>83</v>
      </c>
      <c r="D494" s="1" t="s">
        <v>11</v>
      </c>
      <c r="E494" s="1" t="s">
        <v>15</v>
      </c>
      <c r="F494" s="4">
        <v>76</v>
      </c>
      <c r="G494" s="4">
        <v>62</v>
      </c>
      <c r="H494" s="4">
        <v>66</v>
      </c>
      <c r="I494" s="4">
        <f>AVERAGE(Student­­Performance[[#This Row],[Math Score]],Student­­Performance[[#This Row],[Reading Score]],Student­­Performance[[#This Row],[Writing Score]])</f>
        <v>68</v>
      </c>
      <c r="J494" s="10" t="str">
        <f>IF(Student­­Performance[[#This Row],[Average Score]]&gt;=50,"Pass","Fail")</f>
        <v>Pass</v>
      </c>
      <c r="K49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-14</v>
      </c>
      <c r="L49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49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-10</v>
      </c>
      <c r="N494" s="4">
        <f>IF(ISNUMBER(Student­­Performance[[#This Row],[Math Score]]),Student­­Performance[[#This Row],[Math Score]],0)</f>
        <v>76</v>
      </c>
      <c r="O494" s="4">
        <f>IF(ISNUMBER(Student­­Performance[[#This Row],[Reading Score]]),Student­­Performance[[#This Row],[Reading Score]],0)</f>
        <v>62</v>
      </c>
      <c r="P494" s="4">
        <f>IF(ISNUMBER(Student­­Performance[[#This Row],[Writing Score]]),Student­­Performance[[#This Row],[Writing Score]],0)</f>
        <v>66</v>
      </c>
      <c r="Q494" s="4" t="str">
        <f>IF(Student­­Performance[[#This Row],[Math Score]]&gt;=50,"Pass","Fail")</f>
        <v>Pass</v>
      </c>
      <c r="R494" s="4" t="str">
        <f>IF(Student­­Performance[[#This Row],[Reading Score]]&gt;=50,"Pass","Fail")</f>
        <v>Pass</v>
      </c>
      <c r="S494" s="4" t="str">
        <f>IF(Student­­Performance[[#This Row],[Writing Score]]&gt;=50,"Pass","Fail")</f>
        <v>Pass</v>
      </c>
      <c r="T49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204</v>
      </c>
      <c r="U494" s="4" cm="1">
        <f t="array" ref="U494">IF(COUNT(F494:H494)=0,"", MAX(IF(ISNUMBER(F494:H494),F494:H494)) - MIN(IF(ISNUMBER(F494:H494),F494:H494)))</f>
        <v>14</v>
      </c>
      <c r="V494" s="4" t="str">
        <f>IF(U494="","",IF(U494&gt;25,"Outlier","Normal"))</f>
        <v>Normal</v>
      </c>
    </row>
    <row r="495" spans="1:22" x14ac:dyDescent="0.3">
      <c r="A495" s="1" t="s">
        <v>17</v>
      </c>
      <c r="B495" s="1" t="s">
        <v>18</v>
      </c>
      <c r="C495" s="1" t="s">
        <v>87</v>
      </c>
      <c r="D495" s="1" t="s">
        <v>11</v>
      </c>
      <c r="E495" s="1" t="s">
        <v>12</v>
      </c>
      <c r="F495" s="4">
        <v>68</v>
      </c>
      <c r="G495" s="4">
        <v>70</v>
      </c>
      <c r="H495" s="4">
        <v>66</v>
      </c>
      <c r="I495" s="4">
        <f>AVERAGE(Student­­Performance[[#This Row],[Math Score]],Student­­Performance[[#This Row],[Reading Score]],Student­­Performance[[#This Row],[Writing Score]])</f>
        <v>68</v>
      </c>
      <c r="J495" s="10" t="str">
        <f>IF(Student­­Performance[[#This Row],[Average Score]]&gt;=50,"Pass","Fail")</f>
        <v>Pass</v>
      </c>
      <c r="K49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49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49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495" s="4">
        <f>IF(ISNUMBER(Student­­Performance[[#This Row],[Math Score]]),Student­­Performance[[#This Row],[Math Score]],0)</f>
        <v>68</v>
      </c>
      <c r="O495" s="4">
        <f>IF(ISNUMBER(Student­­Performance[[#This Row],[Reading Score]]),Student­­Performance[[#This Row],[Reading Score]],0)</f>
        <v>70</v>
      </c>
      <c r="P495" s="4">
        <f>IF(ISNUMBER(Student­­Performance[[#This Row],[Writing Score]]),Student­­Performance[[#This Row],[Writing Score]],0)</f>
        <v>66</v>
      </c>
      <c r="Q495" s="4" t="str">
        <f>IF(Student­­Performance[[#This Row],[Math Score]]&gt;=50,"Pass","Fail")</f>
        <v>Pass</v>
      </c>
      <c r="R495" s="4" t="str">
        <f>IF(Student­­Performance[[#This Row],[Reading Score]]&gt;=50,"Pass","Fail")</f>
        <v>Pass</v>
      </c>
      <c r="S495" s="4" t="str">
        <f>IF(Student­­Performance[[#This Row],[Writing Score]]&gt;=50,"Pass","Fail")</f>
        <v>Pass</v>
      </c>
      <c r="T49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204</v>
      </c>
      <c r="U495" s="4" cm="1">
        <f t="array" ref="U495">IF(COUNT(F495:H495)=0,"", MAX(IF(ISNUMBER(F495:H495),F495:H495)) - MIN(IF(ISNUMBER(F495:H495),F495:H495)))</f>
        <v>4</v>
      </c>
      <c r="V495" s="4" t="str">
        <f>IF(U495="","",IF(U495&gt;25,"Outlier","Normal"))</f>
        <v>Normal</v>
      </c>
    </row>
    <row r="496" spans="1:22" x14ac:dyDescent="0.3">
      <c r="A496" s="1" t="s">
        <v>17</v>
      </c>
      <c r="B496" s="1" t="s">
        <v>9</v>
      </c>
      <c r="C496" s="1" t="s">
        <v>87</v>
      </c>
      <c r="D496" s="1" t="s">
        <v>11</v>
      </c>
      <c r="E496" s="1" t="s">
        <v>12</v>
      </c>
      <c r="F496" s="4">
        <v>79</v>
      </c>
      <c r="G496" s="4">
        <v>60</v>
      </c>
      <c r="H496" s="4">
        <v>65</v>
      </c>
      <c r="I496" s="4">
        <f>AVERAGE(Student­­Performance[[#This Row],[Math Score]],Student­­Performance[[#This Row],[Reading Score]],Student­­Performance[[#This Row],[Writing Score]])</f>
        <v>68</v>
      </c>
      <c r="J496" s="10" t="str">
        <f>IF(Student­­Performance[[#This Row],[Average Score]]&gt;=50,"Pass","Fail")</f>
        <v>Pass</v>
      </c>
      <c r="K49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-19</v>
      </c>
      <c r="L49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49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-14</v>
      </c>
      <c r="N496" s="4">
        <f>IF(ISNUMBER(Student­­Performance[[#This Row],[Math Score]]),Student­­Performance[[#This Row],[Math Score]],0)</f>
        <v>79</v>
      </c>
      <c r="O496" s="4">
        <f>IF(ISNUMBER(Student­­Performance[[#This Row],[Reading Score]]),Student­­Performance[[#This Row],[Reading Score]],0)</f>
        <v>60</v>
      </c>
      <c r="P496" s="4">
        <f>IF(ISNUMBER(Student­­Performance[[#This Row],[Writing Score]]),Student­­Performance[[#This Row],[Writing Score]],0)</f>
        <v>65</v>
      </c>
      <c r="Q496" s="4" t="str">
        <f>IF(Student­­Performance[[#This Row],[Math Score]]&gt;=50,"Pass","Fail")</f>
        <v>Pass</v>
      </c>
      <c r="R496" s="4" t="str">
        <f>IF(Student­­Performance[[#This Row],[Reading Score]]&gt;=50,"Pass","Fail")</f>
        <v>Pass</v>
      </c>
      <c r="S496" s="4" t="str">
        <f>IF(Student­­Performance[[#This Row],[Writing Score]]&gt;=50,"Pass","Fail")</f>
        <v>Pass</v>
      </c>
      <c r="T49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204</v>
      </c>
      <c r="U496" s="4" cm="1">
        <f t="array" ref="U496">IF(COUNT(F496:H496)=0,"", MAX(IF(ISNUMBER(F496:H496),F496:H496)) - MIN(IF(ISNUMBER(F496:H496),F496:H496)))</f>
        <v>19</v>
      </c>
      <c r="V496" s="4" t="str">
        <f>IF(U496="","",IF(U496&gt;25,"Outlier","Normal"))</f>
        <v>Normal</v>
      </c>
    </row>
    <row r="497" spans="1:22" x14ac:dyDescent="0.3">
      <c r="A497" s="1" t="s">
        <v>8</v>
      </c>
      <c r="B497" s="1" t="s">
        <v>9</v>
      </c>
      <c r="C497" s="1" t="s">
        <v>88</v>
      </c>
      <c r="D497" s="1" t="s">
        <v>11</v>
      </c>
      <c r="E497" s="1" t="s">
        <v>15</v>
      </c>
      <c r="F497" s="4">
        <v>60</v>
      </c>
      <c r="G497" s="4">
        <v>70</v>
      </c>
      <c r="H497" s="4">
        <v>74</v>
      </c>
      <c r="I497" s="4">
        <f>AVERAGE(Student­­Performance[[#This Row],[Math Score]],Student­­Performance[[#This Row],[Reading Score]],Student­­Performance[[#This Row],[Writing Score]])</f>
        <v>68</v>
      </c>
      <c r="J497" s="10" t="str">
        <f>IF(Student­­Performance[[#This Row],[Average Score]]&gt;=50,"Pass","Fail")</f>
        <v>Pass</v>
      </c>
      <c r="K49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49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49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14</v>
      </c>
      <c r="N497" s="4">
        <f>IF(ISNUMBER(Student­­Performance[[#This Row],[Math Score]]),Student­­Performance[[#This Row],[Math Score]],0)</f>
        <v>60</v>
      </c>
      <c r="O497" s="4">
        <f>IF(ISNUMBER(Student­­Performance[[#This Row],[Reading Score]]),Student­­Performance[[#This Row],[Reading Score]],0)</f>
        <v>70</v>
      </c>
      <c r="P497" s="4">
        <f>IF(ISNUMBER(Student­­Performance[[#This Row],[Writing Score]]),Student­­Performance[[#This Row],[Writing Score]],0)</f>
        <v>74</v>
      </c>
      <c r="Q497" s="4" t="str">
        <f>IF(Student­­Performance[[#This Row],[Math Score]]&gt;=50,"Pass","Fail")</f>
        <v>Pass</v>
      </c>
      <c r="R497" s="4" t="str">
        <f>IF(Student­­Performance[[#This Row],[Reading Score]]&gt;=50,"Pass","Fail")</f>
        <v>Pass</v>
      </c>
      <c r="S497" s="4" t="str">
        <f>IF(Student­­Performance[[#This Row],[Writing Score]]&gt;=50,"Pass","Fail")</f>
        <v>Pass</v>
      </c>
      <c r="T49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204</v>
      </c>
      <c r="U497" s="4" cm="1">
        <f t="array" ref="U497">IF(COUNT(F497:H497)=0,"", MAX(IF(ISNUMBER(F497:H497),F497:H497)) - MIN(IF(ISNUMBER(F497:H497),F497:H497)))</f>
        <v>14</v>
      </c>
      <c r="V497" s="4" t="str">
        <f>IF(U497="","",IF(U497&gt;25,"Outlier","Normal"))</f>
        <v>Normal</v>
      </c>
    </row>
    <row r="498" spans="1:22" x14ac:dyDescent="0.3">
      <c r="A498" s="1" t="s">
        <v>8</v>
      </c>
      <c r="B498" s="1" t="s">
        <v>13</v>
      </c>
      <c r="C498" s="1" t="s">
        <v>84</v>
      </c>
      <c r="D498" s="1" t="s">
        <v>20</v>
      </c>
      <c r="E498" s="1" t="s">
        <v>12</v>
      </c>
      <c r="F498" s="4">
        <v>62</v>
      </c>
      <c r="G498" s="4">
        <v>72</v>
      </c>
      <c r="H498" s="4">
        <v>70</v>
      </c>
      <c r="I498" s="4">
        <f>AVERAGE(Student­­Performance[[#This Row],[Math Score]],Student­­Performance[[#This Row],[Reading Score]],Student­­Performance[[#This Row],[Writing Score]])</f>
        <v>68</v>
      </c>
      <c r="J498" s="10" t="str">
        <f>IF(Student­­Performance[[#This Row],[Average Score]]&gt;=50,"Pass","Fail")</f>
        <v>Pass</v>
      </c>
      <c r="K49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49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49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498" s="4">
        <f>IF(ISNUMBER(Student­­Performance[[#This Row],[Math Score]]),Student­­Performance[[#This Row],[Math Score]],0)</f>
        <v>62</v>
      </c>
      <c r="O498" s="4">
        <f>IF(ISNUMBER(Student­­Performance[[#This Row],[Reading Score]]),Student­­Performance[[#This Row],[Reading Score]],0)</f>
        <v>72</v>
      </c>
      <c r="P498" s="4">
        <f>IF(ISNUMBER(Student­­Performance[[#This Row],[Writing Score]]),Student­­Performance[[#This Row],[Writing Score]],0)</f>
        <v>70</v>
      </c>
      <c r="Q498" s="4" t="str">
        <f>IF(Student­­Performance[[#This Row],[Math Score]]&gt;=50,"Pass","Fail")</f>
        <v>Pass</v>
      </c>
      <c r="R498" s="4" t="str">
        <f>IF(Student­­Performance[[#This Row],[Reading Score]]&gt;=50,"Pass","Fail")</f>
        <v>Pass</v>
      </c>
      <c r="S498" s="4" t="str">
        <f>IF(Student­­Performance[[#This Row],[Writing Score]]&gt;=50,"Pass","Fail")</f>
        <v>Pass</v>
      </c>
      <c r="T49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204</v>
      </c>
      <c r="U498" s="4" cm="1">
        <f t="array" ref="U498">IF(COUNT(F498:H498)=0,"", MAX(IF(ISNUMBER(F498:H498),F498:H498)) - MIN(IF(ISNUMBER(F498:H498),F498:H498)))</f>
        <v>10</v>
      </c>
      <c r="V498" s="4" t="str">
        <f>IF(U498="","",IF(U498&gt;25,"Outlier","Normal"))</f>
        <v>Normal</v>
      </c>
    </row>
    <row r="499" spans="1:22" x14ac:dyDescent="0.3">
      <c r="A499" s="1" t="s">
        <v>8</v>
      </c>
      <c r="B499" s="1" t="s">
        <v>13</v>
      </c>
      <c r="C499" s="1" t="s">
        <v>86</v>
      </c>
      <c r="D499" s="1" t="s">
        <v>11</v>
      </c>
      <c r="E499" s="1" t="s">
        <v>15</v>
      </c>
      <c r="F499" s="4">
        <v>59</v>
      </c>
      <c r="G499" s="4">
        <v>73</v>
      </c>
      <c r="H499" s="4">
        <v>72</v>
      </c>
      <c r="I499" s="4">
        <f>AVERAGE(Student­­Performance[[#This Row],[Math Score]],Student­­Performance[[#This Row],[Reading Score]],Student­­Performance[[#This Row],[Writing Score]])</f>
        <v>68</v>
      </c>
      <c r="J499" s="10" t="str">
        <f>IF(Student­­Performance[[#This Row],[Average Score]]&gt;=50,"Pass","Fail")</f>
        <v>Pass</v>
      </c>
      <c r="K49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14</v>
      </c>
      <c r="L49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49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13</v>
      </c>
      <c r="N499" s="4">
        <f>IF(ISNUMBER(Student­­Performance[[#This Row],[Math Score]]),Student­­Performance[[#This Row],[Math Score]],0)</f>
        <v>59</v>
      </c>
      <c r="O499" s="4">
        <f>IF(ISNUMBER(Student­­Performance[[#This Row],[Reading Score]]),Student­­Performance[[#This Row],[Reading Score]],0)</f>
        <v>73</v>
      </c>
      <c r="P499" s="4">
        <f>IF(ISNUMBER(Student­­Performance[[#This Row],[Writing Score]]),Student­­Performance[[#This Row],[Writing Score]],0)</f>
        <v>72</v>
      </c>
      <c r="Q499" s="4" t="str">
        <f>IF(Student­­Performance[[#This Row],[Math Score]]&gt;=50,"Pass","Fail")</f>
        <v>Pass</v>
      </c>
      <c r="R499" s="4" t="str">
        <f>IF(Student­­Performance[[#This Row],[Reading Score]]&gt;=50,"Pass","Fail")</f>
        <v>Pass</v>
      </c>
      <c r="S499" s="4" t="str">
        <f>IF(Student­­Performance[[#This Row],[Writing Score]]&gt;=50,"Pass","Fail")</f>
        <v>Pass</v>
      </c>
      <c r="T49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204</v>
      </c>
      <c r="U499" s="4" cm="1">
        <f t="array" ref="U499">IF(COUNT(F499:H499)=0,"", MAX(IF(ISNUMBER(F499:H499),F499:H499)) - MIN(IF(ISNUMBER(F499:H499),F499:H499)))</f>
        <v>14</v>
      </c>
      <c r="V499" s="4" t="str">
        <f>IF(U499="","",IF(U499&gt;25,"Outlier","Normal"))</f>
        <v>Normal</v>
      </c>
    </row>
    <row r="500" spans="1:22" x14ac:dyDescent="0.3">
      <c r="A500" s="1" t="s">
        <v>8</v>
      </c>
      <c r="B500" s="1" t="s">
        <v>26</v>
      </c>
      <c r="C500" s="1" t="s">
        <v>84</v>
      </c>
      <c r="D500" s="1" t="s">
        <v>11</v>
      </c>
      <c r="E500" s="1" t="s">
        <v>12</v>
      </c>
      <c r="F500" s="4">
        <v>68</v>
      </c>
      <c r="G500" s="4">
        <v>70</v>
      </c>
      <c r="H500" s="4">
        <v>66</v>
      </c>
      <c r="I500" s="4">
        <f>AVERAGE(Student­­Performance[[#This Row],[Math Score]],Student­­Performance[[#This Row],[Reading Score]],Student­­Performance[[#This Row],[Writing Score]])</f>
        <v>68</v>
      </c>
      <c r="J500" s="10" t="str">
        <f>IF(Student­­Performance[[#This Row],[Average Score]]&gt;=50,"Pass","Fail")</f>
        <v>Pass</v>
      </c>
      <c r="K50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50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50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500" s="4">
        <f>IF(ISNUMBER(Student­­Performance[[#This Row],[Math Score]]),Student­­Performance[[#This Row],[Math Score]],0)</f>
        <v>68</v>
      </c>
      <c r="O500" s="4">
        <f>IF(ISNUMBER(Student­­Performance[[#This Row],[Reading Score]]),Student­­Performance[[#This Row],[Reading Score]],0)</f>
        <v>70</v>
      </c>
      <c r="P500" s="4">
        <f>IF(ISNUMBER(Student­­Performance[[#This Row],[Writing Score]]),Student­­Performance[[#This Row],[Writing Score]],0)</f>
        <v>66</v>
      </c>
      <c r="Q500" s="4" t="str">
        <f>IF(Student­­Performance[[#This Row],[Math Score]]&gt;=50,"Pass","Fail")</f>
        <v>Pass</v>
      </c>
      <c r="R500" s="4" t="str">
        <f>IF(Student­­Performance[[#This Row],[Reading Score]]&gt;=50,"Pass","Fail")</f>
        <v>Pass</v>
      </c>
      <c r="S500" s="4" t="str">
        <f>IF(Student­­Performance[[#This Row],[Writing Score]]&gt;=50,"Pass","Fail")</f>
        <v>Pass</v>
      </c>
      <c r="T50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204</v>
      </c>
      <c r="U500" s="4" cm="1">
        <f t="array" ref="U500">IF(COUNT(F500:H500)=0,"", MAX(IF(ISNUMBER(F500:H500),F500:H500)) - MIN(IF(ISNUMBER(F500:H500),F500:H500)))</f>
        <v>4</v>
      </c>
      <c r="V500" s="4" t="str">
        <f>IF(U500="","",IF(U500&gt;25,"Outlier","Normal"))</f>
        <v>Normal</v>
      </c>
    </row>
    <row r="501" spans="1:22" x14ac:dyDescent="0.3">
      <c r="A501" s="1" t="s">
        <v>17</v>
      </c>
      <c r="B501" s="1" t="s">
        <v>21</v>
      </c>
      <c r="C501" s="1" t="s">
        <v>87</v>
      </c>
      <c r="D501" s="1" t="s">
        <v>11</v>
      </c>
      <c r="E501" s="1" t="s">
        <v>12</v>
      </c>
      <c r="F501" s="4">
        <v>72</v>
      </c>
      <c r="G501" s="4">
        <v>66</v>
      </c>
      <c r="H501" s="4">
        <v>66</v>
      </c>
      <c r="I501" s="4">
        <f>AVERAGE(Student­­Performance[[#This Row],[Math Score]],Student­­Performance[[#This Row],[Reading Score]],Student­­Performance[[#This Row],[Writing Score]])</f>
        <v>68</v>
      </c>
      <c r="J501" s="10" t="str">
        <f>IF(Student­­Performance[[#This Row],[Average Score]]&gt;=50,"Pass","Fail")</f>
        <v>Pass</v>
      </c>
      <c r="K50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50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50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501" s="4">
        <f>IF(ISNUMBER(Student­­Performance[[#This Row],[Math Score]]),Student­­Performance[[#This Row],[Math Score]],0)</f>
        <v>72</v>
      </c>
      <c r="O501" s="4">
        <f>IF(ISNUMBER(Student­­Performance[[#This Row],[Reading Score]]),Student­­Performance[[#This Row],[Reading Score]],0)</f>
        <v>66</v>
      </c>
      <c r="P501" s="4">
        <f>IF(ISNUMBER(Student­­Performance[[#This Row],[Writing Score]]),Student­­Performance[[#This Row],[Writing Score]],0)</f>
        <v>66</v>
      </c>
      <c r="Q501" s="4" t="str">
        <f>IF(Student­­Performance[[#This Row],[Math Score]]&gt;=50,"Pass","Fail")</f>
        <v>Pass</v>
      </c>
      <c r="R501" s="4" t="str">
        <f>IF(Student­­Performance[[#This Row],[Reading Score]]&gt;=50,"Pass","Fail")</f>
        <v>Pass</v>
      </c>
      <c r="S501" s="4" t="str">
        <f>IF(Student­­Performance[[#This Row],[Writing Score]]&gt;=50,"Pass","Fail")</f>
        <v>Pass</v>
      </c>
      <c r="T50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204</v>
      </c>
      <c r="U501" s="4" cm="1">
        <f t="array" ref="U501">IF(COUNT(F501:H501)=0,"", MAX(IF(ISNUMBER(F501:H501),F501:H501)) - MIN(IF(ISNUMBER(F501:H501),F501:H501)))</f>
        <v>6</v>
      </c>
      <c r="V501" s="4" t="str">
        <f>IF(U501="","",IF(U501&gt;25,"Outlier","Normal"))</f>
        <v>Normal</v>
      </c>
    </row>
    <row r="502" spans="1:22" x14ac:dyDescent="0.3">
      <c r="A502" s="1" t="s">
        <v>8</v>
      </c>
      <c r="B502" s="1" t="s">
        <v>21</v>
      </c>
      <c r="C502" s="1" t="s">
        <v>84</v>
      </c>
      <c r="D502" s="1" t="s">
        <v>11</v>
      </c>
      <c r="E502" s="1" t="s">
        <v>12</v>
      </c>
      <c r="F502" s="4">
        <v>62</v>
      </c>
      <c r="G502" s="4">
        <v>70</v>
      </c>
      <c r="H502" s="4">
        <v>72</v>
      </c>
      <c r="I502" s="4">
        <f>AVERAGE(Student­­Performance[[#This Row],[Math Score]],Student­­Performance[[#This Row],[Reading Score]],Student­­Performance[[#This Row],[Writing Score]])</f>
        <v>68</v>
      </c>
      <c r="J502" s="10" t="str">
        <f>IF(Student­­Performance[[#This Row],[Average Score]]&gt;=50,"Pass","Fail")</f>
        <v>Pass</v>
      </c>
      <c r="K50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50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50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502" s="4">
        <f>IF(ISNUMBER(Student­­Performance[[#This Row],[Math Score]]),Student­­Performance[[#This Row],[Math Score]],0)</f>
        <v>62</v>
      </c>
      <c r="O502" s="4">
        <f>IF(ISNUMBER(Student­­Performance[[#This Row],[Reading Score]]),Student­­Performance[[#This Row],[Reading Score]],0)</f>
        <v>70</v>
      </c>
      <c r="P502" s="4">
        <f>IF(ISNUMBER(Student­­Performance[[#This Row],[Writing Score]]),Student­­Performance[[#This Row],[Writing Score]],0)</f>
        <v>72</v>
      </c>
      <c r="Q502" s="4" t="str">
        <f>IF(Student­­Performance[[#This Row],[Math Score]]&gt;=50,"Pass","Fail")</f>
        <v>Pass</v>
      </c>
      <c r="R502" s="4" t="str">
        <f>IF(Student­­Performance[[#This Row],[Reading Score]]&gt;=50,"Pass","Fail")</f>
        <v>Pass</v>
      </c>
      <c r="S502" s="4" t="str">
        <f>IF(Student­­Performance[[#This Row],[Writing Score]]&gt;=50,"Pass","Fail")</f>
        <v>Pass</v>
      </c>
      <c r="T50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204</v>
      </c>
      <c r="U502" s="4" cm="1">
        <f t="array" ref="U502">IF(COUNT(F502:H502)=0,"", MAX(IF(ISNUMBER(F502:H502),F502:H502)) - MIN(IF(ISNUMBER(F502:H502),F502:H502)))</f>
        <v>10</v>
      </c>
      <c r="V502" s="4" t="str">
        <f>IF(U502="","",IF(U502&gt;25,"Outlier","Normal"))</f>
        <v>Normal</v>
      </c>
    </row>
    <row r="503" spans="1:22" x14ac:dyDescent="0.3">
      <c r="A503" s="1" t="s">
        <v>17</v>
      </c>
      <c r="B503" s="1" t="s">
        <v>9</v>
      </c>
      <c r="C503" s="1" t="s">
        <v>83</v>
      </c>
      <c r="D503" s="1" t="s">
        <v>11</v>
      </c>
      <c r="E503" s="1" t="s">
        <v>12</v>
      </c>
      <c r="F503" s="4">
        <v>63</v>
      </c>
      <c r="G503" s="4">
        <v>71</v>
      </c>
      <c r="H503" s="4">
        <v>69</v>
      </c>
      <c r="I503" s="4">
        <f>AVERAGE(Student­­Performance[[#This Row],[Math Score]],Student­­Performance[[#This Row],[Reading Score]],Student­­Performance[[#This Row],[Writing Score]])</f>
        <v>67.666666666666671</v>
      </c>
      <c r="J503" s="10" t="str">
        <f>IF(Student­­Performance[[#This Row],[Average Score]]&gt;=50,"Pass","Fail")</f>
        <v>Pass</v>
      </c>
      <c r="K50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50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50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503" s="4">
        <f>IF(ISNUMBER(Student­­Performance[[#This Row],[Math Score]]),Student­­Performance[[#This Row],[Math Score]],0)</f>
        <v>63</v>
      </c>
      <c r="O503" s="4">
        <f>IF(ISNUMBER(Student­­Performance[[#This Row],[Reading Score]]),Student­­Performance[[#This Row],[Reading Score]],0)</f>
        <v>71</v>
      </c>
      <c r="P503" s="4">
        <f>IF(ISNUMBER(Student­­Performance[[#This Row],[Writing Score]]),Student­­Performance[[#This Row],[Writing Score]],0)</f>
        <v>69</v>
      </c>
      <c r="Q503" s="4" t="str">
        <f>IF(Student­­Performance[[#This Row],[Math Score]]&gt;=50,"Pass","Fail")</f>
        <v>Pass</v>
      </c>
      <c r="R503" s="4" t="str">
        <f>IF(Student­­Performance[[#This Row],[Reading Score]]&gt;=50,"Pass","Fail")</f>
        <v>Pass</v>
      </c>
      <c r="S503" s="4" t="str">
        <f>IF(Student­­Performance[[#This Row],[Writing Score]]&gt;=50,"Pass","Fail")</f>
        <v>Pass</v>
      </c>
      <c r="T50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203</v>
      </c>
      <c r="U503" s="4" cm="1">
        <f t="array" ref="U503">IF(COUNT(F503:H503)=0,"", MAX(IF(ISNUMBER(F503:H503),F503:H503)) - MIN(IF(ISNUMBER(F503:H503),F503:H503)))</f>
        <v>8</v>
      </c>
      <c r="V503" s="4" t="str">
        <f>IF(U503="","",IF(U503&gt;25,"Outlier","Normal"))</f>
        <v>Normal</v>
      </c>
    </row>
    <row r="504" spans="1:22" x14ac:dyDescent="0.3">
      <c r="A504" s="1" t="s">
        <v>8</v>
      </c>
      <c r="B504" s="1" t="s">
        <v>13</v>
      </c>
      <c r="C504" s="1" t="s">
        <v>87</v>
      </c>
      <c r="D504" s="1" t="s">
        <v>11</v>
      </c>
      <c r="E504" s="1" t="s">
        <v>12</v>
      </c>
      <c r="F504" s="4">
        <v>61</v>
      </c>
      <c r="G504" s="4">
        <v>72</v>
      </c>
      <c r="H504" s="4">
        <v>70</v>
      </c>
      <c r="I504" s="4">
        <f>AVERAGE(Student­­Performance[[#This Row],[Math Score]],Student­­Performance[[#This Row],[Reading Score]],Student­­Performance[[#This Row],[Writing Score]])</f>
        <v>67.666666666666671</v>
      </c>
      <c r="J504" s="10" t="str">
        <f>IF(Student­­Performance[[#This Row],[Average Score]]&gt;=50,"Pass","Fail")</f>
        <v>Pass</v>
      </c>
      <c r="K50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50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50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504" s="4">
        <f>IF(ISNUMBER(Student­­Performance[[#This Row],[Math Score]]),Student­­Performance[[#This Row],[Math Score]],0)</f>
        <v>61</v>
      </c>
      <c r="O504" s="4">
        <f>IF(ISNUMBER(Student­­Performance[[#This Row],[Reading Score]]),Student­­Performance[[#This Row],[Reading Score]],0)</f>
        <v>72</v>
      </c>
      <c r="P504" s="4">
        <f>IF(ISNUMBER(Student­­Performance[[#This Row],[Writing Score]]),Student­­Performance[[#This Row],[Writing Score]],0)</f>
        <v>70</v>
      </c>
      <c r="Q504" s="4" t="str">
        <f>IF(Student­­Performance[[#This Row],[Math Score]]&gt;=50,"Pass","Fail")</f>
        <v>Pass</v>
      </c>
      <c r="R504" s="4" t="str">
        <f>IF(Student­­Performance[[#This Row],[Reading Score]]&gt;=50,"Pass","Fail")</f>
        <v>Pass</v>
      </c>
      <c r="S504" s="4" t="str">
        <f>IF(Student­­Performance[[#This Row],[Writing Score]]&gt;=50,"Pass","Fail")</f>
        <v>Pass</v>
      </c>
      <c r="T50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203</v>
      </c>
      <c r="U504" s="4" cm="1">
        <f t="array" ref="U504">IF(COUNT(F504:H504)=0,"", MAX(IF(ISNUMBER(F504:H504),F504:H504)) - MIN(IF(ISNUMBER(F504:H504),F504:H504)))</f>
        <v>11</v>
      </c>
      <c r="V504" s="4" t="str">
        <f>IF(U504="","",IF(U504&gt;25,"Outlier","Normal"))</f>
        <v>Normal</v>
      </c>
    </row>
    <row r="505" spans="1:22" x14ac:dyDescent="0.3">
      <c r="A505" s="1" t="s">
        <v>8</v>
      </c>
      <c r="B505" s="1" t="s">
        <v>9</v>
      </c>
      <c r="C505" s="1" t="s">
        <v>88</v>
      </c>
      <c r="D505" s="1" t="s">
        <v>11</v>
      </c>
      <c r="E505" s="1" t="s">
        <v>12</v>
      </c>
      <c r="F505" s="4">
        <v>66</v>
      </c>
      <c r="G505" s="4">
        <v>69</v>
      </c>
      <c r="H505" s="4">
        <v>68</v>
      </c>
      <c r="I505" s="4">
        <f>AVERAGE(Student­­Performance[[#This Row],[Math Score]],Student­­Performance[[#This Row],[Reading Score]],Student­­Performance[[#This Row],[Writing Score]])</f>
        <v>67.666666666666671</v>
      </c>
      <c r="J505" s="10" t="str">
        <f>IF(Student­­Performance[[#This Row],[Average Score]]&gt;=50,"Pass","Fail")</f>
        <v>Pass</v>
      </c>
      <c r="K50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50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50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505" s="4">
        <f>IF(ISNUMBER(Student­­Performance[[#This Row],[Math Score]]),Student­­Performance[[#This Row],[Math Score]],0)</f>
        <v>66</v>
      </c>
      <c r="O505" s="4">
        <f>IF(ISNUMBER(Student­­Performance[[#This Row],[Reading Score]]),Student­­Performance[[#This Row],[Reading Score]],0)</f>
        <v>69</v>
      </c>
      <c r="P505" s="4">
        <f>IF(ISNUMBER(Student­­Performance[[#This Row],[Writing Score]]),Student­­Performance[[#This Row],[Writing Score]],0)</f>
        <v>68</v>
      </c>
      <c r="Q505" s="4" t="str">
        <f>IF(Student­­Performance[[#This Row],[Math Score]]&gt;=50,"Pass","Fail")</f>
        <v>Pass</v>
      </c>
      <c r="R505" s="4" t="str">
        <f>IF(Student­­Performance[[#This Row],[Reading Score]]&gt;=50,"Pass","Fail")</f>
        <v>Pass</v>
      </c>
      <c r="S505" s="4" t="str">
        <f>IF(Student­­Performance[[#This Row],[Writing Score]]&gt;=50,"Pass","Fail")</f>
        <v>Pass</v>
      </c>
      <c r="T50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203</v>
      </c>
      <c r="U505" s="4" cm="1">
        <f t="array" ref="U505">IF(COUNT(F505:H505)=0,"", MAX(IF(ISNUMBER(F505:H505),F505:H505)) - MIN(IF(ISNUMBER(F505:H505),F505:H505)))</f>
        <v>3</v>
      </c>
      <c r="V505" s="4" t="str">
        <f>IF(U505="","",IF(U505&gt;25,"Outlier","Normal"))</f>
        <v>Normal</v>
      </c>
    </row>
    <row r="506" spans="1:22" x14ac:dyDescent="0.3">
      <c r="A506" s="1" t="s">
        <v>17</v>
      </c>
      <c r="B506" s="1" t="s">
        <v>13</v>
      </c>
      <c r="C506" s="1" t="s">
        <v>87</v>
      </c>
      <c r="D506" s="1" t="s">
        <v>11</v>
      </c>
      <c r="E506" s="1" t="s">
        <v>15</v>
      </c>
      <c r="F506" s="4">
        <v>72</v>
      </c>
      <c r="G506" s="4">
        <v>67</v>
      </c>
      <c r="H506" s="4">
        <v>64</v>
      </c>
      <c r="I506" s="4">
        <f>AVERAGE(Student­­Performance[[#This Row],[Math Score]],Student­­Performance[[#This Row],[Reading Score]],Student­­Performance[[#This Row],[Writing Score]])</f>
        <v>67.666666666666671</v>
      </c>
      <c r="J506" s="10" t="str">
        <f>IF(Student­­Performance[[#This Row],[Average Score]]&gt;=50,"Pass","Fail")</f>
        <v>Pass</v>
      </c>
      <c r="K50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50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50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506" s="4">
        <f>IF(ISNUMBER(Student­­Performance[[#This Row],[Math Score]]),Student­­Performance[[#This Row],[Math Score]],0)</f>
        <v>72</v>
      </c>
      <c r="O506" s="4">
        <f>IF(ISNUMBER(Student­­Performance[[#This Row],[Reading Score]]),Student­­Performance[[#This Row],[Reading Score]],0)</f>
        <v>67</v>
      </c>
      <c r="P506" s="4">
        <f>IF(ISNUMBER(Student­­Performance[[#This Row],[Writing Score]]),Student­­Performance[[#This Row],[Writing Score]],0)</f>
        <v>64</v>
      </c>
      <c r="Q506" s="4" t="str">
        <f>IF(Student­­Performance[[#This Row],[Math Score]]&gt;=50,"Pass","Fail")</f>
        <v>Pass</v>
      </c>
      <c r="R506" s="4" t="str">
        <f>IF(Student­­Performance[[#This Row],[Reading Score]]&gt;=50,"Pass","Fail")</f>
        <v>Pass</v>
      </c>
      <c r="S506" s="4" t="str">
        <f>IF(Student­­Performance[[#This Row],[Writing Score]]&gt;=50,"Pass","Fail")</f>
        <v>Pass</v>
      </c>
      <c r="T50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203</v>
      </c>
      <c r="U506" s="4" cm="1">
        <f t="array" ref="U506">IF(COUNT(F506:H506)=0,"", MAX(IF(ISNUMBER(F506:H506),F506:H506)) - MIN(IF(ISNUMBER(F506:H506),F506:H506)))</f>
        <v>8</v>
      </c>
      <c r="V506" s="4" t="str">
        <f>IF(U506="","",IF(U506&gt;25,"Outlier","Normal"))</f>
        <v>Normal</v>
      </c>
    </row>
    <row r="507" spans="1:22" x14ac:dyDescent="0.3">
      <c r="A507" s="1" t="s">
        <v>17</v>
      </c>
      <c r="B507" s="1" t="s">
        <v>21</v>
      </c>
      <c r="C507" s="1" t="s">
        <v>84</v>
      </c>
      <c r="D507" s="1" t="s">
        <v>20</v>
      </c>
      <c r="E507" s="1" t="s">
        <v>12</v>
      </c>
      <c r="F507" s="4">
        <v>77</v>
      </c>
      <c r="G507" s="4">
        <v>62</v>
      </c>
      <c r="H507" s="4">
        <v>64</v>
      </c>
      <c r="I507" s="4">
        <f>AVERAGE(Student­­Performance[[#This Row],[Math Score]],Student­­Performance[[#This Row],[Reading Score]],Student­­Performance[[#This Row],[Writing Score]])</f>
        <v>67.666666666666671</v>
      </c>
      <c r="J507" s="10" t="str">
        <f>IF(Student­­Performance[[#This Row],[Average Score]]&gt;=50,"Pass","Fail")</f>
        <v>Pass</v>
      </c>
      <c r="K50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-15</v>
      </c>
      <c r="L50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50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-13</v>
      </c>
      <c r="N507" s="4">
        <f>IF(ISNUMBER(Student­­Performance[[#This Row],[Math Score]]),Student­­Performance[[#This Row],[Math Score]],0)</f>
        <v>77</v>
      </c>
      <c r="O507" s="4">
        <f>IF(ISNUMBER(Student­­Performance[[#This Row],[Reading Score]]),Student­­Performance[[#This Row],[Reading Score]],0)</f>
        <v>62</v>
      </c>
      <c r="P507" s="4">
        <f>IF(ISNUMBER(Student­­Performance[[#This Row],[Writing Score]]),Student­­Performance[[#This Row],[Writing Score]],0)</f>
        <v>64</v>
      </c>
      <c r="Q507" s="4" t="str">
        <f>IF(Student­­Performance[[#This Row],[Math Score]]&gt;=50,"Pass","Fail")</f>
        <v>Pass</v>
      </c>
      <c r="R507" s="4" t="str">
        <f>IF(Student­­Performance[[#This Row],[Reading Score]]&gt;=50,"Pass","Fail")</f>
        <v>Pass</v>
      </c>
      <c r="S507" s="4" t="str">
        <f>IF(Student­­Performance[[#This Row],[Writing Score]]&gt;=50,"Pass","Fail")</f>
        <v>Pass</v>
      </c>
      <c r="T50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203</v>
      </c>
      <c r="U507" s="4" cm="1">
        <f t="array" ref="U507">IF(COUNT(F507:H507)=0,"", MAX(IF(ISNUMBER(F507:H507),F507:H507)) - MIN(IF(ISNUMBER(F507:H507),F507:H507)))</f>
        <v>15</v>
      </c>
      <c r="V507" s="4" t="str">
        <f>IF(U507="","",IF(U507&gt;25,"Outlier","Normal"))</f>
        <v>Normal</v>
      </c>
    </row>
    <row r="508" spans="1:22" x14ac:dyDescent="0.3">
      <c r="A508" s="1" t="s">
        <v>17</v>
      </c>
      <c r="B508" s="1" t="s">
        <v>21</v>
      </c>
      <c r="C508" s="1" t="s">
        <v>83</v>
      </c>
      <c r="D508" s="1" t="s">
        <v>20</v>
      </c>
      <c r="E508" s="1" t="s">
        <v>12</v>
      </c>
      <c r="F508" s="4">
        <v>68</v>
      </c>
      <c r="G508" s="4">
        <v>68</v>
      </c>
      <c r="H508" s="4">
        <v>67</v>
      </c>
      <c r="I508" s="4">
        <f>AVERAGE(Student­­Performance[[#This Row],[Math Score]],Student­­Performance[[#This Row],[Reading Score]],Student­­Performance[[#This Row],[Writing Score]])</f>
        <v>67.666666666666671</v>
      </c>
      <c r="J508" s="10" t="str">
        <f>IF(Student­­Performance[[#This Row],[Average Score]]&gt;=50,"Pass","Fail")</f>
        <v>Pass</v>
      </c>
      <c r="K50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50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50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508" s="4">
        <f>IF(ISNUMBER(Student­­Performance[[#This Row],[Math Score]]),Student­­Performance[[#This Row],[Math Score]],0)</f>
        <v>68</v>
      </c>
      <c r="O508" s="4">
        <f>IF(ISNUMBER(Student­­Performance[[#This Row],[Reading Score]]),Student­­Performance[[#This Row],[Reading Score]],0)</f>
        <v>68</v>
      </c>
      <c r="P508" s="4">
        <f>IF(ISNUMBER(Student­­Performance[[#This Row],[Writing Score]]),Student­­Performance[[#This Row],[Writing Score]],0)</f>
        <v>67</v>
      </c>
      <c r="Q508" s="4" t="str">
        <f>IF(Student­­Performance[[#This Row],[Math Score]]&gt;=50,"Pass","Fail")</f>
        <v>Pass</v>
      </c>
      <c r="R508" s="4" t="str">
        <f>IF(Student­­Performance[[#This Row],[Reading Score]]&gt;=50,"Pass","Fail")</f>
        <v>Pass</v>
      </c>
      <c r="S508" s="4" t="str">
        <f>IF(Student­­Performance[[#This Row],[Writing Score]]&gt;=50,"Pass","Fail")</f>
        <v>Pass</v>
      </c>
      <c r="T50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203</v>
      </c>
      <c r="U508" s="4" cm="1">
        <f t="array" ref="U508">IF(COUNT(F508:H508)=0,"", MAX(IF(ISNUMBER(F508:H508),F508:H508)) - MIN(IF(ISNUMBER(F508:H508),F508:H508)))</f>
        <v>1</v>
      </c>
      <c r="V508" s="4" t="str">
        <f>IF(U508="","",IF(U508&gt;25,"Outlier","Normal"))</f>
        <v>Normal</v>
      </c>
    </row>
    <row r="509" spans="1:22" x14ac:dyDescent="0.3">
      <c r="A509" s="1" t="s">
        <v>17</v>
      </c>
      <c r="B509" s="1" t="s">
        <v>13</v>
      </c>
      <c r="C509" s="1" t="s">
        <v>87</v>
      </c>
      <c r="D509" s="1" t="s">
        <v>11</v>
      </c>
      <c r="E509" s="1" t="s">
        <v>12</v>
      </c>
      <c r="F509" s="4">
        <v>71</v>
      </c>
      <c r="G509" s="4">
        <v>66</v>
      </c>
      <c r="H509" s="4">
        <v>65</v>
      </c>
      <c r="I509" s="4">
        <f>AVERAGE(Student­­Performance[[#This Row],[Math Score]],Student­­Performance[[#This Row],[Reading Score]],Student­­Performance[[#This Row],[Writing Score]])</f>
        <v>67.333333333333329</v>
      </c>
      <c r="J509" s="10" t="str">
        <f>IF(Student­­Performance[[#This Row],[Average Score]]&gt;=50,"Pass","Fail")</f>
        <v>Pass</v>
      </c>
      <c r="K50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50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50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509" s="4">
        <f>IF(ISNUMBER(Student­­Performance[[#This Row],[Math Score]]),Student­­Performance[[#This Row],[Math Score]],0)</f>
        <v>71</v>
      </c>
      <c r="O509" s="4">
        <f>IF(ISNUMBER(Student­­Performance[[#This Row],[Reading Score]]),Student­­Performance[[#This Row],[Reading Score]],0)</f>
        <v>66</v>
      </c>
      <c r="P509" s="4">
        <f>IF(ISNUMBER(Student­­Performance[[#This Row],[Writing Score]]),Student­­Performance[[#This Row],[Writing Score]],0)</f>
        <v>65</v>
      </c>
      <c r="Q509" s="4" t="str">
        <f>IF(Student­­Performance[[#This Row],[Math Score]]&gt;=50,"Pass","Fail")</f>
        <v>Pass</v>
      </c>
      <c r="R509" s="4" t="str">
        <f>IF(Student­­Performance[[#This Row],[Reading Score]]&gt;=50,"Pass","Fail")</f>
        <v>Pass</v>
      </c>
      <c r="S509" s="4" t="str">
        <f>IF(Student­­Performance[[#This Row],[Writing Score]]&gt;=50,"Pass","Fail")</f>
        <v>Pass</v>
      </c>
      <c r="T50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202</v>
      </c>
      <c r="U509" s="4" cm="1">
        <f t="array" ref="U509">IF(COUNT(F509:H509)=0,"", MAX(IF(ISNUMBER(F509:H509),F509:H509)) - MIN(IF(ISNUMBER(F509:H509),F509:H509)))</f>
        <v>6</v>
      </c>
      <c r="V509" s="4" t="str">
        <f>IF(U509="","",IF(U509&gt;25,"Outlier","Normal"))</f>
        <v>Normal</v>
      </c>
    </row>
    <row r="510" spans="1:22" x14ac:dyDescent="0.3">
      <c r="A510" s="1" t="s">
        <v>8</v>
      </c>
      <c r="B510" s="1" t="s">
        <v>21</v>
      </c>
      <c r="C510" s="1" t="s">
        <v>83</v>
      </c>
      <c r="D510" s="1" t="s">
        <v>11</v>
      </c>
      <c r="E510" s="1" t="s">
        <v>12</v>
      </c>
      <c r="F510" s="4">
        <v>59</v>
      </c>
      <c r="G510" s="4">
        <v>70</v>
      </c>
      <c r="H510" s="4">
        <v>73</v>
      </c>
      <c r="I510" s="4">
        <f>AVERAGE(Student­­Performance[[#This Row],[Math Score]],Student­­Performance[[#This Row],[Reading Score]],Student­­Performance[[#This Row],[Writing Score]])</f>
        <v>67.333333333333329</v>
      </c>
      <c r="J510" s="10" t="str">
        <f>IF(Student­­Performance[[#This Row],[Average Score]]&gt;=50,"Pass","Fail")</f>
        <v>Pass</v>
      </c>
      <c r="K51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51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51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14</v>
      </c>
      <c r="N510" s="4">
        <f>IF(ISNUMBER(Student­­Performance[[#This Row],[Math Score]]),Student­­Performance[[#This Row],[Math Score]],0)</f>
        <v>59</v>
      </c>
      <c r="O510" s="4">
        <f>IF(ISNUMBER(Student­­Performance[[#This Row],[Reading Score]]),Student­­Performance[[#This Row],[Reading Score]],0)</f>
        <v>70</v>
      </c>
      <c r="P510" s="4">
        <f>IF(ISNUMBER(Student­­Performance[[#This Row],[Writing Score]]),Student­­Performance[[#This Row],[Writing Score]],0)</f>
        <v>73</v>
      </c>
      <c r="Q510" s="4" t="str">
        <f>IF(Student­­Performance[[#This Row],[Math Score]]&gt;=50,"Pass","Fail")</f>
        <v>Pass</v>
      </c>
      <c r="R510" s="4" t="str">
        <f>IF(Student­­Performance[[#This Row],[Reading Score]]&gt;=50,"Pass","Fail")</f>
        <v>Pass</v>
      </c>
      <c r="S510" s="4" t="str">
        <f>IF(Student­­Performance[[#This Row],[Writing Score]]&gt;=50,"Pass","Fail")</f>
        <v>Pass</v>
      </c>
      <c r="T51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202</v>
      </c>
      <c r="U510" s="4" cm="1">
        <f t="array" ref="U510">IF(COUNT(F510:H510)=0,"", MAX(IF(ISNUMBER(F510:H510),F510:H510)) - MIN(IF(ISNUMBER(F510:H510),F510:H510)))</f>
        <v>14</v>
      </c>
      <c r="V510" s="4" t="str">
        <f>IF(U510="","",IF(U510&gt;25,"Outlier","Normal"))</f>
        <v>Normal</v>
      </c>
    </row>
    <row r="511" spans="1:22" x14ac:dyDescent="0.3">
      <c r="A511" s="1" t="s">
        <v>8</v>
      </c>
      <c r="B511" s="1" t="s">
        <v>13</v>
      </c>
      <c r="C511" s="1" t="s">
        <v>86</v>
      </c>
      <c r="D511" s="1" t="s">
        <v>20</v>
      </c>
      <c r="E511" s="1" t="s">
        <v>12</v>
      </c>
      <c r="F511" s="4">
        <v>57</v>
      </c>
      <c r="G511" s="4">
        <v>78</v>
      </c>
      <c r="H511" s="4">
        <v>67</v>
      </c>
      <c r="I511" s="4">
        <f>AVERAGE(Student­­Performance[[#This Row],[Math Score]],Student­­Performance[[#This Row],[Reading Score]],Student­­Performance[[#This Row],[Writing Score]])</f>
        <v>67.333333333333329</v>
      </c>
      <c r="J511" s="10" t="str">
        <f>IF(Student­­Performance[[#This Row],[Average Score]]&gt;=50,"Pass","Fail")</f>
        <v>Pass</v>
      </c>
      <c r="K51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21</v>
      </c>
      <c r="L51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-11</v>
      </c>
      <c r="M51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511" s="4">
        <f>IF(ISNUMBER(Student­­Performance[[#This Row],[Math Score]]),Student­­Performance[[#This Row],[Math Score]],0)</f>
        <v>57</v>
      </c>
      <c r="O511" s="4">
        <f>IF(ISNUMBER(Student­­Performance[[#This Row],[Reading Score]]),Student­­Performance[[#This Row],[Reading Score]],0)</f>
        <v>78</v>
      </c>
      <c r="P511" s="4">
        <f>IF(ISNUMBER(Student­­Performance[[#This Row],[Writing Score]]),Student­­Performance[[#This Row],[Writing Score]],0)</f>
        <v>67</v>
      </c>
      <c r="Q511" s="4" t="str">
        <f>IF(Student­­Performance[[#This Row],[Math Score]]&gt;=50,"Pass","Fail")</f>
        <v>Pass</v>
      </c>
      <c r="R511" s="4" t="str">
        <f>IF(Student­­Performance[[#This Row],[Reading Score]]&gt;=50,"Pass","Fail")</f>
        <v>Pass</v>
      </c>
      <c r="S511" s="4" t="str">
        <f>IF(Student­­Performance[[#This Row],[Writing Score]]&gt;=50,"Pass","Fail")</f>
        <v>Pass</v>
      </c>
      <c r="T51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202</v>
      </c>
      <c r="U511" s="4" cm="1">
        <f t="array" ref="U511">IF(COUNT(F511:H511)=0,"", MAX(IF(ISNUMBER(F511:H511),F511:H511)) - MIN(IF(ISNUMBER(F511:H511),F511:H511)))</f>
        <v>21</v>
      </c>
      <c r="V511" s="4" t="str">
        <f>IF(U511="","",IF(U511&gt;25,"Outlier","Normal"))</f>
        <v>Normal</v>
      </c>
    </row>
    <row r="512" spans="1:22" x14ac:dyDescent="0.3">
      <c r="A512" s="1" t="s">
        <v>17</v>
      </c>
      <c r="B512" s="1" t="s">
        <v>9</v>
      </c>
      <c r="C512" s="1" t="s">
        <v>86</v>
      </c>
      <c r="D512" s="1" t="s">
        <v>20</v>
      </c>
      <c r="E512" s="1" t="s">
        <v>15</v>
      </c>
      <c r="F512" s="4">
        <v>69</v>
      </c>
      <c r="G512" s="4">
        <v>70</v>
      </c>
      <c r="H512" s="4">
        <v>63</v>
      </c>
      <c r="I512" s="4">
        <f>AVERAGE(Student­­Performance[[#This Row],[Math Score]],Student­­Performance[[#This Row],[Reading Score]],Student­­Performance[[#This Row],[Writing Score]])</f>
        <v>67.333333333333329</v>
      </c>
      <c r="J512" s="10" t="str">
        <f>IF(Student­­Performance[[#This Row],[Average Score]]&gt;=50,"Pass","Fail")</f>
        <v>Pass</v>
      </c>
      <c r="K51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51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51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512" s="4">
        <f>IF(ISNUMBER(Student­­Performance[[#This Row],[Math Score]]),Student­­Performance[[#This Row],[Math Score]],0)</f>
        <v>69</v>
      </c>
      <c r="O512" s="4">
        <f>IF(ISNUMBER(Student­­Performance[[#This Row],[Reading Score]]),Student­­Performance[[#This Row],[Reading Score]],0)</f>
        <v>70</v>
      </c>
      <c r="P512" s="4">
        <f>IF(ISNUMBER(Student­­Performance[[#This Row],[Writing Score]]),Student­­Performance[[#This Row],[Writing Score]],0)</f>
        <v>63</v>
      </c>
      <c r="Q512" s="4" t="str">
        <f>IF(Student­­Performance[[#This Row],[Math Score]]&gt;=50,"Pass","Fail")</f>
        <v>Pass</v>
      </c>
      <c r="R512" s="4" t="str">
        <f>IF(Student­­Performance[[#This Row],[Reading Score]]&gt;=50,"Pass","Fail")</f>
        <v>Pass</v>
      </c>
      <c r="S512" s="4" t="str">
        <f>IF(Student­­Performance[[#This Row],[Writing Score]]&gt;=50,"Pass","Fail")</f>
        <v>Pass</v>
      </c>
      <c r="T51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202</v>
      </c>
      <c r="U512" s="4" cm="1">
        <f t="array" ref="U512">IF(COUNT(F512:H512)=0,"", MAX(IF(ISNUMBER(F512:H512),F512:H512)) - MIN(IF(ISNUMBER(F512:H512),F512:H512)))</f>
        <v>7</v>
      </c>
      <c r="V512" s="4" t="str">
        <f>IF(U512="","",IF(U512&gt;25,"Outlier","Normal"))</f>
        <v>Normal</v>
      </c>
    </row>
    <row r="513" spans="1:22" x14ac:dyDescent="0.3">
      <c r="A513" s="1" t="s">
        <v>17</v>
      </c>
      <c r="B513" s="1" t="s">
        <v>13</v>
      </c>
      <c r="C513" s="1" t="s">
        <v>88</v>
      </c>
      <c r="D513" s="1" t="s">
        <v>11</v>
      </c>
      <c r="E513" s="1" t="s">
        <v>12</v>
      </c>
      <c r="F513" s="4">
        <v>73</v>
      </c>
      <c r="G513" s="4">
        <v>66</v>
      </c>
      <c r="H513" s="4">
        <v>63</v>
      </c>
      <c r="I513" s="4">
        <f>AVERAGE(Student­­Performance[[#This Row],[Math Score]],Student­­Performance[[#This Row],[Reading Score]],Student­­Performance[[#This Row],[Writing Score]])</f>
        <v>67.333333333333329</v>
      </c>
      <c r="J513" s="10" t="str">
        <f>IF(Student­­Performance[[#This Row],[Average Score]]&gt;=50,"Pass","Fail")</f>
        <v>Pass</v>
      </c>
      <c r="K51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-7</v>
      </c>
      <c r="L51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51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-10</v>
      </c>
      <c r="N513" s="4">
        <f>IF(ISNUMBER(Student­­Performance[[#This Row],[Math Score]]),Student­­Performance[[#This Row],[Math Score]],0)</f>
        <v>73</v>
      </c>
      <c r="O513" s="4">
        <f>IF(ISNUMBER(Student­­Performance[[#This Row],[Reading Score]]),Student­­Performance[[#This Row],[Reading Score]],0)</f>
        <v>66</v>
      </c>
      <c r="P513" s="4">
        <f>IF(ISNUMBER(Student­­Performance[[#This Row],[Writing Score]]),Student­­Performance[[#This Row],[Writing Score]],0)</f>
        <v>63</v>
      </c>
      <c r="Q513" s="4" t="str">
        <f>IF(Student­­Performance[[#This Row],[Math Score]]&gt;=50,"Pass","Fail")</f>
        <v>Pass</v>
      </c>
      <c r="R513" s="4" t="str">
        <f>IF(Student­­Performance[[#This Row],[Reading Score]]&gt;=50,"Pass","Fail")</f>
        <v>Pass</v>
      </c>
      <c r="S513" s="4" t="str">
        <f>IF(Student­­Performance[[#This Row],[Writing Score]]&gt;=50,"Pass","Fail")</f>
        <v>Pass</v>
      </c>
      <c r="T51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202</v>
      </c>
      <c r="U513" s="4" cm="1">
        <f t="array" ref="U513">IF(COUNT(F513:H513)=0,"", MAX(IF(ISNUMBER(F513:H513),F513:H513)) - MIN(IF(ISNUMBER(F513:H513),F513:H513)))</f>
        <v>10</v>
      </c>
      <c r="V513" s="4" t="str">
        <f>IF(U513="","",IF(U513&gt;25,"Outlier","Normal"))</f>
        <v>Normal</v>
      </c>
    </row>
    <row r="514" spans="1:22" x14ac:dyDescent="0.3">
      <c r="A514" s="1" t="s">
        <v>17</v>
      </c>
      <c r="B514" s="1" t="s">
        <v>21</v>
      </c>
      <c r="C514" s="1" t="s">
        <v>84</v>
      </c>
      <c r="D514" s="1" t="s">
        <v>11</v>
      </c>
      <c r="E514" s="1" t="s">
        <v>15</v>
      </c>
      <c r="F514" s="4">
        <v>71</v>
      </c>
      <c r="G514" s="4">
        <v>61</v>
      </c>
      <c r="H514" s="4">
        <v>69</v>
      </c>
      <c r="I514" s="4">
        <f>AVERAGE(Student­­Performance[[#This Row],[Math Score]],Student­­Performance[[#This Row],[Reading Score]],Student­­Performance[[#This Row],[Writing Score]])</f>
        <v>67</v>
      </c>
      <c r="J514" s="10" t="str">
        <f>IF(Student­­Performance[[#This Row],[Average Score]]&gt;=50,"Pass","Fail")</f>
        <v>Pass</v>
      </c>
      <c r="K51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-10</v>
      </c>
      <c r="L51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8</v>
      </c>
      <c r="M51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514" s="4">
        <f>IF(ISNUMBER(Student­­Performance[[#This Row],[Math Score]]),Student­­Performance[[#This Row],[Math Score]],0)</f>
        <v>71</v>
      </c>
      <c r="O514" s="4">
        <f>IF(ISNUMBER(Student­­Performance[[#This Row],[Reading Score]]),Student­­Performance[[#This Row],[Reading Score]],0)</f>
        <v>61</v>
      </c>
      <c r="P514" s="4">
        <f>IF(ISNUMBER(Student­­Performance[[#This Row],[Writing Score]]),Student­­Performance[[#This Row],[Writing Score]],0)</f>
        <v>69</v>
      </c>
      <c r="Q514" s="4" t="str">
        <f>IF(Student­­Performance[[#This Row],[Math Score]]&gt;=50,"Pass","Fail")</f>
        <v>Pass</v>
      </c>
      <c r="R514" s="4" t="str">
        <f>IF(Student­­Performance[[#This Row],[Reading Score]]&gt;=50,"Pass","Fail")</f>
        <v>Pass</v>
      </c>
      <c r="S514" s="4" t="str">
        <f>IF(Student­­Performance[[#This Row],[Writing Score]]&gt;=50,"Pass","Fail")</f>
        <v>Pass</v>
      </c>
      <c r="T51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201</v>
      </c>
      <c r="U514" s="4" cm="1">
        <f t="array" ref="U514">IF(COUNT(F514:H514)=0,"", MAX(IF(ISNUMBER(F514:H514),F514:H514)) - MIN(IF(ISNUMBER(F514:H514),F514:H514)))</f>
        <v>10</v>
      </c>
      <c r="V514" s="4" t="str">
        <f>IF(U514="","",IF(U514&gt;25,"Outlier","Normal"))</f>
        <v>Normal</v>
      </c>
    </row>
    <row r="515" spans="1:22" x14ac:dyDescent="0.3">
      <c r="A515" s="1" t="s">
        <v>17</v>
      </c>
      <c r="B515" s="1" t="s">
        <v>21</v>
      </c>
      <c r="C515" s="1" t="s">
        <v>84</v>
      </c>
      <c r="D515" s="1" t="s">
        <v>11</v>
      </c>
      <c r="E515" s="1" t="s">
        <v>15</v>
      </c>
      <c r="F515" s="4">
        <v>77</v>
      </c>
      <c r="G515" s="4">
        <v>62</v>
      </c>
      <c r="H515" s="4">
        <v>62</v>
      </c>
      <c r="I515" s="4">
        <f>AVERAGE(Student­­Performance[[#This Row],[Math Score]],Student­­Performance[[#This Row],[Reading Score]],Student­­Performance[[#This Row],[Writing Score]])</f>
        <v>67</v>
      </c>
      <c r="J515" s="10" t="str">
        <f>IF(Student­­Performance[[#This Row],[Average Score]]&gt;=50,"Pass","Fail")</f>
        <v>Pass</v>
      </c>
      <c r="K51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-15</v>
      </c>
      <c r="L51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51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-15</v>
      </c>
      <c r="N515" s="4">
        <f>IF(ISNUMBER(Student­­Performance[[#This Row],[Math Score]]),Student­­Performance[[#This Row],[Math Score]],0)</f>
        <v>77</v>
      </c>
      <c r="O515" s="4">
        <f>IF(ISNUMBER(Student­­Performance[[#This Row],[Reading Score]]),Student­­Performance[[#This Row],[Reading Score]],0)</f>
        <v>62</v>
      </c>
      <c r="P515" s="4">
        <f>IF(ISNUMBER(Student­­Performance[[#This Row],[Writing Score]]),Student­­Performance[[#This Row],[Writing Score]],0)</f>
        <v>62</v>
      </c>
      <c r="Q515" s="4" t="str">
        <f>IF(Student­­Performance[[#This Row],[Math Score]]&gt;=50,"Pass","Fail")</f>
        <v>Pass</v>
      </c>
      <c r="R515" s="4" t="str">
        <f>IF(Student­­Performance[[#This Row],[Reading Score]]&gt;=50,"Pass","Fail")</f>
        <v>Pass</v>
      </c>
      <c r="S515" s="4" t="str">
        <f>IF(Student­­Performance[[#This Row],[Writing Score]]&gt;=50,"Pass","Fail")</f>
        <v>Pass</v>
      </c>
      <c r="T51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201</v>
      </c>
      <c r="U515" s="4" cm="1">
        <f t="array" ref="U515">IF(COUNT(F515:H515)=0,"", MAX(IF(ISNUMBER(F515:H515),F515:H515)) - MIN(IF(ISNUMBER(F515:H515),F515:H515)))</f>
        <v>15</v>
      </c>
      <c r="V515" s="4" t="str">
        <f>IF(U515="","",IF(U515&gt;25,"Outlier","Normal"))</f>
        <v>Normal</v>
      </c>
    </row>
    <row r="516" spans="1:22" x14ac:dyDescent="0.3">
      <c r="A516" s="1" t="s">
        <v>8</v>
      </c>
      <c r="B516" s="1" t="s">
        <v>18</v>
      </c>
      <c r="C516" s="1" t="s">
        <v>88</v>
      </c>
      <c r="D516" s="1" t="s">
        <v>20</v>
      </c>
      <c r="E516" s="1" t="s">
        <v>12</v>
      </c>
      <c r="F516" s="4">
        <v>59</v>
      </c>
      <c r="G516" s="4">
        <v>73</v>
      </c>
      <c r="H516" s="4">
        <v>69</v>
      </c>
      <c r="I516" s="4">
        <f>AVERAGE(Student­­Performance[[#This Row],[Math Score]],Student­­Performance[[#This Row],[Reading Score]],Student­­Performance[[#This Row],[Writing Score]])</f>
        <v>67</v>
      </c>
      <c r="J516" s="10" t="str">
        <f>IF(Student­­Performance[[#This Row],[Average Score]]&gt;=50,"Pass","Fail")</f>
        <v>Pass</v>
      </c>
      <c r="K51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14</v>
      </c>
      <c r="L51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51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516" s="4">
        <f>IF(ISNUMBER(Student­­Performance[[#This Row],[Math Score]]),Student­­Performance[[#This Row],[Math Score]],0)</f>
        <v>59</v>
      </c>
      <c r="O516" s="4">
        <f>IF(ISNUMBER(Student­­Performance[[#This Row],[Reading Score]]),Student­­Performance[[#This Row],[Reading Score]],0)</f>
        <v>73</v>
      </c>
      <c r="P516" s="4">
        <f>IF(ISNUMBER(Student­­Performance[[#This Row],[Writing Score]]),Student­­Performance[[#This Row],[Writing Score]],0)</f>
        <v>69</v>
      </c>
      <c r="Q516" s="4" t="str">
        <f>IF(Student­­Performance[[#This Row],[Math Score]]&gt;=50,"Pass","Fail")</f>
        <v>Pass</v>
      </c>
      <c r="R516" s="4" t="str">
        <f>IF(Student­­Performance[[#This Row],[Reading Score]]&gt;=50,"Pass","Fail")</f>
        <v>Pass</v>
      </c>
      <c r="S516" s="4" t="str">
        <f>IF(Student­­Performance[[#This Row],[Writing Score]]&gt;=50,"Pass","Fail")</f>
        <v>Pass</v>
      </c>
      <c r="T51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201</v>
      </c>
      <c r="U516" s="4" cm="1">
        <f t="array" ref="U516">IF(COUNT(F516:H516)=0,"", MAX(IF(ISNUMBER(F516:H516),F516:H516)) - MIN(IF(ISNUMBER(F516:H516),F516:H516)))</f>
        <v>14</v>
      </c>
      <c r="V516" s="4" t="str">
        <f>IF(U516="","",IF(U516&gt;25,"Outlier","Normal"))</f>
        <v>Normal</v>
      </c>
    </row>
    <row r="517" spans="1:22" x14ac:dyDescent="0.3">
      <c r="A517" s="1" t="s">
        <v>17</v>
      </c>
      <c r="B517" s="1" t="s">
        <v>21</v>
      </c>
      <c r="C517" s="1" t="s">
        <v>88</v>
      </c>
      <c r="D517" s="1" t="s">
        <v>11</v>
      </c>
      <c r="E517" s="1" t="s">
        <v>12</v>
      </c>
      <c r="F517" s="4">
        <v>73</v>
      </c>
      <c r="G517" s="4">
        <v>66</v>
      </c>
      <c r="H517" s="4">
        <v>62</v>
      </c>
      <c r="I517" s="4">
        <f>AVERAGE(Student­­Performance[[#This Row],[Math Score]],Student­­Performance[[#This Row],[Reading Score]],Student­­Performance[[#This Row],[Writing Score]])</f>
        <v>67</v>
      </c>
      <c r="J517" s="10" t="str">
        <f>IF(Student­­Performance[[#This Row],[Average Score]]&gt;=50,"Pass","Fail")</f>
        <v>Pass</v>
      </c>
      <c r="K51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-7</v>
      </c>
      <c r="L51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51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-11</v>
      </c>
      <c r="N517" s="4">
        <f>IF(ISNUMBER(Student­­Performance[[#This Row],[Math Score]]),Student­­Performance[[#This Row],[Math Score]],0)</f>
        <v>73</v>
      </c>
      <c r="O517" s="4">
        <f>IF(ISNUMBER(Student­­Performance[[#This Row],[Reading Score]]),Student­­Performance[[#This Row],[Reading Score]],0)</f>
        <v>66</v>
      </c>
      <c r="P517" s="4">
        <f>IF(ISNUMBER(Student­­Performance[[#This Row],[Writing Score]]),Student­­Performance[[#This Row],[Writing Score]],0)</f>
        <v>62</v>
      </c>
      <c r="Q517" s="4" t="str">
        <f>IF(Student­­Performance[[#This Row],[Math Score]]&gt;=50,"Pass","Fail")</f>
        <v>Pass</v>
      </c>
      <c r="R517" s="4" t="str">
        <f>IF(Student­­Performance[[#This Row],[Reading Score]]&gt;=50,"Pass","Fail")</f>
        <v>Pass</v>
      </c>
      <c r="S517" s="4" t="str">
        <f>IF(Student­­Performance[[#This Row],[Writing Score]]&gt;=50,"Pass","Fail")</f>
        <v>Pass</v>
      </c>
      <c r="T51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201</v>
      </c>
      <c r="U517" s="4" cm="1">
        <f t="array" ref="U517">IF(COUNT(F517:H517)=0,"", MAX(IF(ISNUMBER(F517:H517),F517:H517)) - MIN(IF(ISNUMBER(F517:H517),F517:H517)))</f>
        <v>11</v>
      </c>
      <c r="V517" s="4" t="str">
        <f>IF(U517="","",IF(U517&gt;25,"Outlier","Normal"))</f>
        <v>Normal</v>
      </c>
    </row>
    <row r="518" spans="1:22" x14ac:dyDescent="0.3">
      <c r="A518" s="1" t="s">
        <v>17</v>
      </c>
      <c r="B518" s="1" t="s">
        <v>21</v>
      </c>
      <c r="C518" s="1" t="s">
        <v>84</v>
      </c>
      <c r="D518" s="1" t="s">
        <v>11</v>
      </c>
      <c r="E518" s="1" t="s">
        <v>12</v>
      </c>
      <c r="F518" s="4">
        <v>67</v>
      </c>
      <c r="G518" s="4">
        <v>64</v>
      </c>
      <c r="H518" s="4">
        <v>70</v>
      </c>
      <c r="I518" s="4">
        <f>AVERAGE(Student­­Performance[[#This Row],[Math Score]],Student­­Performance[[#This Row],[Reading Score]],Student­­Performance[[#This Row],[Writing Score]])</f>
        <v>67</v>
      </c>
      <c r="J518" s="10" t="str">
        <f>IF(Student­­Performance[[#This Row],[Average Score]]&gt;=50,"Pass","Fail")</f>
        <v>Pass</v>
      </c>
      <c r="K51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51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51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518" s="4">
        <f>IF(ISNUMBER(Student­­Performance[[#This Row],[Math Score]]),Student­­Performance[[#This Row],[Math Score]],0)</f>
        <v>67</v>
      </c>
      <c r="O518" s="4">
        <f>IF(ISNUMBER(Student­­Performance[[#This Row],[Reading Score]]),Student­­Performance[[#This Row],[Reading Score]],0)</f>
        <v>64</v>
      </c>
      <c r="P518" s="4">
        <f>IF(ISNUMBER(Student­­Performance[[#This Row],[Writing Score]]),Student­­Performance[[#This Row],[Writing Score]],0)</f>
        <v>70</v>
      </c>
      <c r="Q518" s="4" t="str">
        <f>IF(Student­­Performance[[#This Row],[Math Score]]&gt;=50,"Pass","Fail")</f>
        <v>Pass</v>
      </c>
      <c r="R518" s="4" t="str">
        <f>IF(Student­­Performance[[#This Row],[Reading Score]]&gt;=50,"Pass","Fail")</f>
        <v>Pass</v>
      </c>
      <c r="S518" s="4" t="str">
        <f>IF(Student­­Performance[[#This Row],[Writing Score]]&gt;=50,"Pass","Fail")</f>
        <v>Pass</v>
      </c>
      <c r="T51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201</v>
      </c>
      <c r="U518" s="4" cm="1">
        <f t="array" ref="U518">IF(COUNT(F518:H518)=0,"", MAX(IF(ISNUMBER(F518:H518),F518:H518)) - MIN(IF(ISNUMBER(F518:H518),F518:H518)))</f>
        <v>6</v>
      </c>
      <c r="V518" s="4" t="str">
        <f>IF(U518="","",IF(U518&gt;25,"Outlier","Normal"))</f>
        <v>Normal</v>
      </c>
    </row>
    <row r="519" spans="1:22" x14ac:dyDescent="0.3">
      <c r="A519" s="1" t="s">
        <v>8</v>
      </c>
      <c r="B519" s="1" t="s">
        <v>13</v>
      </c>
      <c r="C519" s="1" t="s">
        <v>87</v>
      </c>
      <c r="D519" s="1" t="s">
        <v>11</v>
      </c>
      <c r="E519" s="1" t="s">
        <v>12</v>
      </c>
      <c r="F519" s="4">
        <v>65</v>
      </c>
      <c r="G519" s="4">
        <v>69</v>
      </c>
      <c r="H519" s="4">
        <v>67</v>
      </c>
      <c r="I519" s="4">
        <f>AVERAGE(Student­­Performance[[#This Row],[Math Score]],Student­­Performance[[#This Row],[Reading Score]],Student­­Performance[[#This Row],[Writing Score]])</f>
        <v>67</v>
      </c>
      <c r="J519" s="10" t="str">
        <f>IF(Student­­Performance[[#This Row],[Average Score]]&gt;=50,"Pass","Fail")</f>
        <v>Pass</v>
      </c>
      <c r="K51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51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51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519" s="4">
        <f>IF(ISNUMBER(Student­­Performance[[#This Row],[Math Score]]),Student­­Performance[[#This Row],[Math Score]],0)</f>
        <v>65</v>
      </c>
      <c r="O519" s="4">
        <f>IF(ISNUMBER(Student­­Performance[[#This Row],[Reading Score]]),Student­­Performance[[#This Row],[Reading Score]],0)</f>
        <v>69</v>
      </c>
      <c r="P519" s="4">
        <f>IF(ISNUMBER(Student­­Performance[[#This Row],[Writing Score]]),Student­­Performance[[#This Row],[Writing Score]],0)</f>
        <v>67</v>
      </c>
      <c r="Q519" s="4" t="str">
        <f>IF(Student­­Performance[[#This Row],[Math Score]]&gt;=50,"Pass","Fail")</f>
        <v>Pass</v>
      </c>
      <c r="R519" s="4" t="str">
        <f>IF(Student­­Performance[[#This Row],[Reading Score]]&gt;=50,"Pass","Fail")</f>
        <v>Pass</v>
      </c>
      <c r="S519" s="4" t="str">
        <f>IF(Student­­Performance[[#This Row],[Writing Score]]&gt;=50,"Pass","Fail")</f>
        <v>Pass</v>
      </c>
      <c r="T51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201</v>
      </c>
      <c r="U519" s="4" cm="1">
        <f t="array" ref="U519">IF(COUNT(F519:H519)=0,"", MAX(IF(ISNUMBER(F519:H519),F519:H519)) - MIN(IF(ISNUMBER(F519:H519),F519:H519)))</f>
        <v>4</v>
      </c>
      <c r="V519" s="4" t="str">
        <f>IF(U519="","",IF(U519&gt;25,"Outlier","Normal"))</f>
        <v>Normal</v>
      </c>
    </row>
    <row r="520" spans="1:22" x14ac:dyDescent="0.3">
      <c r="A520" s="1" t="s">
        <v>8</v>
      </c>
      <c r="B520" s="1" t="s">
        <v>18</v>
      </c>
      <c r="C520" s="1" t="s">
        <v>83</v>
      </c>
      <c r="D520" s="1" t="s">
        <v>11</v>
      </c>
      <c r="E520" s="1" t="s">
        <v>12</v>
      </c>
      <c r="F520" s="4">
        <v>59</v>
      </c>
      <c r="G520" s="4">
        <v>72</v>
      </c>
      <c r="H520" s="4">
        <v>70</v>
      </c>
      <c r="I520" s="4">
        <f>AVERAGE(Student­­Performance[[#This Row],[Math Score]],Student­­Performance[[#This Row],[Reading Score]],Student­­Performance[[#This Row],[Writing Score]])</f>
        <v>67</v>
      </c>
      <c r="J520" s="10" t="str">
        <f>IF(Student­­Performance[[#This Row],[Average Score]]&gt;=50,"Pass","Fail")</f>
        <v>Pass</v>
      </c>
      <c r="K52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13</v>
      </c>
      <c r="L52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52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520" s="4">
        <f>IF(ISNUMBER(Student­­Performance[[#This Row],[Math Score]]),Student­­Performance[[#This Row],[Math Score]],0)</f>
        <v>59</v>
      </c>
      <c r="O520" s="4">
        <f>IF(ISNUMBER(Student­­Performance[[#This Row],[Reading Score]]),Student­­Performance[[#This Row],[Reading Score]],0)</f>
        <v>72</v>
      </c>
      <c r="P520" s="4">
        <f>IF(ISNUMBER(Student­­Performance[[#This Row],[Writing Score]]),Student­­Performance[[#This Row],[Writing Score]],0)</f>
        <v>70</v>
      </c>
      <c r="Q520" s="4" t="str">
        <f>IF(Student­­Performance[[#This Row],[Math Score]]&gt;=50,"Pass","Fail")</f>
        <v>Pass</v>
      </c>
      <c r="R520" s="4" t="str">
        <f>IF(Student­­Performance[[#This Row],[Reading Score]]&gt;=50,"Pass","Fail")</f>
        <v>Pass</v>
      </c>
      <c r="S520" s="4" t="str">
        <f>IF(Student­­Performance[[#This Row],[Writing Score]]&gt;=50,"Pass","Fail")</f>
        <v>Pass</v>
      </c>
      <c r="T52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201</v>
      </c>
      <c r="U520" s="4" cm="1">
        <f t="array" ref="U520">IF(COUNT(F520:H520)=0,"", MAX(IF(ISNUMBER(F520:H520),F520:H520)) - MIN(IF(ISNUMBER(F520:H520),F520:H520)))</f>
        <v>13</v>
      </c>
      <c r="V520" s="4" t="str">
        <f>IF(U520="","",IF(U520&gt;25,"Outlier","Normal"))</f>
        <v>Normal</v>
      </c>
    </row>
    <row r="521" spans="1:22" x14ac:dyDescent="0.3">
      <c r="A521" s="1" t="s">
        <v>17</v>
      </c>
      <c r="B521" s="1" t="s">
        <v>13</v>
      </c>
      <c r="C521" s="1" t="s">
        <v>84</v>
      </c>
      <c r="D521" s="1" t="s">
        <v>11</v>
      </c>
      <c r="E521" s="1" t="s">
        <v>12</v>
      </c>
      <c r="F521" s="4">
        <v>69</v>
      </c>
      <c r="G521" s="4">
        <v>64</v>
      </c>
      <c r="H521" s="4">
        <v>68</v>
      </c>
      <c r="I521" s="4">
        <f>AVERAGE(Student­­Performance[[#This Row],[Math Score]],Student­­Performance[[#This Row],[Reading Score]],Student­­Performance[[#This Row],[Writing Score]])</f>
        <v>67</v>
      </c>
      <c r="J521" s="10" t="str">
        <f>IF(Student­­Performance[[#This Row],[Average Score]]&gt;=50,"Pass","Fail")</f>
        <v>Pass</v>
      </c>
      <c r="K52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52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52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521" s="4">
        <f>IF(ISNUMBER(Student­­Performance[[#This Row],[Math Score]]),Student­­Performance[[#This Row],[Math Score]],0)</f>
        <v>69</v>
      </c>
      <c r="O521" s="4">
        <f>IF(ISNUMBER(Student­­Performance[[#This Row],[Reading Score]]),Student­­Performance[[#This Row],[Reading Score]],0)</f>
        <v>64</v>
      </c>
      <c r="P521" s="4">
        <f>IF(ISNUMBER(Student­­Performance[[#This Row],[Writing Score]]),Student­­Performance[[#This Row],[Writing Score]],0)</f>
        <v>68</v>
      </c>
      <c r="Q521" s="4" t="str">
        <f>IF(Student­­Performance[[#This Row],[Math Score]]&gt;=50,"Pass","Fail")</f>
        <v>Pass</v>
      </c>
      <c r="R521" s="4" t="str">
        <f>IF(Student­­Performance[[#This Row],[Reading Score]]&gt;=50,"Pass","Fail")</f>
        <v>Pass</v>
      </c>
      <c r="S521" s="4" t="str">
        <f>IF(Student­­Performance[[#This Row],[Writing Score]]&gt;=50,"Pass","Fail")</f>
        <v>Pass</v>
      </c>
      <c r="T52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201</v>
      </c>
      <c r="U521" s="4" cm="1">
        <f t="array" ref="U521">IF(COUNT(F521:H521)=0,"", MAX(IF(ISNUMBER(F521:H521),F521:H521)) - MIN(IF(ISNUMBER(F521:H521),F521:H521)))</f>
        <v>5</v>
      </c>
      <c r="V521" s="4" t="str">
        <f>IF(U521="","",IF(U521&gt;25,"Outlier","Normal"))</f>
        <v>Normal</v>
      </c>
    </row>
    <row r="522" spans="1:22" x14ac:dyDescent="0.3">
      <c r="A522" s="1" t="s">
        <v>8</v>
      </c>
      <c r="B522" s="1" t="s">
        <v>13</v>
      </c>
      <c r="C522" s="1" t="s">
        <v>86</v>
      </c>
      <c r="D522" s="1" t="s">
        <v>11</v>
      </c>
      <c r="E522" s="1" t="s">
        <v>12</v>
      </c>
      <c r="F522" s="4">
        <v>63</v>
      </c>
      <c r="G522" s="4">
        <v>67</v>
      </c>
      <c r="H522" s="4">
        <v>70</v>
      </c>
      <c r="I522" s="4">
        <f>AVERAGE(Student­­Performance[[#This Row],[Math Score]],Student­­Performance[[#This Row],[Reading Score]],Student­­Performance[[#This Row],[Writing Score]])</f>
        <v>66.666666666666671</v>
      </c>
      <c r="J522" s="10" t="str">
        <f>IF(Student­­Performance[[#This Row],[Average Score]]&gt;=50,"Pass","Fail")</f>
        <v>Pass</v>
      </c>
      <c r="K52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52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52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522" s="4">
        <f>IF(ISNUMBER(Student­­Performance[[#This Row],[Math Score]]),Student­­Performance[[#This Row],[Math Score]],0)</f>
        <v>63</v>
      </c>
      <c r="O522" s="4">
        <f>IF(ISNUMBER(Student­­Performance[[#This Row],[Reading Score]]),Student­­Performance[[#This Row],[Reading Score]],0)</f>
        <v>67</v>
      </c>
      <c r="P522" s="4">
        <f>IF(ISNUMBER(Student­­Performance[[#This Row],[Writing Score]]),Student­­Performance[[#This Row],[Writing Score]],0)</f>
        <v>70</v>
      </c>
      <c r="Q522" s="4" t="str">
        <f>IF(Student­­Performance[[#This Row],[Math Score]]&gt;=50,"Pass","Fail")</f>
        <v>Pass</v>
      </c>
      <c r="R522" s="4" t="str">
        <f>IF(Student­­Performance[[#This Row],[Reading Score]]&gt;=50,"Pass","Fail")</f>
        <v>Pass</v>
      </c>
      <c r="S522" s="4" t="str">
        <f>IF(Student­­Performance[[#This Row],[Writing Score]]&gt;=50,"Pass","Fail")</f>
        <v>Pass</v>
      </c>
      <c r="T52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200</v>
      </c>
      <c r="U522" s="4" cm="1">
        <f t="array" ref="U522">IF(COUNT(F522:H522)=0,"", MAX(IF(ISNUMBER(F522:H522),F522:H522)) - MIN(IF(ISNUMBER(F522:H522),F522:H522)))</f>
        <v>7</v>
      </c>
      <c r="V522" s="4" t="str">
        <f>IF(U522="","",IF(U522&gt;25,"Outlier","Normal"))</f>
        <v>Normal</v>
      </c>
    </row>
    <row r="523" spans="1:22" x14ac:dyDescent="0.3">
      <c r="A523" s="1" t="s">
        <v>8</v>
      </c>
      <c r="B523" s="1" t="s">
        <v>26</v>
      </c>
      <c r="C523" s="1" t="s">
        <v>86</v>
      </c>
      <c r="D523" s="1" t="s">
        <v>11</v>
      </c>
      <c r="E523" s="1" t="s">
        <v>12</v>
      </c>
      <c r="F523" s="4">
        <v>66</v>
      </c>
      <c r="G523" s="4">
        <v>65</v>
      </c>
      <c r="H523" s="4">
        <v>69</v>
      </c>
      <c r="I523" s="4">
        <f>AVERAGE(Student­­Performance[[#This Row],[Math Score]],Student­­Performance[[#This Row],[Reading Score]],Student­­Performance[[#This Row],[Writing Score]])</f>
        <v>66.666666666666671</v>
      </c>
      <c r="J523" s="10" t="str">
        <f>IF(Student­­Performance[[#This Row],[Average Score]]&gt;=50,"Pass","Fail")</f>
        <v>Pass</v>
      </c>
      <c r="K52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52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52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523" s="4">
        <f>IF(ISNUMBER(Student­­Performance[[#This Row],[Math Score]]),Student­­Performance[[#This Row],[Math Score]],0)</f>
        <v>66</v>
      </c>
      <c r="O523" s="4">
        <f>IF(ISNUMBER(Student­­Performance[[#This Row],[Reading Score]]),Student­­Performance[[#This Row],[Reading Score]],0)</f>
        <v>65</v>
      </c>
      <c r="P523" s="4">
        <f>IF(ISNUMBER(Student­­Performance[[#This Row],[Writing Score]]),Student­­Performance[[#This Row],[Writing Score]],0)</f>
        <v>69</v>
      </c>
      <c r="Q523" s="4" t="str">
        <f>IF(Student­­Performance[[#This Row],[Math Score]]&gt;=50,"Pass","Fail")</f>
        <v>Pass</v>
      </c>
      <c r="R523" s="4" t="str">
        <f>IF(Student­­Performance[[#This Row],[Reading Score]]&gt;=50,"Pass","Fail")</f>
        <v>Pass</v>
      </c>
      <c r="S523" s="4" t="str">
        <f>IF(Student­­Performance[[#This Row],[Writing Score]]&gt;=50,"Pass","Fail")</f>
        <v>Pass</v>
      </c>
      <c r="T52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200</v>
      </c>
      <c r="U523" s="4" cm="1">
        <f t="array" ref="U523">IF(COUNT(F523:H523)=0,"", MAX(IF(ISNUMBER(F523:H523),F523:H523)) - MIN(IF(ISNUMBER(F523:H523),F523:H523)))</f>
        <v>4</v>
      </c>
      <c r="V523" s="4" t="str">
        <f>IF(U523="","",IF(U523&gt;25,"Outlier","Normal"))</f>
        <v>Normal</v>
      </c>
    </row>
    <row r="524" spans="1:22" x14ac:dyDescent="0.3">
      <c r="A524" s="1" t="s">
        <v>8</v>
      </c>
      <c r="B524" s="1" t="s">
        <v>9</v>
      </c>
      <c r="C524" s="1" t="s">
        <v>88</v>
      </c>
      <c r="D524" s="1" t="s">
        <v>11</v>
      </c>
      <c r="E524" s="1" t="s">
        <v>15</v>
      </c>
      <c r="F524" s="4">
        <v>60</v>
      </c>
      <c r="G524" s="4">
        <v>70</v>
      </c>
      <c r="H524" s="4">
        <v>70</v>
      </c>
      <c r="I524" s="4">
        <f>AVERAGE(Student­­Performance[[#This Row],[Math Score]],Student­­Performance[[#This Row],[Reading Score]],Student­­Performance[[#This Row],[Writing Score]])</f>
        <v>66.666666666666671</v>
      </c>
      <c r="J524" s="10" t="str">
        <f>IF(Student­­Performance[[#This Row],[Average Score]]&gt;=50,"Pass","Fail")</f>
        <v>Pass</v>
      </c>
      <c r="K52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52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52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524" s="4">
        <f>IF(ISNUMBER(Student­­Performance[[#This Row],[Math Score]]),Student­­Performance[[#This Row],[Math Score]],0)</f>
        <v>60</v>
      </c>
      <c r="O524" s="4">
        <f>IF(ISNUMBER(Student­­Performance[[#This Row],[Reading Score]]),Student­­Performance[[#This Row],[Reading Score]],0)</f>
        <v>70</v>
      </c>
      <c r="P524" s="4">
        <f>IF(ISNUMBER(Student­­Performance[[#This Row],[Writing Score]]),Student­­Performance[[#This Row],[Writing Score]],0)</f>
        <v>70</v>
      </c>
      <c r="Q524" s="4" t="str">
        <f>IF(Student­­Performance[[#This Row],[Math Score]]&gt;=50,"Pass","Fail")</f>
        <v>Pass</v>
      </c>
      <c r="R524" s="4" t="str">
        <f>IF(Student­­Performance[[#This Row],[Reading Score]]&gt;=50,"Pass","Fail")</f>
        <v>Pass</v>
      </c>
      <c r="S524" s="4" t="str">
        <f>IF(Student­­Performance[[#This Row],[Writing Score]]&gt;=50,"Pass","Fail")</f>
        <v>Pass</v>
      </c>
      <c r="T52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200</v>
      </c>
      <c r="U524" s="4" cm="1">
        <f t="array" ref="U524">IF(COUNT(F524:H524)=0,"", MAX(IF(ISNUMBER(F524:H524),F524:H524)) - MIN(IF(ISNUMBER(F524:H524),F524:H524)))</f>
        <v>10</v>
      </c>
      <c r="V524" s="4" t="str">
        <f>IF(U524="","",IF(U524&gt;25,"Outlier","Normal"))</f>
        <v>Normal</v>
      </c>
    </row>
    <row r="525" spans="1:22" x14ac:dyDescent="0.3">
      <c r="A525" s="1" t="s">
        <v>8</v>
      </c>
      <c r="B525" s="1" t="s">
        <v>13</v>
      </c>
      <c r="C525" s="1" t="s">
        <v>84</v>
      </c>
      <c r="D525" s="1" t="s">
        <v>11</v>
      </c>
      <c r="E525" s="1" t="s">
        <v>12</v>
      </c>
      <c r="F525" s="4">
        <v>59</v>
      </c>
      <c r="G525" s="4">
        <v>71</v>
      </c>
      <c r="H525" s="4">
        <v>70</v>
      </c>
      <c r="I525" s="4">
        <f>AVERAGE(Student­­Performance[[#This Row],[Math Score]],Student­­Performance[[#This Row],[Reading Score]],Student­­Performance[[#This Row],[Writing Score]])</f>
        <v>66.666666666666671</v>
      </c>
      <c r="J525" s="10" t="str">
        <f>IF(Student­­Performance[[#This Row],[Average Score]]&gt;=50,"Pass","Fail")</f>
        <v>Pass</v>
      </c>
      <c r="K52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52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52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525" s="4">
        <f>IF(ISNUMBER(Student­­Performance[[#This Row],[Math Score]]),Student­­Performance[[#This Row],[Math Score]],0)</f>
        <v>59</v>
      </c>
      <c r="O525" s="4">
        <f>IF(ISNUMBER(Student­­Performance[[#This Row],[Reading Score]]),Student­­Performance[[#This Row],[Reading Score]],0)</f>
        <v>71</v>
      </c>
      <c r="P525" s="4">
        <f>IF(ISNUMBER(Student­­Performance[[#This Row],[Writing Score]]),Student­­Performance[[#This Row],[Writing Score]],0)</f>
        <v>70</v>
      </c>
      <c r="Q525" s="4" t="str">
        <f>IF(Student­­Performance[[#This Row],[Math Score]]&gt;=50,"Pass","Fail")</f>
        <v>Pass</v>
      </c>
      <c r="R525" s="4" t="str">
        <f>IF(Student­­Performance[[#This Row],[Reading Score]]&gt;=50,"Pass","Fail")</f>
        <v>Pass</v>
      </c>
      <c r="S525" s="4" t="str">
        <f>IF(Student­­Performance[[#This Row],[Writing Score]]&gt;=50,"Pass","Fail")</f>
        <v>Pass</v>
      </c>
      <c r="T52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200</v>
      </c>
      <c r="U525" s="4" cm="1">
        <f t="array" ref="U525">IF(COUNT(F525:H525)=0,"", MAX(IF(ISNUMBER(F525:H525),F525:H525)) - MIN(IF(ISNUMBER(F525:H525),F525:H525)))</f>
        <v>12</v>
      </c>
      <c r="V525" s="4" t="str">
        <f>IF(U525="","",IF(U525&gt;25,"Outlier","Normal"))</f>
        <v>Normal</v>
      </c>
    </row>
    <row r="526" spans="1:22" x14ac:dyDescent="0.3">
      <c r="A526" s="1" t="s">
        <v>17</v>
      </c>
      <c r="B526" s="1" t="s">
        <v>26</v>
      </c>
      <c r="C526" s="1" t="s">
        <v>83</v>
      </c>
      <c r="D526" s="1" t="s">
        <v>11</v>
      </c>
      <c r="E526" s="1" t="s">
        <v>12</v>
      </c>
      <c r="F526" s="4">
        <v>68</v>
      </c>
      <c r="G526" s="4">
        <v>68</v>
      </c>
      <c r="H526" s="4">
        <v>64</v>
      </c>
      <c r="I526" s="4">
        <f>AVERAGE(Student­­Performance[[#This Row],[Math Score]],Student­­Performance[[#This Row],[Reading Score]],Student­­Performance[[#This Row],[Writing Score]])</f>
        <v>66.666666666666671</v>
      </c>
      <c r="J526" s="10" t="str">
        <f>IF(Student­­Performance[[#This Row],[Average Score]]&gt;=50,"Pass","Fail")</f>
        <v>Pass</v>
      </c>
      <c r="K52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52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52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526" s="4">
        <f>IF(ISNUMBER(Student­­Performance[[#This Row],[Math Score]]),Student­­Performance[[#This Row],[Math Score]],0)</f>
        <v>68</v>
      </c>
      <c r="O526" s="4">
        <f>IF(ISNUMBER(Student­­Performance[[#This Row],[Reading Score]]),Student­­Performance[[#This Row],[Reading Score]],0)</f>
        <v>68</v>
      </c>
      <c r="P526" s="4">
        <f>IF(ISNUMBER(Student­­Performance[[#This Row],[Writing Score]]),Student­­Performance[[#This Row],[Writing Score]],0)</f>
        <v>64</v>
      </c>
      <c r="Q526" s="4" t="str">
        <f>IF(Student­­Performance[[#This Row],[Math Score]]&gt;=50,"Pass","Fail")</f>
        <v>Pass</v>
      </c>
      <c r="R526" s="4" t="str">
        <f>IF(Student­­Performance[[#This Row],[Reading Score]]&gt;=50,"Pass","Fail")</f>
        <v>Pass</v>
      </c>
      <c r="S526" s="4" t="str">
        <f>IF(Student­­Performance[[#This Row],[Writing Score]]&gt;=50,"Pass","Fail")</f>
        <v>Pass</v>
      </c>
      <c r="T52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200</v>
      </c>
      <c r="U526" s="4" cm="1">
        <f t="array" ref="U526">IF(COUNT(F526:H526)=0,"", MAX(IF(ISNUMBER(F526:H526),F526:H526)) - MIN(IF(ISNUMBER(F526:H526),F526:H526)))</f>
        <v>4</v>
      </c>
      <c r="V526" s="4" t="str">
        <f>IF(U526="","",IF(U526&gt;25,"Outlier","Normal"))</f>
        <v>Normal</v>
      </c>
    </row>
    <row r="527" spans="1:22" x14ac:dyDescent="0.3">
      <c r="A527" s="1" t="s">
        <v>8</v>
      </c>
      <c r="B527" s="1" t="s">
        <v>13</v>
      </c>
      <c r="C527" s="1" t="s">
        <v>87</v>
      </c>
      <c r="D527" s="1" t="s">
        <v>11</v>
      </c>
      <c r="E527" s="1" t="s">
        <v>12</v>
      </c>
      <c r="F527" s="4">
        <v>60</v>
      </c>
      <c r="G527" s="4">
        <v>68</v>
      </c>
      <c r="H527" s="4">
        <v>72</v>
      </c>
      <c r="I527" s="4">
        <f>AVERAGE(Student­­Performance[[#This Row],[Math Score]],Student­­Performance[[#This Row],[Reading Score]],Student­­Performance[[#This Row],[Writing Score]])</f>
        <v>66.666666666666671</v>
      </c>
      <c r="J527" s="10" t="str">
        <f>IF(Student­­Performance[[#This Row],[Average Score]]&gt;=50,"Pass","Fail")</f>
        <v>Pass</v>
      </c>
      <c r="K52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52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52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527" s="4">
        <f>IF(ISNUMBER(Student­­Performance[[#This Row],[Math Score]]),Student­­Performance[[#This Row],[Math Score]],0)</f>
        <v>60</v>
      </c>
      <c r="O527" s="4">
        <f>IF(ISNUMBER(Student­­Performance[[#This Row],[Reading Score]]),Student­­Performance[[#This Row],[Reading Score]],0)</f>
        <v>68</v>
      </c>
      <c r="P527" s="4">
        <f>IF(ISNUMBER(Student­­Performance[[#This Row],[Writing Score]]),Student­­Performance[[#This Row],[Writing Score]],0)</f>
        <v>72</v>
      </c>
      <c r="Q527" s="4" t="str">
        <f>IF(Student­­Performance[[#This Row],[Math Score]]&gt;=50,"Pass","Fail")</f>
        <v>Pass</v>
      </c>
      <c r="R527" s="4" t="str">
        <f>IF(Student­­Performance[[#This Row],[Reading Score]]&gt;=50,"Pass","Fail")</f>
        <v>Pass</v>
      </c>
      <c r="S527" s="4" t="str">
        <f>IF(Student­­Performance[[#This Row],[Writing Score]]&gt;=50,"Pass","Fail")</f>
        <v>Pass</v>
      </c>
      <c r="T52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200</v>
      </c>
      <c r="U527" s="4" cm="1">
        <f t="array" ref="U527">IF(COUNT(F527:H527)=0,"", MAX(IF(ISNUMBER(F527:H527),F527:H527)) - MIN(IF(ISNUMBER(F527:H527),F527:H527)))</f>
        <v>12</v>
      </c>
      <c r="V527" s="4" t="str">
        <f>IF(U527="","",IF(U527&gt;25,"Outlier","Normal"))</f>
        <v>Normal</v>
      </c>
    </row>
    <row r="528" spans="1:22" x14ac:dyDescent="0.3">
      <c r="A528" s="1" t="s">
        <v>8</v>
      </c>
      <c r="B528" s="1" t="s">
        <v>13</v>
      </c>
      <c r="C528" s="1" t="s">
        <v>84</v>
      </c>
      <c r="D528" s="1" t="s">
        <v>11</v>
      </c>
      <c r="E528" s="1" t="s">
        <v>12</v>
      </c>
      <c r="F528" s="4">
        <v>62</v>
      </c>
      <c r="G528" s="4">
        <v>69</v>
      </c>
      <c r="H528" s="4">
        <v>69</v>
      </c>
      <c r="I528" s="4">
        <f>AVERAGE(Student­­Performance[[#This Row],[Math Score]],Student­­Performance[[#This Row],[Reading Score]],Student­­Performance[[#This Row],[Writing Score]])</f>
        <v>66.666666666666671</v>
      </c>
      <c r="J528" s="10" t="str">
        <f>IF(Student­­Performance[[#This Row],[Average Score]]&gt;=50,"Pass","Fail")</f>
        <v>Pass</v>
      </c>
      <c r="K52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52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52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528" s="4">
        <f>IF(ISNUMBER(Student­­Performance[[#This Row],[Math Score]]),Student­­Performance[[#This Row],[Math Score]],0)</f>
        <v>62</v>
      </c>
      <c r="O528" s="4">
        <f>IF(ISNUMBER(Student­­Performance[[#This Row],[Reading Score]]),Student­­Performance[[#This Row],[Reading Score]],0)</f>
        <v>69</v>
      </c>
      <c r="P528" s="4">
        <f>IF(ISNUMBER(Student­­Performance[[#This Row],[Writing Score]]),Student­­Performance[[#This Row],[Writing Score]],0)</f>
        <v>69</v>
      </c>
      <c r="Q528" s="4" t="str">
        <f>IF(Student­­Performance[[#This Row],[Math Score]]&gt;=50,"Pass","Fail")</f>
        <v>Pass</v>
      </c>
      <c r="R528" s="4" t="str">
        <f>IF(Student­­Performance[[#This Row],[Reading Score]]&gt;=50,"Pass","Fail")</f>
        <v>Pass</v>
      </c>
      <c r="S528" s="4" t="str">
        <f>IF(Student­­Performance[[#This Row],[Writing Score]]&gt;=50,"Pass","Fail")</f>
        <v>Pass</v>
      </c>
      <c r="T52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200</v>
      </c>
      <c r="U528" s="4" cm="1">
        <f t="array" ref="U528">IF(COUNT(F528:H528)=0,"", MAX(IF(ISNUMBER(F528:H528),F528:H528)) - MIN(IF(ISNUMBER(F528:H528),F528:H528)))</f>
        <v>7</v>
      </c>
      <c r="V528" s="4" t="str">
        <f>IF(U528="","",IF(U528&gt;25,"Outlier","Normal"))</f>
        <v>Normal</v>
      </c>
    </row>
    <row r="529" spans="1:22" x14ac:dyDescent="0.3">
      <c r="A529" s="1" t="s">
        <v>8</v>
      </c>
      <c r="B529" s="1" t="s">
        <v>13</v>
      </c>
      <c r="C529" s="1" t="s">
        <v>86</v>
      </c>
      <c r="D529" s="1" t="s">
        <v>11</v>
      </c>
      <c r="E529" s="1" t="s">
        <v>12</v>
      </c>
      <c r="F529" s="4">
        <v>58</v>
      </c>
      <c r="G529" s="4">
        <v>73</v>
      </c>
      <c r="H529" s="4">
        <v>68</v>
      </c>
      <c r="I529" s="4">
        <f>AVERAGE(Student­­Performance[[#This Row],[Math Score]],Student­­Performance[[#This Row],[Reading Score]],Student­­Performance[[#This Row],[Writing Score]])</f>
        <v>66.333333333333329</v>
      </c>
      <c r="J529" s="10" t="str">
        <f>IF(Student­­Performance[[#This Row],[Average Score]]&gt;=50,"Pass","Fail")</f>
        <v>Pass</v>
      </c>
      <c r="K52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15</v>
      </c>
      <c r="L52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52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529" s="4">
        <f>IF(ISNUMBER(Student­­Performance[[#This Row],[Math Score]]),Student­­Performance[[#This Row],[Math Score]],0)</f>
        <v>58</v>
      </c>
      <c r="O529" s="4">
        <f>IF(ISNUMBER(Student­­Performance[[#This Row],[Reading Score]]),Student­­Performance[[#This Row],[Reading Score]],0)</f>
        <v>73</v>
      </c>
      <c r="P529" s="4">
        <f>IF(ISNUMBER(Student­­Performance[[#This Row],[Writing Score]]),Student­­Performance[[#This Row],[Writing Score]],0)</f>
        <v>68</v>
      </c>
      <c r="Q529" s="4" t="str">
        <f>IF(Student­­Performance[[#This Row],[Math Score]]&gt;=50,"Pass","Fail")</f>
        <v>Pass</v>
      </c>
      <c r="R529" s="4" t="str">
        <f>IF(Student­­Performance[[#This Row],[Reading Score]]&gt;=50,"Pass","Fail")</f>
        <v>Pass</v>
      </c>
      <c r="S529" s="4" t="str">
        <f>IF(Student­­Performance[[#This Row],[Writing Score]]&gt;=50,"Pass","Fail")</f>
        <v>Pass</v>
      </c>
      <c r="T52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199</v>
      </c>
      <c r="U529" s="4" cm="1">
        <f t="array" ref="U529">IF(COUNT(F529:H529)=0,"", MAX(IF(ISNUMBER(F529:H529),F529:H529)) - MIN(IF(ISNUMBER(F529:H529),F529:H529)))</f>
        <v>15</v>
      </c>
      <c r="V529" s="4" t="str">
        <f>IF(U529="","",IF(U529&gt;25,"Outlier","Normal"))</f>
        <v>Normal</v>
      </c>
    </row>
    <row r="530" spans="1:22" x14ac:dyDescent="0.3">
      <c r="A530" s="1" t="s">
        <v>17</v>
      </c>
      <c r="B530" s="1" t="s">
        <v>26</v>
      </c>
      <c r="C530" s="1" t="s">
        <v>86</v>
      </c>
      <c r="D530" s="1" t="s">
        <v>11</v>
      </c>
      <c r="E530" s="1" t="s">
        <v>12</v>
      </c>
      <c r="F530" s="4">
        <v>72</v>
      </c>
      <c r="G530" s="4">
        <v>64</v>
      </c>
      <c r="H530" s="4">
        <v>63</v>
      </c>
      <c r="I530" s="4">
        <f>AVERAGE(Student­­Performance[[#This Row],[Math Score]],Student­­Performance[[#This Row],[Reading Score]],Student­­Performance[[#This Row],[Writing Score]])</f>
        <v>66.333333333333329</v>
      </c>
      <c r="J530" s="10" t="str">
        <f>IF(Student­­Performance[[#This Row],[Average Score]]&gt;=50,"Pass","Fail")</f>
        <v>Pass</v>
      </c>
      <c r="K53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-8</v>
      </c>
      <c r="L53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53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-9</v>
      </c>
      <c r="N530" s="4">
        <f>IF(ISNUMBER(Student­­Performance[[#This Row],[Math Score]]),Student­­Performance[[#This Row],[Math Score]],0)</f>
        <v>72</v>
      </c>
      <c r="O530" s="4">
        <f>IF(ISNUMBER(Student­­Performance[[#This Row],[Reading Score]]),Student­­Performance[[#This Row],[Reading Score]],0)</f>
        <v>64</v>
      </c>
      <c r="P530" s="4">
        <f>IF(ISNUMBER(Student­­Performance[[#This Row],[Writing Score]]),Student­­Performance[[#This Row],[Writing Score]],0)</f>
        <v>63</v>
      </c>
      <c r="Q530" s="4" t="str">
        <f>IF(Student­­Performance[[#This Row],[Math Score]]&gt;=50,"Pass","Fail")</f>
        <v>Pass</v>
      </c>
      <c r="R530" s="4" t="str">
        <f>IF(Student­­Performance[[#This Row],[Reading Score]]&gt;=50,"Pass","Fail")</f>
        <v>Pass</v>
      </c>
      <c r="S530" s="4" t="str">
        <f>IF(Student­­Performance[[#This Row],[Writing Score]]&gt;=50,"Pass","Fail")</f>
        <v>Pass</v>
      </c>
      <c r="T53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199</v>
      </c>
      <c r="U530" s="4" cm="1">
        <f t="array" ref="U530">IF(COUNT(F530:H530)=0,"", MAX(IF(ISNUMBER(F530:H530),F530:H530)) - MIN(IF(ISNUMBER(F530:H530),F530:H530)))</f>
        <v>9</v>
      </c>
      <c r="V530" s="4" t="str">
        <f>IF(U530="","",IF(U530&gt;25,"Outlier","Normal"))</f>
        <v>Normal</v>
      </c>
    </row>
    <row r="531" spans="1:22" x14ac:dyDescent="0.3">
      <c r="A531" s="1" t="s">
        <v>17</v>
      </c>
      <c r="B531" s="1" t="s">
        <v>26</v>
      </c>
      <c r="C531" s="1" t="s">
        <v>88</v>
      </c>
      <c r="D531" s="1" t="s">
        <v>20</v>
      </c>
      <c r="E531" s="1" t="s">
        <v>15</v>
      </c>
      <c r="F531" s="4">
        <v>73</v>
      </c>
      <c r="G531" s="4">
        <v>67</v>
      </c>
      <c r="H531" s="4">
        <v>59</v>
      </c>
      <c r="I531" s="4">
        <f>AVERAGE(Student­­Performance[[#This Row],[Math Score]],Student­­Performance[[#This Row],[Reading Score]],Student­­Performance[[#This Row],[Writing Score]])</f>
        <v>66.333333333333329</v>
      </c>
      <c r="J531" s="10" t="str">
        <f>IF(Student­­Performance[[#This Row],[Average Score]]&gt;=50,"Pass","Fail")</f>
        <v>Pass</v>
      </c>
      <c r="K53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53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-8</v>
      </c>
      <c r="M53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-14</v>
      </c>
      <c r="N531" s="4">
        <f>IF(ISNUMBER(Student­­Performance[[#This Row],[Math Score]]),Student­­Performance[[#This Row],[Math Score]],0)</f>
        <v>73</v>
      </c>
      <c r="O531" s="4">
        <f>IF(ISNUMBER(Student­­Performance[[#This Row],[Reading Score]]),Student­­Performance[[#This Row],[Reading Score]],0)</f>
        <v>67</v>
      </c>
      <c r="P531" s="4">
        <f>IF(ISNUMBER(Student­­Performance[[#This Row],[Writing Score]]),Student­­Performance[[#This Row],[Writing Score]],0)</f>
        <v>59</v>
      </c>
      <c r="Q531" s="4" t="str">
        <f>IF(Student­­Performance[[#This Row],[Math Score]]&gt;=50,"Pass","Fail")</f>
        <v>Pass</v>
      </c>
      <c r="R531" s="4" t="str">
        <f>IF(Student­­Performance[[#This Row],[Reading Score]]&gt;=50,"Pass","Fail")</f>
        <v>Pass</v>
      </c>
      <c r="S531" s="4" t="str">
        <f>IF(Student­­Performance[[#This Row],[Writing Score]]&gt;=50,"Pass","Fail")</f>
        <v>Pass</v>
      </c>
      <c r="T53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199</v>
      </c>
      <c r="U531" s="4" cm="1">
        <f t="array" ref="U531">IF(COUNT(F531:H531)=0,"", MAX(IF(ISNUMBER(F531:H531),F531:H531)) - MIN(IF(ISNUMBER(F531:H531),F531:H531)))</f>
        <v>14</v>
      </c>
      <c r="V531" s="4" t="str">
        <f>IF(U531="","",IF(U531&gt;25,"Outlier","Normal"))</f>
        <v>Normal</v>
      </c>
    </row>
    <row r="532" spans="1:22" x14ac:dyDescent="0.3">
      <c r="A532" s="1" t="s">
        <v>17</v>
      </c>
      <c r="B532" s="1" t="s">
        <v>18</v>
      </c>
      <c r="C532" s="1" t="s">
        <v>83</v>
      </c>
      <c r="D532" s="1" t="s">
        <v>20</v>
      </c>
      <c r="E532" s="1" t="s">
        <v>12</v>
      </c>
      <c r="F532" s="4">
        <v>62</v>
      </c>
      <c r="G532" s="4">
        <v>72</v>
      </c>
      <c r="H532" s="4">
        <v>65</v>
      </c>
      <c r="I532" s="4">
        <f>AVERAGE(Student­­Performance[[#This Row],[Math Score]],Student­­Performance[[#This Row],[Reading Score]],Student­­Performance[[#This Row],[Writing Score]])</f>
        <v>66.333333333333329</v>
      </c>
      <c r="J532" s="10" t="str">
        <f>IF(Student­­Performance[[#This Row],[Average Score]]&gt;=50,"Pass","Fail")</f>
        <v>Pass</v>
      </c>
      <c r="K53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53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53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532" s="4">
        <f>IF(ISNUMBER(Student­­Performance[[#This Row],[Math Score]]),Student­­Performance[[#This Row],[Math Score]],0)</f>
        <v>62</v>
      </c>
      <c r="O532" s="4">
        <f>IF(ISNUMBER(Student­­Performance[[#This Row],[Reading Score]]),Student­­Performance[[#This Row],[Reading Score]],0)</f>
        <v>72</v>
      </c>
      <c r="P532" s="4">
        <f>IF(ISNUMBER(Student­­Performance[[#This Row],[Writing Score]]),Student­­Performance[[#This Row],[Writing Score]],0)</f>
        <v>65</v>
      </c>
      <c r="Q532" s="4" t="str">
        <f>IF(Student­­Performance[[#This Row],[Math Score]]&gt;=50,"Pass","Fail")</f>
        <v>Pass</v>
      </c>
      <c r="R532" s="4" t="str">
        <f>IF(Student­­Performance[[#This Row],[Reading Score]]&gt;=50,"Pass","Fail")</f>
        <v>Pass</v>
      </c>
      <c r="S532" s="4" t="str">
        <f>IF(Student­­Performance[[#This Row],[Writing Score]]&gt;=50,"Pass","Fail")</f>
        <v>Pass</v>
      </c>
      <c r="T53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199</v>
      </c>
      <c r="U532" s="4" cm="1">
        <f t="array" ref="U532">IF(COUNT(F532:H532)=0,"", MAX(IF(ISNUMBER(F532:H532),F532:H532)) - MIN(IF(ISNUMBER(F532:H532),F532:H532)))</f>
        <v>10</v>
      </c>
      <c r="V532" s="4" t="str">
        <f>IF(U532="","",IF(U532&gt;25,"Outlier","Normal"))</f>
        <v>Normal</v>
      </c>
    </row>
    <row r="533" spans="1:22" x14ac:dyDescent="0.3">
      <c r="A533" s="1" t="s">
        <v>8</v>
      </c>
      <c r="B533" s="1" t="s">
        <v>13</v>
      </c>
      <c r="C533" s="1" t="s">
        <v>87</v>
      </c>
      <c r="D533" s="1" t="s">
        <v>11</v>
      </c>
      <c r="E533" s="1" t="s">
        <v>12</v>
      </c>
      <c r="F533" s="4">
        <v>59</v>
      </c>
      <c r="G533" s="4">
        <v>72</v>
      </c>
      <c r="H533" s="4">
        <v>68</v>
      </c>
      <c r="I533" s="4">
        <f>AVERAGE(Student­­Performance[[#This Row],[Math Score]],Student­­Performance[[#This Row],[Reading Score]],Student­­Performance[[#This Row],[Writing Score]])</f>
        <v>66.333333333333329</v>
      </c>
      <c r="J533" s="10" t="str">
        <f>IF(Student­­Performance[[#This Row],[Average Score]]&gt;=50,"Pass","Fail")</f>
        <v>Pass</v>
      </c>
      <c r="K53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13</v>
      </c>
      <c r="L53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53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533" s="4">
        <f>IF(ISNUMBER(Student­­Performance[[#This Row],[Math Score]]),Student­­Performance[[#This Row],[Math Score]],0)</f>
        <v>59</v>
      </c>
      <c r="O533" s="4">
        <f>IF(ISNUMBER(Student­­Performance[[#This Row],[Reading Score]]),Student­­Performance[[#This Row],[Reading Score]],0)</f>
        <v>72</v>
      </c>
      <c r="P533" s="4">
        <f>IF(ISNUMBER(Student­­Performance[[#This Row],[Writing Score]]),Student­­Performance[[#This Row],[Writing Score]],0)</f>
        <v>68</v>
      </c>
      <c r="Q533" s="4" t="str">
        <f>IF(Student­­Performance[[#This Row],[Math Score]]&gt;=50,"Pass","Fail")</f>
        <v>Pass</v>
      </c>
      <c r="R533" s="4" t="str">
        <f>IF(Student­­Performance[[#This Row],[Reading Score]]&gt;=50,"Pass","Fail")</f>
        <v>Pass</v>
      </c>
      <c r="S533" s="4" t="str">
        <f>IF(Student­­Performance[[#This Row],[Writing Score]]&gt;=50,"Pass","Fail")</f>
        <v>Pass</v>
      </c>
      <c r="T53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199</v>
      </c>
      <c r="U533" s="4" cm="1">
        <f t="array" ref="U533">IF(COUNT(F533:H533)=0,"", MAX(IF(ISNUMBER(F533:H533),F533:H533)) - MIN(IF(ISNUMBER(F533:H533),F533:H533)))</f>
        <v>13</v>
      </c>
      <c r="V533" s="4" t="str">
        <f>IF(U533="","",IF(U533&gt;25,"Outlier","Normal"))</f>
        <v>Normal</v>
      </c>
    </row>
    <row r="534" spans="1:22" x14ac:dyDescent="0.3">
      <c r="A534" s="1" t="s">
        <v>17</v>
      </c>
      <c r="B534" s="1" t="s">
        <v>21</v>
      </c>
      <c r="C534" s="1" t="s">
        <v>87</v>
      </c>
      <c r="D534" s="1" t="s">
        <v>11</v>
      </c>
      <c r="E534" s="1" t="s">
        <v>12</v>
      </c>
      <c r="F534" s="4">
        <v>66</v>
      </c>
      <c r="G534" s="4">
        <v>69</v>
      </c>
      <c r="H534" s="4">
        <v>63</v>
      </c>
      <c r="I534" s="4">
        <f>AVERAGE(Student­­Performance[[#This Row],[Math Score]],Student­­Performance[[#This Row],[Reading Score]],Student­­Performance[[#This Row],[Writing Score]])</f>
        <v>66</v>
      </c>
      <c r="J534" s="10" t="str">
        <f>IF(Student­­Performance[[#This Row],[Average Score]]&gt;=50,"Pass","Fail")</f>
        <v>Pass</v>
      </c>
      <c r="K53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53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53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534" s="4">
        <f>IF(ISNUMBER(Student­­Performance[[#This Row],[Math Score]]),Student­­Performance[[#This Row],[Math Score]],0)</f>
        <v>66</v>
      </c>
      <c r="O534" s="4">
        <f>IF(ISNUMBER(Student­­Performance[[#This Row],[Reading Score]]),Student­­Performance[[#This Row],[Reading Score]],0)</f>
        <v>69</v>
      </c>
      <c r="P534" s="4">
        <f>IF(ISNUMBER(Student­­Performance[[#This Row],[Writing Score]]),Student­­Performance[[#This Row],[Writing Score]],0)</f>
        <v>63</v>
      </c>
      <c r="Q534" s="4" t="str">
        <f>IF(Student­­Performance[[#This Row],[Math Score]]&gt;=50,"Pass","Fail")</f>
        <v>Pass</v>
      </c>
      <c r="R534" s="4" t="str">
        <f>IF(Student­­Performance[[#This Row],[Reading Score]]&gt;=50,"Pass","Fail")</f>
        <v>Pass</v>
      </c>
      <c r="S534" s="4" t="str">
        <f>IF(Student­­Performance[[#This Row],[Writing Score]]&gt;=50,"Pass","Fail")</f>
        <v>Pass</v>
      </c>
      <c r="T53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198</v>
      </c>
      <c r="U534" s="4" cm="1">
        <f t="array" ref="U534">IF(COUNT(F534:H534)=0,"", MAX(IF(ISNUMBER(F534:H534),F534:H534)) - MIN(IF(ISNUMBER(F534:H534),F534:H534)))</f>
        <v>6</v>
      </c>
      <c r="V534" s="4" t="str">
        <f>IF(U534="","",IF(U534&gt;25,"Outlier","Normal"))</f>
        <v>Normal</v>
      </c>
    </row>
    <row r="535" spans="1:22" x14ac:dyDescent="0.3">
      <c r="A535" s="1" t="s">
        <v>8</v>
      </c>
      <c r="B535" s="1" t="s">
        <v>26</v>
      </c>
      <c r="C535" s="1" t="s">
        <v>85</v>
      </c>
      <c r="D535" s="1" t="s">
        <v>11</v>
      </c>
      <c r="E535" s="1" t="s">
        <v>12</v>
      </c>
      <c r="F535" s="4">
        <v>62</v>
      </c>
      <c r="G535" s="4">
        <v>68</v>
      </c>
      <c r="H535" s="4">
        <v>68</v>
      </c>
      <c r="I535" s="4">
        <f>AVERAGE(Student­­Performance[[#This Row],[Math Score]],Student­­Performance[[#This Row],[Reading Score]],Student­­Performance[[#This Row],[Writing Score]])</f>
        <v>66</v>
      </c>
      <c r="J535" s="10" t="str">
        <f>IF(Student­­Performance[[#This Row],[Average Score]]&gt;=50,"Pass","Fail")</f>
        <v>Pass</v>
      </c>
      <c r="K53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53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53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535" s="4">
        <f>IF(ISNUMBER(Student­­Performance[[#This Row],[Math Score]]),Student­­Performance[[#This Row],[Math Score]],0)</f>
        <v>62</v>
      </c>
      <c r="O535" s="4">
        <f>IF(ISNUMBER(Student­­Performance[[#This Row],[Reading Score]]),Student­­Performance[[#This Row],[Reading Score]],0)</f>
        <v>68</v>
      </c>
      <c r="P535" s="4">
        <f>IF(ISNUMBER(Student­­Performance[[#This Row],[Writing Score]]),Student­­Performance[[#This Row],[Writing Score]],0)</f>
        <v>68</v>
      </c>
      <c r="Q535" s="4" t="str">
        <f>IF(Student­­Performance[[#This Row],[Math Score]]&gt;=50,"Pass","Fail")</f>
        <v>Pass</v>
      </c>
      <c r="R535" s="4" t="str">
        <f>IF(Student­­Performance[[#This Row],[Reading Score]]&gt;=50,"Pass","Fail")</f>
        <v>Pass</v>
      </c>
      <c r="S535" s="4" t="str">
        <f>IF(Student­­Performance[[#This Row],[Writing Score]]&gt;=50,"Pass","Fail")</f>
        <v>Pass</v>
      </c>
      <c r="T53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198</v>
      </c>
      <c r="U535" s="4" cm="1">
        <f t="array" ref="U535">IF(COUNT(F535:H535)=0,"", MAX(IF(ISNUMBER(F535:H535),F535:H535)) - MIN(IF(ISNUMBER(F535:H535),F535:H535)))</f>
        <v>6</v>
      </c>
      <c r="V535" s="4" t="str">
        <f>IF(U535="","",IF(U535&gt;25,"Outlier","Normal"))</f>
        <v>Normal</v>
      </c>
    </row>
    <row r="536" spans="1:22" x14ac:dyDescent="0.3">
      <c r="A536" s="1" t="s">
        <v>8</v>
      </c>
      <c r="B536" s="1" t="s">
        <v>9</v>
      </c>
      <c r="C536" s="1" t="s">
        <v>86</v>
      </c>
      <c r="D536" s="1" t="s">
        <v>20</v>
      </c>
      <c r="E536" s="1" t="s">
        <v>12</v>
      </c>
      <c r="F536" s="4">
        <v>52</v>
      </c>
      <c r="G536" s="4">
        <v>76</v>
      </c>
      <c r="H536" s="4">
        <v>70</v>
      </c>
      <c r="I536" s="4">
        <f>AVERAGE(Student­­Performance[[#This Row],[Math Score]],Student­­Performance[[#This Row],[Reading Score]],Student­­Performance[[#This Row],[Writing Score]])</f>
        <v>66</v>
      </c>
      <c r="J536" s="10" t="str">
        <f>IF(Student­­Performance[[#This Row],[Average Score]]&gt;=50,"Pass","Fail")</f>
        <v>Pass</v>
      </c>
      <c r="K53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24</v>
      </c>
      <c r="L53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53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18</v>
      </c>
      <c r="N536" s="4">
        <f>IF(ISNUMBER(Student­­Performance[[#This Row],[Math Score]]),Student­­Performance[[#This Row],[Math Score]],0)</f>
        <v>52</v>
      </c>
      <c r="O536" s="4">
        <f>IF(ISNUMBER(Student­­Performance[[#This Row],[Reading Score]]),Student­­Performance[[#This Row],[Reading Score]],0)</f>
        <v>76</v>
      </c>
      <c r="P536" s="4">
        <f>IF(ISNUMBER(Student­­Performance[[#This Row],[Writing Score]]),Student­­Performance[[#This Row],[Writing Score]],0)</f>
        <v>70</v>
      </c>
      <c r="Q536" s="4" t="str">
        <f>IF(Student­­Performance[[#This Row],[Math Score]]&gt;=50,"Pass","Fail")</f>
        <v>Pass</v>
      </c>
      <c r="R536" s="4" t="str">
        <f>IF(Student­­Performance[[#This Row],[Reading Score]]&gt;=50,"Pass","Fail")</f>
        <v>Pass</v>
      </c>
      <c r="S536" s="4" t="str">
        <f>IF(Student­­Performance[[#This Row],[Writing Score]]&gt;=50,"Pass","Fail")</f>
        <v>Pass</v>
      </c>
      <c r="T53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198</v>
      </c>
      <c r="U536" s="4" cm="1">
        <f t="array" ref="U536">IF(COUNT(F536:H536)=0,"", MAX(IF(ISNUMBER(F536:H536),F536:H536)) - MIN(IF(ISNUMBER(F536:H536),F536:H536)))</f>
        <v>24</v>
      </c>
      <c r="V536" s="4" t="str">
        <f>IF(U536="","",IF(U536&gt;25,"Outlier","Normal"))</f>
        <v>Normal</v>
      </c>
    </row>
    <row r="537" spans="1:22" x14ac:dyDescent="0.3">
      <c r="A537" s="1" t="s">
        <v>17</v>
      </c>
      <c r="B537" s="1" t="s">
        <v>18</v>
      </c>
      <c r="C537" s="1" t="s">
        <v>88</v>
      </c>
      <c r="D537" s="1" t="s">
        <v>11</v>
      </c>
      <c r="E537" s="1" t="s">
        <v>15</v>
      </c>
      <c r="F537" s="4">
        <v>62</v>
      </c>
      <c r="G537" s="4">
        <v>67</v>
      </c>
      <c r="H537" s="4">
        <v>69</v>
      </c>
      <c r="I537" s="4">
        <f>AVERAGE(Student­­Performance[[#This Row],[Math Score]],Student­­Performance[[#This Row],[Reading Score]],Student­­Performance[[#This Row],[Writing Score]])</f>
        <v>66</v>
      </c>
      <c r="J537" s="10" t="str">
        <f>IF(Student­­Performance[[#This Row],[Average Score]]&gt;=50,"Pass","Fail")</f>
        <v>Pass</v>
      </c>
      <c r="K53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53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53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537" s="4">
        <f>IF(ISNUMBER(Student­­Performance[[#This Row],[Math Score]]),Student­­Performance[[#This Row],[Math Score]],0)</f>
        <v>62</v>
      </c>
      <c r="O537" s="4">
        <f>IF(ISNUMBER(Student­­Performance[[#This Row],[Reading Score]]),Student­­Performance[[#This Row],[Reading Score]],0)</f>
        <v>67</v>
      </c>
      <c r="P537" s="4">
        <f>IF(ISNUMBER(Student­­Performance[[#This Row],[Writing Score]]),Student­­Performance[[#This Row],[Writing Score]],0)</f>
        <v>69</v>
      </c>
      <c r="Q537" s="4" t="str">
        <f>IF(Student­­Performance[[#This Row],[Math Score]]&gt;=50,"Pass","Fail")</f>
        <v>Pass</v>
      </c>
      <c r="R537" s="4" t="str">
        <f>IF(Student­­Performance[[#This Row],[Reading Score]]&gt;=50,"Pass","Fail")</f>
        <v>Pass</v>
      </c>
      <c r="S537" s="4" t="str">
        <f>IF(Student­­Performance[[#This Row],[Writing Score]]&gt;=50,"Pass","Fail")</f>
        <v>Pass</v>
      </c>
      <c r="T53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198</v>
      </c>
      <c r="U537" s="4" cm="1">
        <f t="array" ref="U537">IF(COUNT(F537:H537)=0,"", MAX(IF(ISNUMBER(F537:H537),F537:H537)) - MIN(IF(ISNUMBER(F537:H537),F537:H537)))</f>
        <v>7</v>
      </c>
      <c r="V537" s="4" t="str">
        <f>IF(U537="","",IF(U537&gt;25,"Outlier","Normal"))</f>
        <v>Normal</v>
      </c>
    </row>
    <row r="538" spans="1:22" x14ac:dyDescent="0.3">
      <c r="A538" s="1" t="s">
        <v>8</v>
      </c>
      <c r="B538" s="1" t="s">
        <v>21</v>
      </c>
      <c r="C538" s="1" t="s">
        <v>87</v>
      </c>
      <c r="D538" s="1" t="s">
        <v>11</v>
      </c>
      <c r="E538" s="1" t="s">
        <v>15</v>
      </c>
      <c r="F538" s="4">
        <v>56</v>
      </c>
      <c r="G538" s="4">
        <v>68</v>
      </c>
      <c r="H538" s="4">
        <v>74</v>
      </c>
      <c r="I538" s="4">
        <f>AVERAGE(Student­­Performance[[#This Row],[Math Score]],Student­­Performance[[#This Row],[Reading Score]],Student­­Performance[[#This Row],[Writing Score]])</f>
        <v>66</v>
      </c>
      <c r="J538" s="10" t="str">
        <f>IF(Student­­Performance[[#This Row],[Average Score]]&gt;=50,"Pass","Fail")</f>
        <v>Pass</v>
      </c>
      <c r="K53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53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53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18</v>
      </c>
      <c r="N538" s="4">
        <f>IF(ISNUMBER(Student­­Performance[[#This Row],[Math Score]]),Student­­Performance[[#This Row],[Math Score]],0)</f>
        <v>56</v>
      </c>
      <c r="O538" s="4">
        <f>IF(ISNUMBER(Student­­Performance[[#This Row],[Reading Score]]),Student­­Performance[[#This Row],[Reading Score]],0)</f>
        <v>68</v>
      </c>
      <c r="P538" s="4">
        <f>IF(ISNUMBER(Student­­Performance[[#This Row],[Writing Score]]),Student­­Performance[[#This Row],[Writing Score]],0)</f>
        <v>74</v>
      </c>
      <c r="Q538" s="4" t="str">
        <f>IF(Student­­Performance[[#This Row],[Math Score]]&gt;=50,"Pass","Fail")</f>
        <v>Pass</v>
      </c>
      <c r="R538" s="4" t="str">
        <f>IF(Student­­Performance[[#This Row],[Reading Score]]&gt;=50,"Pass","Fail")</f>
        <v>Pass</v>
      </c>
      <c r="S538" s="4" t="str">
        <f>IF(Student­­Performance[[#This Row],[Writing Score]]&gt;=50,"Pass","Fail")</f>
        <v>Pass</v>
      </c>
      <c r="T53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198</v>
      </c>
      <c r="U538" s="4" cm="1">
        <f t="array" ref="U538">IF(COUNT(F538:H538)=0,"", MAX(IF(ISNUMBER(F538:H538),F538:H538)) - MIN(IF(ISNUMBER(F538:H538),F538:H538)))</f>
        <v>18</v>
      </c>
      <c r="V538" s="4" t="str">
        <f>IF(U538="","",IF(U538&gt;25,"Outlier","Normal"))</f>
        <v>Normal</v>
      </c>
    </row>
    <row r="539" spans="1:22" x14ac:dyDescent="0.3">
      <c r="A539" s="1" t="s">
        <v>8</v>
      </c>
      <c r="B539" s="1" t="s">
        <v>21</v>
      </c>
      <c r="C539" s="1" t="s">
        <v>88</v>
      </c>
      <c r="D539" s="1" t="s">
        <v>11</v>
      </c>
      <c r="E539" s="1" t="s">
        <v>15</v>
      </c>
      <c r="F539" s="4">
        <v>64</v>
      </c>
      <c r="G539" s="4">
        <v>60</v>
      </c>
      <c r="H539" s="4">
        <v>74</v>
      </c>
      <c r="I539" s="4">
        <f>AVERAGE(Student­­Performance[[#This Row],[Math Score]],Student­­Performance[[#This Row],[Reading Score]],Student­­Performance[[#This Row],[Writing Score]])</f>
        <v>66</v>
      </c>
      <c r="J539" s="10" t="str">
        <f>IF(Student­­Performance[[#This Row],[Average Score]]&gt;=50,"Pass","Fail")</f>
        <v>Pass</v>
      </c>
      <c r="K53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53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14</v>
      </c>
      <c r="M53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539" s="4">
        <f>IF(ISNUMBER(Student­­Performance[[#This Row],[Math Score]]),Student­­Performance[[#This Row],[Math Score]],0)</f>
        <v>64</v>
      </c>
      <c r="O539" s="4">
        <f>IF(ISNUMBER(Student­­Performance[[#This Row],[Reading Score]]),Student­­Performance[[#This Row],[Reading Score]],0)</f>
        <v>60</v>
      </c>
      <c r="P539" s="4">
        <f>IF(ISNUMBER(Student­­Performance[[#This Row],[Writing Score]]),Student­­Performance[[#This Row],[Writing Score]],0)</f>
        <v>74</v>
      </c>
      <c r="Q539" s="4" t="str">
        <f>IF(Student­­Performance[[#This Row],[Math Score]]&gt;=50,"Pass","Fail")</f>
        <v>Pass</v>
      </c>
      <c r="R539" s="4" t="str">
        <f>IF(Student­­Performance[[#This Row],[Reading Score]]&gt;=50,"Pass","Fail")</f>
        <v>Pass</v>
      </c>
      <c r="S539" s="4" t="str">
        <f>IF(Student­­Performance[[#This Row],[Writing Score]]&gt;=50,"Pass","Fail")</f>
        <v>Pass</v>
      </c>
      <c r="T53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198</v>
      </c>
      <c r="U539" s="4" cm="1">
        <f t="array" ref="U539">IF(COUNT(F539:H539)=0,"", MAX(IF(ISNUMBER(F539:H539),F539:H539)) - MIN(IF(ISNUMBER(F539:H539),F539:H539)))</f>
        <v>14</v>
      </c>
      <c r="V539" s="4" t="str">
        <f>IF(U539="","",IF(U539&gt;25,"Outlier","Normal"))</f>
        <v>Normal</v>
      </c>
    </row>
    <row r="540" spans="1:22" x14ac:dyDescent="0.3">
      <c r="A540" s="1" t="s">
        <v>8</v>
      </c>
      <c r="B540" s="1" t="s">
        <v>13</v>
      </c>
      <c r="C540" s="1" t="s">
        <v>83</v>
      </c>
      <c r="D540" s="1" t="s">
        <v>11</v>
      </c>
      <c r="E540" s="1" t="s">
        <v>15</v>
      </c>
      <c r="F540" s="4">
        <v>59</v>
      </c>
      <c r="G540" s="4">
        <v>64</v>
      </c>
      <c r="H540" s="4">
        <v>75</v>
      </c>
      <c r="I540" s="4">
        <f>AVERAGE(Student­­Performance[[#This Row],[Math Score]],Student­­Performance[[#This Row],[Reading Score]],Student­­Performance[[#This Row],[Writing Score]])</f>
        <v>66</v>
      </c>
      <c r="J540" s="10" t="str">
        <f>IF(Student­­Performance[[#This Row],[Average Score]]&gt;=50,"Pass","Fail")</f>
        <v>Pass</v>
      </c>
      <c r="K54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54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11</v>
      </c>
      <c r="M54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16</v>
      </c>
      <c r="N540" s="4">
        <f>IF(ISNUMBER(Student­­Performance[[#This Row],[Math Score]]),Student­­Performance[[#This Row],[Math Score]],0)</f>
        <v>59</v>
      </c>
      <c r="O540" s="4">
        <f>IF(ISNUMBER(Student­­Performance[[#This Row],[Reading Score]]),Student­­Performance[[#This Row],[Reading Score]],0)</f>
        <v>64</v>
      </c>
      <c r="P540" s="4">
        <f>IF(ISNUMBER(Student­­Performance[[#This Row],[Writing Score]]),Student­­Performance[[#This Row],[Writing Score]],0)</f>
        <v>75</v>
      </c>
      <c r="Q540" s="4" t="str">
        <f>IF(Student­­Performance[[#This Row],[Math Score]]&gt;=50,"Pass","Fail")</f>
        <v>Pass</v>
      </c>
      <c r="R540" s="4" t="str">
        <f>IF(Student­­Performance[[#This Row],[Reading Score]]&gt;=50,"Pass","Fail")</f>
        <v>Pass</v>
      </c>
      <c r="S540" s="4" t="str">
        <f>IF(Student­­Performance[[#This Row],[Writing Score]]&gt;=50,"Pass","Fail")</f>
        <v>Pass</v>
      </c>
      <c r="T54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198</v>
      </c>
      <c r="U540" s="4" cm="1">
        <f t="array" ref="U540">IF(COUNT(F540:H540)=0,"", MAX(IF(ISNUMBER(F540:H540),F540:H540)) - MIN(IF(ISNUMBER(F540:H540),F540:H540)))</f>
        <v>16</v>
      </c>
      <c r="V540" s="4" t="str">
        <f>IF(U540="","",IF(U540&gt;25,"Outlier","Normal"))</f>
        <v>Normal</v>
      </c>
    </row>
    <row r="541" spans="1:22" x14ac:dyDescent="0.3">
      <c r="A541" s="1" t="s">
        <v>8</v>
      </c>
      <c r="B541" s="1" t="s">
        <v>13</v>
      </c>
      <c r="C541" s="1" t="s">
        <v>86</v>
      </c>
      <c r="D541" s="1" t="s">
        <v>11</v>
      </c>
      <c r="E541" s="1" t="s">
        <v>12</v>
      </c>
      <c r="F541" s="4">
        <v>64</v>
      </c>
      <c r="G541" s="4">
        <v>64</v>
      </c>
      <c r="H541" s="4">
        <v>70</v>
      </c>
      <c r="I541" s="4">
        <f>AVERAGE(Student­­Performance[[#This Row],[Math Score]],Student­­Performance[[#This Row],[Reading Score]],Student­­Performance[[#This Row],[Writing Score]])</f>
        <v>66</v>
      </c>
      <c r="J541" s="10" t="str">
        <f>IF(Student­­Performance[[#This Row],[Average Score]]&gt;=50,"Pass","Fail")</f>
        <v>Pass</v>
      </c>
      <c r="K54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54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54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541" s="4">
        <f>IF(ISNUMBER(Student­­Performance[[#This Row],[Math Score]]),Student­­Performance[[#This Row],[Math Score]],0)</f>
        <v>64</v>
      </c>
      <c r="O541" s="4">
        <f>IF(ISNUMBER(Student­­Performance[[#This Row],[Reading Score]]),Student­­Performance[[#This Row],[Reading Score]],0)</f>
        <v>64</v>
      </c>
      <c r="P541" s="4">
        <f>IF(ISNUMBER(Student­­Performance[[#This Row],[Writing Score]]),Student­­Performance[[#This Row],[Writing Score]],0)</f>
        <v>70</v>
      </c>
      <c r="Q541" s="4" t="str">
        <f>IF(Student­­Performance[[#This Row],[Math Score]]&gt;=50,"Pass","Fail")</f>
        <v>Pass</v>
      </c>
      <c r="R541" s="4" t="str">
        <f>IF(Student­­Performance[[#This Row],[Reading Score]]&gt;=50,"Pass","Fail")</f>
        <v>Pass</v>
      </c>
      <c r="S541" s="4" t="str">
        <f>IF(Student­­Performance[[#This Row],[Writing Score]]&gt;=50,"Pass","Fail")</f>
        <v>Pass</v>
      </c>
      <c r="T54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198</v>
      </c>
      <c r="U541" s="4" cm="1">
        <f t="array" ref="U541">IF(COUNT(F541:H541)=0,"", MAX(IF(ISNUMBER(F541:H541),F541:H541)) - MIN(IF(ISNUMBER(F541:H541),F541:H541)))</f>
        <v>6</v>
      </c>
      <c r="V541" s="4" t="str">
        <f>IF(U541="","",IF(U541&gt;25,"Outlier","Normal"))</f>
        <v>Normal</v>
      </c>
    </row>
    <row r="542" spans="1:22" x14ac:dyDescent="0.3">
      <c r="A542" s="1" t="s">
        <v>17</v>
      </c>
      <c r="B542" s="1" t="s">
        <v>9</v>
      </c>
      <c r="C542" s="1" t="s">
        <v>87</v>
      </c>
      <c r="D542" s="1" t="s">
        <v>11</v>
      </c>
      <c r="E542" s="1" t="s">
        <v>15</v>
      </c>
      <c r="F542" s="4">
        <v>76</v>
      </c>
      <c r="G542" s="4">
        <v>62</v>
      </c>
      <c r="H542" s="4">
        <v>60</v>
      </c>
      <c r="I542" s="4">
        <f>AVERAGE(Student­­Performance[[#This Row],[Math Score]],Student­­Performance[[#This Row],[Reading Score]],Student­­Performance[[#This Row],[Writing Score]])</f>
        <v>66</v>
      </c>
      <c r="J542" s="10" t="str">
        <f>IF(Student­­Performance[[#This Row],[Average Score]]&gt;=50,"Pass","Fail")</f>
        <v>Pass</v>
      </c>
      <c r="K54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-14</v>
      </c>
      <c r="L54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54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-16</v>
      </c>
      <c r="N542" s="4">
        <f>IF(ISNUMBER(Student­­Performance[[#This Row],[Math Score]]),Student­­Performance[[#This Row],[Math Score]],0)</f>
        <v>76</v>
      </c>
      <c r="O542" s="4">
        <f>IF(ISNUMBER(Student­­Performance[[#This Row],[Reading Score]]),Student­­Performance[[#This Row],[Reading Score]],0)</f>
        <v>62</v>
      </c>
      <c r="P542" s="4">
        <f>IF(ISNUMBER(Student­­Performance[[#This Row],[Writing Score]]),Student­­Performance[[#This Row],[Writing Score]],0)</f>
        <v>60</v>
      </c>
      <c r="Q542" s="4" t="str">
        <f>IF(Student­­Performance[[#This Row],[Math Score]]&gt;=50,"Pass","Fail")</f>
        <v>Pass</v>
      </c>
      <c r="R542" s="4" t="str">
        <f>IF(Student­­Performance[[#This Row],[Reading Score]]&gt;=50,"Pass","Fail")</f>
        <v>Pass</v>
      </c>
      <c r="S542" s="4" t="str">
        <f>IF(Student­­Performance[[#This Row],[Writing Score]]&gt;=50,"Pass","Fail")</f>
        <v>Pass</v>
      </c>
      <c r="T54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198</v>
      </c>
      <c r="U542" s="4" cm="1">
        <f t="array" ref="U542">IF(COUNT(F542:H542)=0,"", MAX(IF(ISNUMBER(F542:H542),F542:H542)) - MIN(IF(ISNUMBER(F542:H542),F542:H542)))</f>
        <v>16</v>
      </c>
      <c r="V542" s="4" t="str">
        <f>IF(U542="","",IF(U542&gt;25,"Outlier","Normal"))</f>
        <v>Normal</v>
      </c>
    </row>
    <row r="543" spans="1:22" x14ac:dyDescent="0.3">
      <c r="A543" s="1" t="s">
        <v>8</v>
      </c>
      <c r="B543" s="1" t="s">
        <v>26</v>
      </c>
      <c r="C543" s="1" t="s">
        <v>86</v>
      </c>
      <c r="D543" s="1" t="s">
        <v>20</v>
      </c>
      <c r="E543" s="1" t="s">
        <v>15</v>
      </c>
      <c r="F543" s="4">
        <v>57</v>
      </c>
      <c r="G543" s="4">
        <v>68</v>
      </c>
      <c r="H543" s="4">
        <v>73</v>
      </c>
      <c r="I543" s="4">
        <f>AVERAGE(Student­­Performance[[#This Row],[Math Score]],Student­­Performance[[#This Row],[Reading Score]],Student­­Performance[[#This Row],[Writing Score]])</f>
        <v>66</v>
      </c>
      <c r="J543" s="10" t="str">
        <f>IF(Student­­Performance[[#This Row],[Average Score]]&gt;=50,"Pass","Fail")</f>
        <v>Pass</v>
      </c>
      <c r="K54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54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54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16</v>
      </c>
      <c r="N543" s="4">
        <f>IF(ISNUMBER(Student­­Performance[[#This Row],[Math Score]]),Student­­Performance[[#This Row],[Math Score]],0)</f>
        <v>57</v>
      </c>
      <c r="O543" s="4">
        <f>IF(ISNUMBER(Student­­Performance[[#This Row],[Reading Score]]),Student­­Performance[[#This Row],[Reading Score]],0)</f>
        <v>68</v>
      </c>
      <c r="P543" s="4">
        <f>IF(ISNUMBER(Student­­Performance[[#This Row],[Writing Score]]),Student­­Performance[[#This Row],[Writing Score]],0)</f>
        <v>73</v>
      </c>
      <c r="Q543" s="4" t="str">
        <f>IF(Student­­Performance[[#This Row],[Math Score]]&gt;=50,"Pass","Fail")</f>
        <v>Pass</v>
      </c>
      <c r="R543" s="4" t="str">
        <f>IF(Student­­Performance[[#This Row],[Reading Score]]&gt;=50,"Pass","Fail")</f>
        <v>Pass</v>
      </c>
      <c r="S543" s="4" t="str">
        <f>IF(Student­­Performance[[#This Row],[Writing Score]]&gt;=50,"Pass","Fail")</f>
        <v>Pass</v>
      </c>
      <c r="T54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198</v>
      </c>
      <c r="U543" s="4" cm="1">
        <f t="array" ref="U543">IF(COUNT(F543:H543)=0,"", MAX(IF(ISNUMBER(F543:H543),F543:H543)) - MIN(IF(ISNUMBER(F543:H543),F543:H543)))</f>
        <v>16</v>
      </c>
      <c r="V543" s="4" t="str">
        <f>IF(U543="","",IF(U543&gt;25,"Outlier","Normal"))</f>
        <v>Normal</v>
      </c>
    </row>
    <row r="544" spans="1:22" x14ac:dyDescent="0.3">
      <c r="A544" s="1" t="s">
        <v>8</v>
      </c>
      <c r="B544" s="1" t="s">
        <v>13</v>
      </c>
      <c r="C544" s="1" t="s">
        <v>87</v>
      </c>
      <c r="D544" s="1" t="s">
        <v>11</v>
      </c>
      <c r="E544" s="1" t="s">
        <v>15</v>
      </c>
      <c r="F544" s="4">
        <v>60</v>
      </c>
      <c r="G544" s="4">
        <v>64</v>
      </c>
      <c r="H544" s="4">
        <v>74</v>
      </c>
      <c r="I544" s="4">
        <f>AVERAGE(Student­­Performance[[#This Row],[Math Score]],Student­­Performance[[#This Row],[Reading Score]],Student­­Performance[[#This Row],[Writing Score]])</f>
        <v>66</v>
      </c>
      <c r="J544" s="10" t="str">
        <f>IF(Student­­Performance[[#This Row],[Average Score]]&gt;=50,"Pass","Fail")</f>
        <v>Pass</v>
      </c>
      <c r="K54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54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10</v>
      </c>
      <c r="M54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14</v>
      </c>
      <c r="N544" s="4">
        <f>IF(ISNUMBER(Student­­Performance[[#This Row],[Math Score]]),Student­­Performance[[#This Row],[Math Score]],0)</f>
        <v>60</v>
      </c>
      <c r="O544" s="4">
        <f>IF(ISNUMBER(Student­­Performance[[#This Row],[Reading Score]]),Student­­Performance[[#This Row],[Reading Score]],0)</f>
        <v>64</v>
      </c>
      <c r="P544" s="4">
        <f>IF(ISNUMBER(Student­­Performance[[#This Row],[Writing Score]]),Student­­Performance[[#This Row],[Writing Score]],0)</f>
        <v>74</v>
      </c>
      <c r="Q544" s="4" t="str">
        <f>IF(Student­­Performance[[#This Row],[Math Score]]&gt;=50,"Pass","Fail")</f>
        <v>Pass</v>
      </c>
      <c r="R544" s="4" t="str">
        <f>IF(Student­­Performance[[#This Row],[Reading Score]]&gt;=50,"Pass","Fail")</f>
        <v>Pass</v>
      </c>
      <c r="S544" s="4" t="str">
        <f>IF(Student­­Performance[[#This Row],[Writing Score]]&gt;=50,"Pass","Fail")</f>
        <v>Pass</v>
      </c>
      <c r="T54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198</v>
      </c>
      <c r="U544" s="4" cm="1">
        <f t="array" ref="U544">IF(COUNT(F544:H544)=0,"", MAX(IF(ISNUMBER(F544:H544),F544:H544)) - MIN(IF(ISNUMBER(F544:H544),F544:H544)))</f>
        <v>14</v>
      </c>
      <c r="V544" s="4" t="str">
        <f>IF(U544="","",IF(U544&gt;25,"Outlier","Normal"))</f>
        <v>Normal</v>
      </c>
    </row>
    <row r="545" spans="1:22" x14ac:dyDescent="0.3">
      <c r="A545" s="1" t="s">
        <v>17</v>
      </c>
      <c r="B545" s="1" t="s">
        <v>26</v>
      </c>
      <c r="C545" s="1" t="s">
        <v>88</v>
      </c>
      <c r="D545" s="1" t="s">
        <v>11</v>
      </c>
      <c r="E545" s="1" t="s">
        <v>15</v>
      </c>
      <c r="F545" s="4">
        <v>74</v>
      </c>
      <c r="G545" s="4">
        <v>64</v>
      </c>
      <c r="H545" s="4">
        <v>60</v>
      </c>
      <c r="I545" s="4">
        <f>AVERAGE(Student­­Performance[[#This Row],[Math Score]],Student­­Performance[[#This Row],[Reading Score]],Student­­Performance[[#This Row],[Writing Score]])</f>
        <v>66</v>
      </c>
      <c r="J545" s="10" t="str">
        <f>IF(Student­­Performance[[#This Row],[Average Score]]&gt;=50,"Pass","Fail")</f>
        <v>Pass</v>
      </c>
      <c r="K54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-10</v>
      </c>
      <c r="L54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54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-14</v>
      </c>
      <c r="N545" s="4">
        <f>IF(ISNUMBER(Student­­Performance[[#This Row],[Math Score]]),Student­­Performance[[#This Row],[Math Score]],0)</f>
        <v>74</v>
      </c>
      <c r="O545" s="4">
        <f>IF(ISNUMBER(Student­­Performance[[#This Row],[Reading Score]]),Student­­Performance[[#This Row],[Reading Score]],0)</f>
        <v>64</v>
      </c>
      <c r="P545" s="4">
        <f>IF(ISNUMBER(Student­­Performance[[#This Row],[Writing Score]]),Student­­Performance[[#This Row],[Writing Score]],0)</f>
        <v>60</v>
      </c>
      <c r="Q545" s="4" t="str">
        <f>IF(Student­­Performance[[#This Row],[Math Score]]&gt;=50,"Pass","Fail")</f>
        <v>Pass</v>
      </c>
      <c r="R545" s="4" t="str">
        <f>IF(Student­­Performance[[#This Row],[Reading Score]]&gt;=50,"Pass","Fail")</f>
        <v>Pass</v>
      </c>
      <c r="S545" s="4" t="str">
        <f>IF(Student­­Performance[[#This Row],[Writing Score]]&gt;=50,"Pass","Fail")</f>
        <v>Pass</v>
      </c>
      <c r="T54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198</v>
      </c>
      <c r="U545" s="4" cm="1">
        <f t="array" ref="U545">IF(COUNT(F545:H545)=0,"", MAX(IF(ISNUMBER(F545:H545),F545:H545)) - MIN(IF(ISNUMBER(F545:H545),F545:H545)))</f>
        <v>14</v>
      </c>
      <c r="V545" s="4" t="str">
        <f>IF(U545="","",IF(U545&gt;25,"Outlier","Normal"))</f>
        <v>Normal</v>
      </c>
    </row>
    <row r="546" spans="1:22" x14ac:dyDescent="0.3">
      <c r="A546" s="1" t="s">
        <v>17</v>
      </c>
      <c r="B546" s="1" t="s">
        <v>13</v>
      </c>
      <c r="C546" s="1" t="s">
        <v>86</v>
      </c>
      <c r="D546" s="1" t="s">
        <v>20</v>
      </c>
      <c r="E546" s="1" t="s">
        <v>15</v>
      </c>
      <c r="F546" s="4">
        <v>65</v>
      </c>
      <c r="G546" s="4">
        <v>67</v>
      </c>
      <c r="H546" s="4">
        <v>65</v>
      </c>
      <c r="I546" s="4">
        <f>AVERAGE(Student­­Performance[[#This Row],[Math Score]],Student­­Performance[[#This Row],[Reading Score]],Student­­Performance[[#This Row],[Writing Score]])</f>
        <v>65.666666666666671</v>
      </c>
      <c r="J546" s="10" t="str">
        <f>IF(Student­­Performance[[#This Row],[Average Score]]&gt;=50,"Pass","Fail")</f>
        <v>Pass</v>
      </c>
      <c r="K54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54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54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546" s="4">
        <f>IF(ISNUMBER(Student­­Performance[[#This Row],[Math Score]]),Student­­Performance[[#This Row],[Math Score]],0)</f>
        <v>65</v>
      </c>
      <c r="O546" s="4">
        <f>IF(ISNUMBER(Student­­Performance[[#This Row],[Reading Score]]),Student­­Performance[[#This Row],[Reading Score]],0)</f>
        <v>67</v>
      </c>
      <c r="P546" s="4">
        <f>IF(ISNUMBER(Student­­Performance[[#This Row],[Writing Score]]),Student­­Performance[[#This Row],[Writing Score]],0)</f>
        <v>65</v>
      </c>
      <c r="Q546" s="4" t="str">
        <f>IF(Student­­Performance[[#This Row],[Math Score]]&gt;=50,"Pass","Fail")</f>
        <v>Pass</v>
      </c>
      <c r="R546" s="4" t="str">
        <f>IF(Student­­Performance[[#This Row],[Reading Score]]&gt;=50,"Pass","Fail")</f>
        <v>Pass</v>
      </c>
      <c r="S546" s="4" t="str">
        <f>IF(Student­­Performance[[#This Row],[Writing Score]]&gt;=50,"Pass","Fail")</f>
        <v>Pass</v>
      </c>
      <c r="T54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197</v>
      </c>
      <c r="U546" s="4" cm="1">
        <f t="array" ref="U546">IF(COUNT(F546:H546)=0,"", MAX(IF(ISNUMBER(F546:H546),F546:H546)) - MIN(IF(ISNUMBER(F546:H546),F546:H546)))</f>
        <v>2</v>
      </c>
      <c r="V546" s="4" t="str">
        <f>IF(U546="","",IF(U546&gt;25,"Outlier","Normal"))</f>
        <v>Normal</v>
      </c>
    </row>
    <row r="547" spans="1:22" x14ac:dyDescent="0.3">
      <c r="A547" s="1" t="s">
        <v>8</v>
      </c>
      <c r="B547" s="1" t="s">
        <v>26</v>
      </c>
      <c r="C547" s="1" t="s">
        <v>87</v>
      </c>
      <c r="D547" s="1" t="s">
        <v>11</v>
      </c>
      <c r="E547" s="1" t="s">
        <v>15</v>
      </c>
      <c r="F547" s="4">
        <v>59</v>
      </c>
      <c r="G547" s="4">
        <v>63</v>
      </c>
      <c r="H547" s="4">
        <v>75</v>
      </c>
      <c r="I547" s="4">
        <f>AVERAGE(Student­­Performance[[#This Row],[Math Score]],Student­­Performance[[#This Row],[Reading Score]],Student­­Performance[[#This Row],[Writing Score]])</f>
        <v>65.666666666666671</v>
      </c>
      <c r="J547" s="10" t="str">
        <f>IF(Student­­Performance[[#This Row],[Average Score]]&gt;=50,"Pass","Fail")</f>
        <v>Pass</v>
      </c>
      <c r="K54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54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12</v>
      </c>
      <c r="M54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16</v>
      </c>
      <c r="N547" s="4">
        <f>IF(ISNUMBER(Student­­Performance[[#This Row],[Math Score]]),Student­­Performance[[#This Row],[Math Score]],0)</f>
        <v>59</v>
      </c>
      <c r="O547" s="4">
        <f>IF(ISNUMBER(Student­­Performance[[#This Row],[Reading Score]]),Student­­Performance[[#This Row],[Reading Score]],0)</f>
        <v>63</v>
      </c>
      <c r="P547" s="4">
        <f>IF(ISNUMBER(Student­­Performance[[#This Row],[Writing Score]]),Student­­Performance[[#This Row],[Writing Score]],0)</f>
        <v>75</v>
      </c>
      <c r="Q547" s="4" t="str">
        <f>IF(Student­­Performance[[#This Row],[Math Score]]&gt;=50,"Pass","Fail")</f>
        <v>Pass</v>
      </c>
      <c r="R547" s="4" t="str">
        <f>IF(Student­­Performance[[#This Row],[Reading Score]]&gt;=50,"Pass","Fail")</f>
        <v>Pass</v>
      </c>
      <c r="S547" s="4" t="str">
        <f>IF(Student­­Performance[[#This Row],[Writing Score]]&gt;=50,"Pass","Fail")</f>
        <v>Pass</v>
      </c>
      <c r="T54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197</v>
      </c>
      <c r="U547" s="4" cm="1">
        <f t="array" ref="U547">IF(COUNT(F547:H547)=0,"", MAX(IF(ISNUMBER(F547:H547),F547:H547)) - MIN(IF(ISNUMBER(F547:H547),F547:H547)))</f>
        <v>16</v>
      </c>
      <c r="V547" s="4" t="str">
        <f>IF(U547="","",IF(U547&gt;25,"Outlier","Normal"))</f>
        <v>Normal</v>
      </c>
    </row>
    <row r="548" spans="1:22" x14ac:dyDescent="0.3">
      <c r="A548" s="1" t="s">
        <v>8</v>
      </c>
      <c r="B548" s="1" t="s">
        <v>13</v>
      </c>
      <c r="C548" s="1" t="s">
        <v>87</v>
      </c>
      <c r="D548" s="1" t="s">
        <v>11</v>
      </c>
      <c r="E548" s="1" t="s">
        <v>12</v>
      </c>
      <c r="F548" s="4">
        <v>61</v>
      </c>
      <c r="G548" s="4">
        <v>73</v>
      </c>
      <c r="H548" s="4">
        <v>63</v>
      </c>
      <c r="I548" s="4">
        <f>AVERAGE(Student­­Performance[[#This Row],[Math Score]],Student­­Performance[[#This Row],[Reading Score]],Student­­Performance[[#This Row],[Writing Score]])</f>
        <v>65.666666666666671</v>
      </c>
      <c r="J548" s="10" t="str">
        <f>IF(Student­­Performance[[#This Row],[Average Score]]&gt;=50,"Pass","Fail")</f>
        <v>Pass</v>
      </c>
      <c r="K54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54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-10</v>
      </c>
      <c r="M54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548" s="4">
        <f>IF(ISNUMBER(Student­­Performance[[#This Row],[Math Score]]),Student­­Performance[[#This Row],[Math Score]],0)</f>
        <v>61</v>
      </c>
      <c r="O548" s="4">
        <f>IF(ISNUMBER(Student­­Performance[[#This Row],[Reading Score]]),Student­­Performance[[#This Row],[Reading Score]],0)</f>
        <v>73</v>
      </c>
      <c r="P548" s="4">
        <f>IF(ISNUMBER(Student­­Performance[[#This Row],[Writing Score]]),Student­­Performance[[#This Row],[Writing Score]],0)</f>
        <v>63</v>
      </c>
      <c r="Q548" s="4" t="str">
        <f>IF(Student­­Performance[[#This Row],[Math Score]]&gt;=50,"Pass","Fail")</f>
        <v>Pass</v>
      </c>
      <c r="R548" s="4" t="str">
        <f>IF(Student­­Performance[[#This Row],[Reading Score]]&gt;=50,"Pass","Fail")</f>
        <v>Pass</v>
      </c>
      <c r="S548" s="4" t="str">
        <f>IF(Student­­Performance[[#This Row],[Writing Score]]&gt;=50,"Pass","Fail")</f>
        <v>Pass</v>
      </c>
      <c r="T54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197</v>
      </c>
      <c r="U548" s="4" cm="1">
        <f t="array" ref="U548">IF(COUNT(F548:H548)=0,"", MAX(IF(ISNUMBER(F548:H548),F548:H548)) - MIN(IF(ISNUMBER(F548:H548),F548:H548)))</f>
        <v>12</v>
      </c>
      <c r="V548" s="4" t="str">
        <f>IF(U548="","",IF(U548&gt;25,"Outlier","Normal"))</f>
        <v>Normal</v>
      </c>
    </row>
    <row r="549" spans="1:22" x14ac:dyDescent="0.3">
      <c r="A549" s="1" t="s">
        <v>17</v>
      </c>
      <c r="B549" s="1" t="s">
        <v>21</v>
      </c>
      <c r="C549" s="1" t="s">
        <v>86</v>
      </c>
      <c r="D549" s="1" t="s">
        <v>11</v>
      </c>
      <c r="E549" s="1" t="s">
        <v>12</v>
      </c>
      <c r="F549" s="4">
        <v>71</v>
      </c>
      <c r="G549" s="4">
        <v>66</v>
      </c>
      <c r="H549" s="4">
        <v>60</v>
      </c>
      <c r="I549" s="4">
        <f>AVERAGE(Student­­Performance[[#This Row],[Math Score]],Student­­Performance[[#This Row],[Reading Score]],Student­­Performance[[#This Row],[Writing Score]])</f>
        <v>65.666666666666671</v>
      </c>
      <c r="J549" s="10" t="str">
        <f>IF(Student­­Performance[[#This Row],[Average Score]]&gt;=50,"Pass","Fail")</f>
        <v>Pass</v>
      </c>
      <c r="K54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54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54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-11</v>
      </c>
      <c r="N549" s="4">
        <f>IF(ISNUMBER(Student­­Performance[[#This Row],[Math Score]]),Student­­Performance[[#This Row],[Math Score]],0)</f>
        <v>71</v>
      </c>
      <c r="O549" s="4">
        <f>IF(ISNUMBER(Student­­Performance[[#This Row],[Reading Score]]),Student­­Performance[[#This Row],[Reading Score]],0)</f>
        <v>66</v>
      </c>
      <c r="P549" s="4">
        <f>IF(ISNUMBER(Student­­Performance[[#This Row],[Writing Score]]),Student­­Performance[[#This Row],[Writing Score]],0)</f>
        <v>60</v>
      </c>
      <c r="Q549" s="4" t="str">
        <f>IF(Student­­Performance[[#This Row],[Math Score]]&gt;=50,"Pass","Fail")</f>
        <v>Pass</v>
      </c>
      <c r="R549" s="4" t="str">
        <f>IF(Student­­Performance[[#This Row],[Reading Score]]&gt;=50,"Pass","Fail")</f>
        <v>Pass</v>
      </c>
      <c r="S549" s="4" t="str">
        <f>IF(Student­­Performance[[#This Row],[Writing Score]]&gt;=50,"Pass","Fail")</f>
        <v>Pass</v>
      </c>
      <c r="T54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197</v>
      </c>
      <c r="U549" s="4" cm="1">
        <f t="array" ref="U549">IF(COUNT(F549:H549)=0,"", MAX(IF(ISNUMBER(F549:H549),F549:H549)) - MIN(IF(ISNUMBER(F549:H549),F549:H549)))</f>
        <v>11</v>
      </c>
      <c r="V549" s="4" t="str">
        <f>IF(U549="","",IF(U549&gt;25,"Outlier","Normal"))</f>
        <v>Normal</v>
      </c>
    </row>
    <row r="550" spans="1:22" x14ac:dyDescent="0.3">
      <c r="A550" s="1" t="s">
        <v>17</v>
      </c>
      <c r="B550" s="1" t="s">
        <v>9</v>
      </c>
      <c r="C550" s="1" t="s">
        <v>88</v>
      </c>
      <c r="D550" s="1" t="s">
        <v>11</v>
      </c>
      <c r="E550" s="1" t="s">
        <v>15</v>
      </c>
      <c r="F550" s="4">
        <v>63</v>
      </c>
      <c r="G550" s="4">
        <v>67</v>
      </c>
      <c r="H550" s="4">
        <v>67</v>
      </c>
      <c r="I550" s="4">
        <f>AVERAGE(Student­­Performance[[#This Row],[Math Score]],Student­­Performance[[#This Row],[Reading Score]],Student­­Performance[[#This Row],[Writing Score]])</f>
        <v>65.666666666666671</v>
      </c>
      <c r="J550" s="10" t="str">
        <f>IF(Student­­Performance[[#This Row],[Average Score]]&gt;=50,"Pass","Fail")</f>
        <v>Pass</v>
      </c>
      <c r="K55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55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55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550" s="4">
        <f>IF(ISNUMBER(Student­­Performance[[#This Row],[Math Score]]),Student­­Performance[[#This Row],[Math Score]],0)</f>
        <v>63</v>
      </c>
      <c r="O550" s="4">
        <f>IF(ISNUMBER(Student­­Performance[[#This Row],[Reading Score]]),Student­­Performance[[#This Row],[Reading Score]],0)</f>
        <v>67</v>
      </c>
      <c r="P550" s="4">
        <f>IF(ISNUMBER(Student­­Performance[[#This Row],[Writing Score]]),Student­­Performance[[#This Row],[Writing Score]],0)</f>
        <v>67</v>
      </c>
      <c r="Q550" s="4" t="str">
        <f>IF(Student­­Performance[[#This Row],[Math Score]]&gt;=50,"Pass","Fail")</f>
        <v>Pass</v>
      </c>
      <c r="R550" s="4" t="str">
        <f>IF(Student­­Performance[[#This Row],[Reading Score]]&gt;=50,"Pass","Fail")</f>
        <v>Pass</v>
      </c>
      <c r="S550" s="4" t="str">
        <f>IF(Student­­Performance[[#This Row],[Writing Score]]&gt;=50,"Pass","Fail")</f>
        <v>Pass</v>
      </c>
      <c r="T55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197</v>
      </c>
      <c r="U550" s="4" cm="1">
        <f t="array" ref="U550">IF(COUNT(F550:H550)=0,"", MAX(IF(ISNUMBER(F550:H550),F550:H550)) - MIN(IF(ISNUMBER(F550:H550),F550:H550)))</f>
        <v>4</v>
      </c>
      <c r="V550" s="4" t="str">
        <f>IF(U550="","",IF(U550&gt;25,"Outlier","Normal"))</f>
        <v>Normal</v>
      </c>
    </row>
    <row r="551" spans="1:22" x14ac:dyDescent="0.3">
      <c r="A551" s="1" t="s">
        <v>17</v>
      </c>
      <c r="B551" s="1" t="s">
        <v>13</v>
      </c>
      <c r="C551" s="1" t="s">
        <v>84</v>
      </c>
      <c r="D551" s="1" t="s">
        <v>20</v>
      </c>
      <c r="E551" s="1" t="s">
        <v>12</v>
      </c>
      <c r="F551" s="4">
        <v>68</v>
      </c>
      <c r="G551" s="4">
        <v>68</v>
      </c>
      <c r="H551" s="4">
        <v>61</v>
      </c>
      <c r="I551" s="4">
        <f>AVERAGE(Student­­Performance[[#This Row],[Math Score]],Student­­Performance[[#This Row],[Reading Score]],Student­­Performance[[#This Row],[Writing Score]])</f>
        <v>65.666666666666671</v>
      </c>
      <c r="J551" s="10" t="str">
        <f>IF(Student­­Performance[[#This Row],[Average Score]]&gt;=50,"Pass","Fail")</f>
        <v>Pass</v>
      </c>
      <c r="K55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55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55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551" s="4">
        <f>IF(ISNUMBER(Student­­Performance[[#This Row],[Math Score]]),Student­­Performance[[#This Row],[Math Score]],0)</f>
        <v>68</v>
      </c>
      <c r="O551" s="4">
        <f>IF(ISNUMBER(Student­­Performance[[#This Row],[Reading Score]]),Student­­Performance[[#This Row],[Reading Score]],0)</f>
        <v>68</v>
      </c>
      <c r="P551" s="4">
        <f>IF(ISNUMBER(Student­­Performance[[#This Row],[Writing Score]]),Student­­Performance[[#This Row],[Writing Score]],0)</f>
        <v>61</v>
      </c>
      <c r="Q551" s="4" t="str">
        <f>IF(Student­­Performance[[#This Row],[Math Score]]&gt;=50,"Pass","Fail")</f>
        <v>Pass</v>
      </c>
      <c r="R551" s="4" t="str">
        <f>IF(Student­­Performance[[#This Row],[Reading Score]]&gt;=50,"Pass","Fail")</f>
        <v>Pass</v>
      </c>
      <c r="S551" s="4" t="str">
        <f>IF(Student­­Performance[[#This Row],[Writing Score]]&gt;=50,"Pass","Fail")</f>
        <v>Pass</v>
      </c>
      <c r="T55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197</v>
      </c>
      <c r="U551" s="4" cm="1">
        <f t="array" ref="U551">IF(COUNT(F551:H551)=0,"", MAX(IF(ISNUMBER(F551:H551),F551:H551)) - MIN(IF(ISNUMBER(F551:H551),F551:H551)))</f>
        <v>7</v>
      </c>
      <c r="V551" s="4" t="str">
        <f>IF(U551="","",IF(U551&gt;25,"Outlier","Normal"))</f>
        <v>Normal</v>
      </c>
    </row>
    <row r="552" spans="1:22" x14ac:dyDescent="0.3">
      <c r="A552" s="1" t="s">
        <v>8</v>
      </c>
      <c r="B552" s="1" t="s">
        <v>21</v>
      </c>
      <c r="C552" s="1" t="s">
        <v>87</v>
      </c>
      <c r="D552" s="1" t="s">
        <v>20</v>
      </c>
      <c r="E552" s="1" t="s">
        <v>15</v>
      </c>
      <c r="F552" s="4">
        <v>65</v>
      </c>
      <c r="G552" s="4">
        <v>61</v>
      </c>
      <c r="H552" s="4">
        <v>71</v>
      </c>
      <c r="I552" s="4">
        <f>AVERAGE(Student­­Performance[[#This Row],[Math Score]],Student­­Performance[[#This Row],[Reading Score]],Student­­Performance[[#This Row],[Writing Score]])</f>
        <v>65.666666666666671</v>
      </c>
      <c r="J552" s="10" t="str">
        <f>IF(Student­­Performance[[#This Row],[Average Score]]&gt;=50,"Pass","Fail")</f>
        <v>Pass</v>
      </c>
      <c r="K55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55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10</v>
      </c>
      <c r="M55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552" s="4">
        <f>IF(ISNUMBER(Student­­Performance[[#This Row],[Math Score]]),Student­­Performance[[#This Row],[Math Score]],0)</f>
        <v>65</v>
      </c>
      <c r="O552" s="4">
        <f>IF(ISNUMBER(Student­­Performance[[#This Row],[Reading Score]]),Student­­Performance[[#This Row],[Reading Score]],0)</f>
        <v>61</v>
      </c>
      <c r="P552" s="4">
        <f>IF(ISNUMBER(Student­­Performance[[#This Row],[Writing Score]]),Student­­Performance[[#This Row],[Writing Score]],0)</f>
        <v>71</v>
      </c>
      <c r="Q552" s="4" t="str">
        <f>IF(Student­­Performance[[#This Row],[Math Score]]&gt;=50,"Pass","Fail")</f>
        <v>Pass</v>
      </c>
      <c r="R552" s="4" t="str">
        <f>IF(Student­­Performance[[#This Row],[Reading Score]]&gt;=50,"Pass","Fail")</f>
        <v>Pass</v>
      </c>
      <c r="S552" s="4" t="str">
        <f>IF(Student­­Performance[[#This Row],[Writing Score]]&gt;=50,"Pass","Fail")</f>
        <v>Pass</v>
      </c>
      <c r="T55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197</v>
      </c>
      <c r="U552" s="4" cm="1">
        <f t="array" ref="U552">IF(COUNT(F552:H552)=0,"", MAX(IF(ISNUMBER(F552:H552),F552:H552)) - MIN(IF(ISNUMBER(F552:H552),F552:H552)))</f>
        <v>10</v>
      </c>
      <c r="V552" s="4" t="str">
        <f>IF(U552="","",IF(U552&gt;25,"Outlier","Normal"))</f>
        <v>Normal</v>
      </c>
    </row>
    <row r="553" spans="1:22" x14ac:dyDescent="0.3">
      <c r="A553" s="1" t="s">
        <v>17</v>
      </c>
      <c r="B553" s="1" t="s">
        <v>21</v>
      </c>
      <c r="C553" s="1" t="s">
        <v>88</v>
      </c>
      <c r="D553" s="1" t="s">
        <v>11</v>
      </c>
      <c r="E553" s="1" t="s">
        <v>15</v>
      </c>
      <c r="F553" s="4">
        <v>62</v>
      </c>
      <c r="G553" s="4">
        <v>66</v>
      </c>
      <c r="H553" s="4">
        <v>68</v>
      </c>
      <c r="I553" s="4">
        <f>AVERAGE(Student­­Performance[[#This Row],[Math Score]],Student­­Performance[[#This Row],[Reading Score]],Student­­Performance[[#This Row],[Writing Score]])</f>
        <v>65.333333333333329</v>
      </c>
      <c r="J553" s="10" t="str">
        <f>IF(Student­­Performance[[#This Row],[Average Score]]&gt;=50,"Pass","Fail")</f>
        <v>Pass</v>
      </c>
      <c r="K55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55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55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553" s="4">
        <f>IF(ISNUMBER(Student­­Performance[[#This Row],[Math Score]]),Student­­Performance[[#This Row],[Math Score]],0)</f>
        <v>62</v>
      </c>
      <c r="O553" s="4">
        <f>IF(ISNUMBER(Student­­Performance[[#This Row],[Reading Score]]),Student­­Performance[[#This Row],[Reading Score]],0)</f>
        <v>66</v>
      </c>
      <c r="P553" s="4">
        <f>IF(ISNUMBER(Student­­Performance[[#This Row],[Writing Score]]),Student­­Performance[[#This Row],[Writing Score]],0)</f>
        <v>68</v>
      </c>
      <c r="Q553" s="4" t="str">
        <f>IF(Student­­Performance[[#This Row],[Math Score]]&gt;=50,"Pass","Fail")</f>
        <v>Pass</v>
      </c>
      <c r="R553" s="4" t="str">
        <f>IF(Student­­Performance[[#This Row],[Reading Score]]&gt;=50,"Pass","Fail")</f>
        <v>Pass</v>
      </c>
      <c r="S553" s="4" t="str">
        <f>IF(Student­­Performance[[#This Row],[Writing Score]]&gt;=50,"Pass","Fail")</f>
        <v>Pass</v>
      </c>
      <c r="T55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196</v>
      </c>
      <c r="U553" s="4" cm="1">
        <f t="array" ref="U553">IF(COUNT(F553:H553)=0,"", MAX(IF(ISNUMBER(F553:H553),F553:H553)) - MIN(IF(ISNUMBER(F553:H553),F553:H553)))</f>
        <v>6</v>
      </c>
      <c r="V553" s="4" t="str">
        <f>IF(U553="","",IF(U553&gt;25,"Outlier","Normal"))</f>
        <v>Normal</v>
      </c>
    </row>
    <row r="554" spans="1:22" x14ac:dyDescent="0.3">
      <c r="A554" s="1" t="s">
        <v>17</v>
      </c>
      <c r="B554" s="1" t="s">
        <v>21</v>
      </c>
      <c r="C554" s="1" t="s">
        <v>83</v>
      </c>
      <c r="D554" s="1" t="s">
        <v>20</v>
      </c>
      <c r="E554" s="1" t="s">
        <v>12</v>
      </c>
      <c r="F554" s="4">
        <v>63</v>
      </c>
      <c r="G554" s="4">
        <v>66</v>
      </c>
      <c r="H554" s="4">
        <v>67</v>
      </c>
      <c r="I554" s="4">
        <f>AVERAGE(Student­­Performance[[#This Row],[Math Score]],Student­­Performance[[#This Row],[Reading Score]],Student­­Performance[[#This Row],[Writing Score]])</f>
        <v>65.333333333333329</v>
      </c>
      <c r="J554" s="10" t="str">
        <f>IF(Student­­Performance[[#This Row],[Average Score]]&gt;=50,"Pass","Fail")</f>
        <v>Pass</v>
      </c>
      <c r="K55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55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55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554" s="4">
        <f>IF(ISNUMBER(Student­­Performance[[#This Row],[Math Score]]),Student­­Performance[[#This Row],[Math Score]],0)</f>
        <v>63</v>
      </c>
      <c r="O554" s="4">
        <f>IF(ISNUMBER(Student­­Performance[[#This Row],[Reading Score]]),Student­­Performance[[#This Row],[Reading Score]],0)</f>
        <v>66</v>
      </c>
      <c r="P554" s="4">
        <f>IF(ISNUMBER(Student­­Performance[[#This Row],[Writing Score]]),Student­­Performance[[#This Row],[Writing Score]],0)</f>
        <v>67</v>
      </c>
      <c r="Q554" s="4" t="str">
        <f>IF(Student­­Performance[[#This Row],[Math Score]]&gt;=50,"Pass","Fail")</f>
        <v>Pass</v>
      </c>
      <c r="R554" s="4" t="str">
        <f>IF(Student­­Performance[[#This Row],[Reading Score]]&gt;=50,"Pass","Fail")</f>
        <v>Pass</v>
      </c>
      <c r="S554" s="4" t="str">
        <f>IF(Student­­Performance[[#This Row],[Writing Score]]&gt;=50,"Pass","Fail")</f>
        <v>Pass</v>
      </c>
      <c r="T55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196</v>
      </c>
      <c r="U554" s="4" cm="1">
        <f t="array" ref="U554">IF(COUNT(F554:H554)=0,"", MAX(IF(ISNUMBER(F554:H554),F554:H554)) - MIN(IF(ISNUMBER(F554:H554),F554:H554)))</f>
        <v>4</v>
      </c>
      <c r="V554" s="4" t="str">
        <f>IF(U554="","",IF(U554&gt;25,"Outlier","Normal"))</f>
        <v>Normal</v>
      </c>
    </row>
    <row r="555" spans="1:22" x14ac:dyDescent="0.3">
      <c r="A555" s="1" t="s">
        <v>8</v>
      </c>
      <c r="B555" s="1" t="s">
        <v>9</v>
      </c>
      <c r="C555" s="1" t="s">
        <v>87</v>
      </c>
      <c r="D555" s="1" t="s">
        <v>11</v>
      </c>
      <c r="E555" s="1" t="s">
        <v>15</v>
      </c>
      <c r="F555" s="4">
        <v>58</v>
      </c>
      <c r="G555" s="4">
        <v>70</v>
      </c>
      <c r="H555" s="4">
        <v>68</v>
      </c>
      <c r="I555" s="4">
        <f>AVERAGE(Student­­Performance[[#This Row],[Math Score]],Student­­Performance[[#This Row],[Reading Score]],Student­­Performance[[#This Row],[Writing Score]])</f>
        <v>65.333333333333329</v>
      </c>
      <c r="J555" s="10" t="str">
        <f>IF(Student­­Performance[[#This Row],[Average Score]]&gt;=50,"Pass","Fail")</f>
        <v>Pass</v>
      </c>
      <c r="K55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55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55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555" s="4">
        <f>IF(ISNUMBER(Student­­Performance[[#This Row],[Math Score]]),Student­­Performance[[#This Row],[Math Score]],0)</f>
        <v>58</v>
      </c>
      <c r="O555" s="4">
        <f>IF(ISNUMBER(Student­­Performance[[#This Row],[Reading Score]]),Student­­Performance[[#This Row],[Reading Score]],0)</f>
        <v>70</v>
      </c>
      <c r="P555" s="4">
        <f>IF(ISNUMBER(Student­­Performance[[#This Row],[Writing Score]]),Student­­Performance[[#This Row],[Writing Score]],0)</f>
        <v>68</v>
      </c>
      <c r="Q555" s="4" t="str">
        <f>IF(Student­­Performance[[#This Row],[Math Score]]&gt;=50,"Pass","Fail")</f>
        <v>Pass</v>
      </c>
      <c r="R555" s="4" t="str">
        <f>IF(Student­­Performance[[#This Row],[Reading Score]]&gt;=50,"Pass","Fail")</f>
        <v>Pass</v>
      </c>
      <c r="S555" s="4" t="str">
        <f>IF(Student­­Performance[[#This Row],[Writing Score]]&gt;=50,"Pass","Fail")</f>
        <v>Pass</v>
      </c>
      <c r="T55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196</v>
      </c>
      <c r="U555" s="4" cm="1">
        <f t="array" ref="U555">IF(COUNT(F555:H555)=0,"", MAX(IF(ISNUMBER(F555:H555),F555:H555)) - MIN(IF(ISNUMBER(F555:H555),F555:H555)))</f>
        <v>12</v>
      </c>
      <c r="V555" s="4" t="str">
        <f>IF(U555="","",IF(U555&gt;25,"Outlier","Normal"))</f>
        <v>Normal</v>
      </c>
    </row>
    <row r="556" spans="1:22" x14ac:dyDescent="0.3">
      <c r="A556" s="1" t="s">
        <v>17</v>
      </c>
      <c r="B556" s="1" t="s">
        <v>21</v>
      </c>
      <c r="C556" s="1" t="s">
        <v>83</v>
      </c>
      <c r="D556" s="1" t="s">
        <v>11</v>
      </c>
      <c r="E556" s="1" t="s">
        <v>15</v>
      </c>
      <c r="F556" s="4">
        <v>67</v>
      </c>
      <c r="G556" s="4">
        <v>61</v>
      </c>
      <c r="H556" s="4">
        <v>68</v>
      </c>
      <c r="I556" s="4">
        <f>AVERAGE(Student­­Performance[[#This Row],[Math Score]],Student­­Performance[[#This Row],[Reading Score]],Student­­Performance[[#This Row],[Writing Score]])</f>
        <v>65.333333333333329</v>
      </c>
      <c r="J556" s="10" t="str">
        <f>IF(Student­­Performance[[#This Row],[Average Score]]&gt;=50,"Pass","Fail")</f>
        <v>Pass</v>
      </c>
      <c r="K55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55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7</v>
      </c>
      <c r="M55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556" s="4">
        <f>IF(ISNUMBER(Student­­Performance[[#This Row],[Math Score]]),Student­­Performance[[#This Row],[Math Score]],0)</f>
        <v>67</v>
      </c>
      <c r="O556" s="4">
        <f>IF(ISNUMBER(Student­­Performance[[#This Row],[Reading Score]]),Student­­Performance[[#This Row],[Reading Score]],0)</f>
        <v>61</v>
      </c>
      <c r="P556" s="4">
        <f>IF(ISNUMBER(Student­­Performance[[#This Row],[Writing Score]]),Student­­Performance[[#This Row],[Writing Score]],0)</f>
        <v>68</v>
      </c>
      <c r="Q556" s="4" t="str">
        <f>IF(Student­­Performance[[#This Row],[Math Score]]&gt;=50,"Pass","Fail")</f>
        <v>Pass</v>
      </c>
      <c r="R556" s="4" t="str">
        <f>IF(Student­­Performance[[#This Row],[Reading Score]]&gt;=50,"Pass","Fail")</f>
        <v>Pass</v>
      </c>
      <c r="S556" s="4" t="str">
        <f>IF(Student­­Performance[[#This Row],[Writing Score]]&gt;=50,"Pass","Fail")</f>
        <v>Pass</v>
      </c>
      <c r="T55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196</v>
      </c>
      <c r="U556" s="4" cm="1">
        <f t="array" ref="U556">IF(COUNT(F556:H556)=0,"", MAX(IF(ISNUMBER(F556:H556),F556:H556)) - MIN(IF(ISNUMBER(F556:H556),F556:H556)))</f>
        <v>7</v>
      </c>
      <c r="V556" s="4" t="str">
        <f>IF(U556="","",IF(U556&gt;25,"Outlier","Normal"))</f>
        <v>Normal</v>
      </c>
    </row>
    <row r="557" spans="1:22" x14ac:dyDescent="0.3">
      <c r="A557" s="1" t="s">
        <v>8</v>
      </c>
      <c r="B557" s="1" t="s">
        <v>9</v>
      </c>
      <c r="C557" s="1" t="s">
        <v>84</v>
      </c>
      <c r="D557" s="1" t="s">
        <v>11</v>
      </c>
      <c r="E557" s="1" t="s">
        <v>12</v>
      </c>
      <c r="F557" s="4">
        <v>62</v>
      </c>
      <c r="G557" s="4">
        <v>67</v>
      </c>
      <c r="H557" s="4">
        <v>67</v>
      </c>
      <c r="I557" s="4">
        <f>AVERAGE(Student­­Performance[[#This Row],[Math Score]],Student­­Performance[[#This Row],[Reading Score]],Student­­Performance[[#This Row],[Writing Score]])</f>
        <v>65.333333333333329</v>
      </c>
      <c r="J557" s="10" t="str">
        <f>IF(Student­­Performance[[#This Row],[Average Score]]&gt;=50,"Pass","Fail")</f>
        <v>Pass</v>
      </c>
      <c r="K55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55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55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557" s="4">
        <f>IF(ISNUMBER(Student­­Performance[[#This Row],[Math Score]]),Student­­Performance[[#This Row],[Math Score]],0)</f>
        <v>62</v>
      </c>
      <c r="O557" s="4">
        <f>IF(ISNUMBER(Student­­Performance[[#This Row],[Reading Score]]),Student­­Performance[[#This Row],[Reading Score]],0)</f>
        <v>67</v>
      </c>
      <c r="P557" s="4">
        <f>IF(ISNUMBER(Student­­Performance[[#This Row],[Writing Score]]),Student­­Performance[[#This Row],[Writing Score]],0)</f>
        <v>67</v>
      </c>
      <c r="Q557" s="4" t="str">
        <f>IF(Student­­Performance[[#This Row],[Math Score]]&gt;=50,"Pass","Fail")</f>
        <v>Pass</v>
      </c>
      <c r="R557" s="4" t="str">
        <f>IF(Student­­Performance[[#This Row],[Reading Score]]&gt;=50,"Pass","Fail")</f>
        <v>Pass</v>
      </c>
      <c r="S557" s="4" t="str">
        <f>IF(Student­­Performance[[#This Row],[Writing Score]]&gt;=50,"Pass","Fail")</f>
        <v>Pass</v>
      </c>
      <c r="T55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196</v>
      </c>
      <c r="U557" s="4" cm="1">
        <f t="array" ref="U557">IF(COUNT(F557:H557)=0,"", MAX(IF(ISNUMBER(F557:H557),F557:H557)) - MIN(IF(ISNUMBER(F557:H557),F557:H557)))</f>
        <v>5</v>
      </c>
      <c r="V557" s="4" t="str">
        <f>IF(U557="","",IF(U557&gt;25,"Outlier","Normal"))</f>
        <v>Normal</v>
      </c>
    </row>
    <row r="558" spans="1:22" x14ac:dyDescent="0.3">
      <c r="A558" s="1" t="s">
        <v>17</v>
      </c>
      <c r="B558" s="1" t="s">
        <v>21</v>
      </c>
      <c r="C558" s="1" t="s">
        <v>88</v>
      </c>
      <c r="D558" s="1" t="s">
        <v>11</v>
      </c>
      <c r="E558" s="1" t="s">
        <v>12</v>
      </c>
      <c r="F558" s="4">
        <v>69</v>
      </c>
      <c r="G558" s="4">
        <v>66</v>
      </c>
      <c r="H558" s="4">
        <v>61</v>
      </c>
      <c r="I558" s="4">
        <f>AVERAGE(Student­­Performance[[#This Row],[Math Score]],Student­­Performance[[#This Row],[Reading Score]],Student­­Performance[[#This Row],[Writing Score]])</f>
        <v>65.333333333333329</v>
      </c>
      <c r="J558" s="10" t="str">
        <f>IF(Student­­Performance[[#This Row],[Average Score]]&gt;=50,"Pass","Fail")</f>
        <v>Pass</v>
      </c>
      <c r="K55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55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55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558" s="4">
        <f>IF(ISNUMBER(Student­­Performance[[#This Row],[Math Score]]),Student­­Performance[[#This Row],[Math Score]],0)</f>
        <v>69</v>
      </c>
      <c r="O558" s="4">
        <f>IF(ISNUMBER(Student­­Performance[[#This Row],[Reading Score]]),Student­­Performance[[#This Row],[Reading Score]],0)</f>
        <v>66</v>
      </c>
      <c r="P558" s="4">
        <f>IF(ISNUMBER(Student­­Performance[[#This Row],[Writing Score]]),Student­­Performance[[#This Row],[Writing Score]],0)</f>
        <v>61</v>
      </c>
      <c r="Q558" s="4" t="str">
        <f>IF(Student­­Performance[[#This Row],[Math Score]]&gt;=50,"Pass","Fail")</f>
        <v>Pass</v>
      </c>
      <c r="R558" s="4" t="str">
        <f>IF(Student­­Performance[[#This Row],[Reading Score]]&gt;=50,"Pass","Fail")</f>
        <v>Pass</v>
      </c>
      <c r="S558" s="4" t="str">
        <f>IF(Student­­Performance[[#This Row],[Writing Score]]&gt;=50,"Pass","Fail")</f>
        <v>Pass</v>
      </c>
      <c r="T55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196</v>
      </c>
      <c r="U558" s="4" cm="1">
        <f t="array" ref="U558">IF(COUNT(F558:H558)=0,"", MAX(IF(ISNUMBER(F558:H558),F558:H558)) - MIN(IF(ISNUMBER(F558:H558),F558:H558)))</f>
        <v>8</v>
      </c>
      <c r="V558" s="4" t="str">
        <f>IF(U558="","",IF(U558&gt;25,"Outlier","Normal"))</f>
        <v>Normal</v>
      </c>
    </row>
    <row r="559" spans="1:22" x14ac:dyDescent="0.3">
      <c r="A559" s="1" t="s">
        <v>17</v>
      </c>
      <c r="B559" s="1" t="s">
        <v>9</v>
      </c>
      <c r="C559" s="1" t="s">
        <v>84</v>
      </c>
      <c r="D559" s="1" t="s">
        <v>11</v>
      </c>
      <c r="E559" s="1" t="s">
        <v>15</v>
      </c>
      <c r="F559" s="4">
        <v>62</v>
      </c>
      <c r="G559" s="4">
        <v>66</v>
      </c>
      <c r="H559" s="4">
        <v>68</v>
      </c>
      <c r="I559" s="4">
        <f>AVERAGE(Student­­Performance[[#This Row],[Math Score]],Student­­Performance[[#This Row],[Reading Score]],Student­­Performance[[#This Row],[Writing Score]])</f>
        <v>65.333333333333329</v>
      </c>
      <c r="J559" s="10" t="str">
        <f>IF(Student­­Performance[[#This Row],[Average Score]]&gt;=50,"Pass","Fail")</f>
        <v>Pass</v>
      </c>
      <c r="K55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55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55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559" s="4">
        <f>IF(ISNUMBER(Student­­Performance[[#This Row],[Math Score]]),Student­­Performance[[#This Row],[Math Score]],0)</f>
        <v>62</v>
      </c>
      <c r="O559" s="4">
        <f>IF(ISNUMBER(Student­­Performance[[#This Row],[Reading Score]]),Student­­Performance[[#This Row],[Reading Score]],0)</f>
        <v>66</v>
      </c>
      <c r="P559" s="4">
        <f>IF(ISNUMBER(Student­­Performance[[#This Row],[Writing Score]]),Student­­Performance[[#This Row],[Writing Score]],0)</f>
        <v>68</v>
      </c>
      <c r="Q559" s="4" t="str">
        <f>IF(Student­­Performance[[#This Row],[Math Score]]&gt;=50,"Pass","Fail")</f>
        <v>Pass</v>
      </c>
      <c r="R559" s="4" t="str">
        <f>IF(Student­­Performance[[#This Row],[Reading Score]]&gt;=50,"Pass","Fail")</f>
        <v>Pass</v>
      </c>
      <c r="S559" s="4" t="str">
        <f>IF(Student­­Performance[[#This Row],[Writing Score]]&gt;=50,"Pass","Fail")</f>
        <v>Pass</v>
      </c>
      <c r="T55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196</v>
      </c>
      <c r="U559" s="4" cm="1">
        <f t="array" ref="U559">IF(COUNT(F559:H559)=0,"", MAX(IF(ISNUMBER(F559:H559),F559:H559)) - MIN(IF(ISNUMBER(F559:H559),F559:H559)))</f>
        <v>6</v>
      </c>
      <c r="V559" s="4" t="str">
        <f>IF(U559="","",IF(U559&gt;25,"Outlier","Normal"))</f>
        <v>Normal</v>
      </c>
    </row>
    <row r="560" spans="1:22" x14ac:dyDescent="0.3">
      <c r="A560" s="1" t="s">
        <v>8</v>
      </c>
      <c r="B560" s="1" t="s">
        <v>9</v>
      </c>
      <c r="C560" s="1" t="s">
        <v>88</v>
      </c>
      <c r="D560" s="1" t="s">
        <v>11</v>
      </c>
      <c r="E560" s="1" t="s">
        <v>12</v>
      </c>
      <c r="F560" s="4">
        <v>57</v>
      </c>
      <c r="G560" s="4">
        <v>67</v>
      </c>
      <c r="H560" s="4">
        <v>72</v>
      </c>
      <c r="I560" s="4">
        <f>AVERAGE(Student­­Performance[[#This Row],[Math Score]],Student­­Performance[[#This Row],[Reading Score]],Student­­Performance[[#This Row],[Writing Score]])</f>
        <v>65.333333333333329</v>
      </c>
      <c r="J560" s="10" t="str">
        <f>IF(Student­­Performance[[#This Row],[Average Score]]&gt;=50,"Pass","Fail")</f>
        <v>Pass</v>
      </c>
      <c r="K56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56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56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15</v>
      </c>
      <c r="N560" s="4">
        <f>IF(ISNUMBER(Student­­Performance[[#This Row],[Math Score]]),Student­­Performance[[#This Row],[Math Score]],0)</f>
        <v>57</v>
      </c>
      <c r="O560" s="4">
        <f>IF(ISNUMBER(Student­­Performance[[#This Row],[Reading Score]]),Student­­Performance[[#This Row],[Reading Score]],0)</f>
        <v>67</v>
      </c>
      <c r="P560" s="4">
        <f>IF(ISNUMBER(Student­­Performance[[#This Row],[Writing Score]]),Student­­Performance[[#This Row],[Writing Score]],0)</f>
        <v>72</v>
      </c>
      <c r="Q560" s="4" t="str">
        <f>IF(Student­­Performance[[#This Row],[Math Score]]&gt;=50,"Pass","Fail")</f>
        <v>Pass</v>
      </c>
      <c r="R560" s="4" t="str">
        <f>IF(Student­­Performance[[#This Row],[Reading Score]]&gt;=50,"Pass","Fail")</f>
        <v>Pass</v>
      </c>
      <c r="S560" s="4" t="str">
        <f>IF(Student­­Performance[[#This Row],[Writing Score]]&gt;=50,"Pass","Fail")</f>
        <v>Pass</v>
      </c>
      <c r="T56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196</v>
      </c>
      <c r="U560" s="4" cm="1">
        <f t="array" ref="U560">IF(COUNT(F560:H560)=0,"", MAX(IF(ISNUMBER(F560:H560),F560:H560)) - MIN(IF(ISNUMBER(F560:H560),F560:H560)))</f>
        <v>15</v>
      </c>
      <c r="V560" s="4" t="str">
        <f>IF(U560="","",IF(U560&gt;25,"Outlier","Normal"))</f>
        <v>Normal</v>
      </c>
    </row>
    <row r="561" spans="1:22" x14ac:dyDescent="0.3">
      <c r="A561" s="1" t="s">
        <v>8</v>
      </c>
      <c r="B561" s="1" t="s">
        <v>21</v>
      </c>
      <c r="C561" s="1" t="s">
        <v>84</v>
      </c>
      <c r="D561" s="1" t="s">
        <v>20</v>
      </c>
      <c r="E561" s="1" t="s">
        <v>12</v>
      </c>
      <c r="F561" s="4">
        <v>60</v>
      </c>
      <c r="G561" s="4">
        <v>66</v>
      </c>
      <c r="H561" s="4">
        <v>70</v>
      </c>
      <c r="I561" s="4">
        <f>AVERAGE(Student­­Performance[[#This Row],[Math Score]],Student­­Performance[[#This Row],[Reading Score]],Student­­Performance[[#This Row],[Writing Score]])</f>
        <v>65.333333333333329</v>
      </c>
      <c r="J561" s="10" t="str">
        <f>IF(Student­­Performance[[#This Row],[Average Score]]&gt;=50,"Pass","Fail")</f>
        <v>Pass</v>
      </c>
      <c r="K56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56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56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561" s="4">
        <f>IF(ISNUMBER(Student­­Performance[[#This Row],[Math Score]]),Student­­Performance[[#This Row],[Math Score]],0)</f>
        <v>60</v>
      </c>
      <c r="O561" s="4">
        <f>IF(ISNUMBER(Student­­Performance[[#This Row],[Reading Score]]),Student­­Performance[[#This Row],[Reading Score]],0)</f>
        <v>66</v>
      </c>
      <c r="P561" s="4">
        <f>IF(ISNUMBER(Student­­Performance[[#This Row],[Writing Score]]),Student­­Performance[[#This Row],[Writing Score]],0)</f>
        <v>70</v>
      </c>
      <c r="Q561" s="4" t="str">
        <f>IF(Student­­Performance[[#This Row],[Math Score]]&gt;=50,"Pass","Fail")</f>
        <v>Pass</v>
      </c>
      <c r="R561" s="4" t="str">
        <f>IF(Student­­Performance[[#This Row],[Reading Score]]&gt;=50,"Pass","Fail")</f>
        <v>Pass</v>
      </c>
      <c r="S561" s="4" t="str">
        <f>IF(Student­­Performance[[#This Row],[Writing Score]]&gt;=50,"Pass","Fail")</f>
        <v>Pass</v>
      </c>
      <c r="T56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196</v>
      </c>
      <c r="U561" s="4" cm="1">
        <f t="array" ref="U561">IF(COUNT(F561:H561)=0,"", MAX(IF(ISNUMBER(F561:H561),F561:H561)) - MIN(IF(ISNUMBER(F561:H561),F561:H561)))</f>
        <v>10</v>
      </c>
      <c r="V561" s="4" t="str">
        <f>IF(U561="","",IF(U561&gt;25,"Outlier","Normal"))</f>
        <v>Normal</v>
      </c>
    </row>
    <row r="562" spans="1:22" x14ac:dyDescent="0.3">
      <c r="A562" s="1" t="s">
        <v>17</v>
      </c>
      <c r="B562" s="1" t="s">
        <v>21</v>
      </c>
      <c r="C562" s="1" t="s">
        <v>87</v>
      </c>
      <c r="D562" s="1" t="s">
        <v>20</v>
      </c>
      <c r="E562" s="1" t="s">
        <v>15</v>
      </c>
      <c r="F562" s="4">
        <v>64</v>
      </c>
      <c r="G562" s="4">
        <v>64</v>
      </c>
      <c r="H562" s="4">
        <v>67</v>
      </c>
      <c r="I562" s="4">
        <f>AVERAGE(Student­­Performance[[#This Row],[Math Score]],Student­­Performance[[#This Row],[Reading Score]],Student­­Performance[[#This Row],[Writing Score]])</f>
        <v>65</v>
      </c>
      <c r="J562" s="10" t="str">
        <f>IF(Student­­Performance[[#This Row],[Average Score]]&gt;=50,"Pass","Fail")</f>
        <v>Pass</v>
      </c>
      <c r="K56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56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56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562" s="4">
        <f>IF(ISNUMBER(Student­­Performance[[#This Row],[Math Score]]),Student­­Performance[[#This Row],[Math Score]],0)</f>
        <v>64</v>
      </c>
      <c r="O562" s="4">
        <f>IF(ISNUMBER(Student­­Performance[[#This Row],[Reading Score]]),Student­­Performance[[#This Row],[Reading Score]],0)</f>
        <v>64</v>
      </c>
      <c r="P562" s="4">
        <f>IF(ISNUMBER(Student­­Performance[[#This Row],[Writing Score]]),Student­­Performance[[#This Row],[Writing Score]],0)</f>
        <v>67</v>
      </c>
      <c r="Q562" s="4" t="str">
        <f>IF(Student­­Performance[[#This Row],[Math Score]]&gt;=50,"Pass","Fail")</f>
        <v>Pass</v>
      </c>
      <c r="R562" s="4" t="str">
        <f>IF(Student­­Performance[[#This Row],[Reading Score]]&gt;=50,"Pass","Fail")</f>
        <v>Pass</v>
      </c>
      <c r="S562" s="4" t="str">
        <f>IF(Student­­Performance[[#This Row],[Writing Score]]&gt;=50,"Pass","Fail")</f>
        <v>Pass</v>
      </c>
      <c r="T56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195</v>
      </c>
      <c r="U562" s="4" cm="1">
        <f t="array" ref="U562">IF(COUNT(F562:H562)=0,"", MAX(IF(ISNUMBER(F562:H562),F562:H562)) - MIN(IF(ISNUMBER(F562:H562),F562:H562)))</f>
        <v>3</v>
      </c>
      <c r="V562" s="4" t="str">
        <f>IF(U562="","",IF(U562&gt;25,"Outlier","Normal"))</f>
        <v>Normal</v>
      </c>
    </row>
    <row r="563" spans="1:22" x14ac:dyDescent="0.3">
      <c r="A563" s="1" t="s">
        <v>8</v>
      </c>
      <c r="B563" s="1" t="s">
        <v>18</v>
      </c>
      <c r="C563" s="1" t="s">
        <v>84</v>
      </c>
      <c r="D563" s="1" t="s">
        <v>11</v>
      </c>
      <c r="E563" s="1" t="s">
        <v>12</v>
      </c>
      <c r="F563" s="4">
        <v>58</v>
      </c>
      <c r="G563" s="4">
        <v>70</v>
      </c>
      <c r="H563" s="4">
        <v>67</v>
      </c>
      <c r="I563" s="4">
        <f>AVERAGE(Student­­Performance[[#This Row],[Math Score]],Student­­Performance[[#This Row],[Reading Score]],Student­­Performance[[#This Row],[Writing Score]])</f>
        <v>65</v>
      </c>
      <c r="J563" s="10" t="str">
        <f>IF(Student­­Performance[[#This Row],[Average Score]]&gt;=50,"Pass","Fail")</f>
        <v>Pass</v>
      </c>
      <c r="K56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56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56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563" s="4">
        <f>IF(ISNUMBER(Student­­Performance[[#This Row],[Math Score]]),Student­­Performance[[#This Row],[Math Score]],0)</f>
        <v>58</v>
      </c>
      <c r="O563" s="4">
        <f>IF(ISNUMBER(Student­­Performance[[#This Row],[Reading Score]]),Student­­Performance[[#This Row],[Reading Score]],0)</f>
        <v>70</v>
      </c>
      <c r="P563" s="4">
        <f>IF(ISNUMBER(Student­­Performance[[#This Row],[Writing Score]]),Student­­Performance[[#This Row],[Writing Score]],0)</f>
        <v>67</v>
      </c>
      <c r="Q563" s="4" t="str">
        <f>IF(Student­­Performance[[#This Row],[Math Score]]&gt;=50,"Pass","Fail")</f>
        <v>Pass</v>
      </c>
      <c r="R563" s="4" t="str">
        <f>IF(Student­­Performance[[#This Row],[Reading Score]]&gt;=50,"Pass","Fail")</f>
        <v>Pass</v>
      </c>
      <c r="S563" s="4" t="str">
        <f>IF(Student­­Performance[[#This Row],[Writing Score]]&gt;=50,"Pass","Fail")</f>
        <v>Pass</v>
      </c>
      <c r="T56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195</v>
      </c>
      <c r="U563" s="4" cm="1">
        <f t="array" ref="U563">IF(COUNT(F563:H563)=0,"", MAX(IF(ISNUMBER(F563:H563),F563:H563)) - MIN(IF(ISNUMBER(F563:H563),F563:H563)))</f>
        <v>12</v>
      </c>
      <c r="V563" s="4" t="str">
        <f>IF(U563="","",IF(U563&gt;25,"Outlier","Normal"))</f>
        <v>Normal</v>
      </c>
    </row>
    <row r="564" spans="1:22" x14ac:dyDescent="0.3">
      <c r="A564" s="1" t="s">
        <v>8</v>
      </c>
      <c r="B564" s="1" t="s">
        <v>9</v>
      </c>
      <c r="C564" s="1" t="s">
        <v>86</v>
      </c>
      <c r="D564" s="1" t="s">
        <v>11</v>
      </c>
      <c r="E564" s="1" t="s">
        <v>15</v>
      </c>
      <c r="F564" s="4">
        <v>59</v>
      </c>
      <c r="G564" s="4">
        <v>70</v>
      </c>
      <c r="H564" s="4">
        <v>66</v>
      </c>
      <c r="I564" s="4">
        <f>AVERAGE(Student­­Performance[[#This Row],[Math Score]],Student­­Performance[[#This Row],[Reading Score]],Student­­Performance[[#This Row],[Writing Score]])</f>
        <v>65</v>
      </c>
      <c r="J564" s="10" t="str">
        <f>IF(Student­­Performance[[#This Row],[Average Score]]&gt;=50,"Pass","Fail")</f>
        <v>Pass</v>
      </c>
      <c r="K56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56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56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564" s="4">
        <f>IF(ISNUMBER(Student­­Performance[[#This Row],[Math Score]]),Student­­Performance[[#This Row],[Math Score]],0)</f>
        <v>59</v>
      </c>
      <c r="O564" s="4">
        <f>IF(ISNUMBER(Student­­Performance[[#This Row],[Reading Score]]),Student­­Performance[[#This Row],[Reading Score]],0)</f>
        <v>70</v>
      </c>
      <c r="P564" s="4">
        <f>IF(ISNUMBER(Student­­Performance[[#This Row],[Writing Score]]),Student­­Performance[[#This Row],[Writing Score]],0)</f>
        <v>66</v>
      </c>
      <c r="Q564" s="4" t="str">
        <f>IF(Student­­Performance[[#This Row],[Math Score]]&gt;=50,"Pass","Fail")</f>
        <v>Pass</v>
      </c>
      <c r="R564" s="4" t="str">
        <f>IF(Student­­Performance[[#This Row],[Reading Score]]&gt;=50,"Pass","Fail")</f>
        <v>Pass</v>
      </c>
      <c r="S564" s="4" t="str">
        <f>IF(Student­­Performance[[#This Row],[Writing Score]]&gt;=50,"Pass","Fail")</f>
        <v>Pass</v>
      </c>
      <c r="T56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195</v>
      </c>
      <c r="U564" s="4" cm="1">
        <f t="array" ref="U564">IF(COUNT(F564:H564)=0,"", MAX(IF(ISNUMBER(F564:H564),F564:H564)) - MIN(IF(ISNUMBER(F564:H564),F564:H564)))</f>
        <v>11</v>
      </c>
      <c r="V564" s="4" t="str">
        <f>IF(U564="","",IF(U564&gt;25,"Outlier","Normal"))</f>
        <v>Normal</v>
      </c>
    </row>
    <row r="565" spans="1:22" x14ac:dyDescent="0.3">
      <c r="A565" s="1" t="s">
        <v>8</v>
      </c>
      <c r="B565" s="1" t="s">
        <v>9</v>
      </c>
      <c r="C565" s="1" t="s">
        <v>84</v>
      </c>
      <c r="D565" s="1" t="s">
        <v>20</v>
      </c>
      <c r="E565" s="1" t="s">
        <v>12</v>
      </c>
      <c r="F565" s="4">
        <v>61</v>
      </c>
      <c r="G565" s="4">
        <v>68</v>
      </c>
      <c r="H565" s="4">
        <v>66</v>
      </c>
      <c r="I565" s="4">
        <f>AVERAGE(Student­­Performance[[#This Row],[Math Score]],Student­­Performance[[#This Row],[Reading Score]],Student­­Performance[[#This Row],[Writing Score]])</f>
        <v>65</v>
      </c>
      <c r="J565" s="10" t="str">
        <f>IF(Student­­Performance[[#This Row],[Average Score]]&gt;=50,"Pass","Fail")</f>
        <v>Pass</v>
      </c>
      <c r="K56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56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56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565" s="4">
        <f>IF(ISNUMBER(Student­­Performance[[#This Row],[Math Score]]),Student­­Performance[[#This Row],[Math Score]],0)</f>
        <v>61</v>
      </c>
      <c r="O565" s="4">
        <f>IF(ISNUMBER(Student­­Performance[[#This Row],[Reading Score]]),Student­­Performance[[#This Row],[Reading Score]],0)</f>
        <v>68</v>
      </c>
      <c r="P565" s="4">
        <f>IF(ISNUMBER(Student­­Performance[[#This Row],[Writing Score]]),Student­­Performance[[#This Row],[Writing Score]],0)</f>
        <v>66</v>
      </c>
      <c r="Q565" s="4" t="str">
        <f>IF(Student­­Performance[[#This Row],[Math Score]]&gt;=50,"Pass","Fail")</f>
        <v>Pass</v>
      </c>
      <c r="R565" s="4" t="str">
        <f>IF(Student­­Performance[[#This Row],[Reading Score]]&gt;=50,"Pass","Fail")</f>
        <v>Pass</v>
      </c>
      <c r="S565" s="4" t="str">
        <f>IF(Student­­Performance[[#This Row],[Writing Score]]&gt;=50,"Pass","Fail")</f>
        <v>Pass</v>
      </c>
      <c r="T56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195</v>
      </c>
      <c r="U565" s="4" cm="1">
        <f t="array" ref="U565">IF(COUNT(F565:H565)=0,"", MAX(IF(ISNUMBER(F565:H565),F565:H565)) - MIN(IF(ISNUMBER(F565:H565),F565:H565)))</f>
        <v>7</v>
      </c>
      <c r="V565" s="4" t="str">
        <f>IF(U565="","",IF(U565&gt;25,"Outlier","Normal"))</f>
        <v>Normal</v>
      </c>
    </row>
    <row r="566" spans="1:22" x14ac:dyDescent="0.3">
      <c r="A566" s="1" t="s">
        <v>17</v>
      </c>
      <c r="B566" s="1" t="s">
        <v>21</v>
      </c>
      <c r="C566" s="1" t="s">
        <v>84</v>
      </c>
      <c r="D566" s="1" t="s">
        <v>20</v>
      </c>
      <c r="E566" s="1" t="s">
        <v>12</v>
      </c>
      <c r="F566" s="4">
        <v>69</v>
      </c>
      <c r="G566" s="4">
        <v>66</v>
      </c>
      <c r="H566" s="4">
        <v>60</v>
      </c>
      <c r="I566" s="4">
        <f>AVERAGE(Student­­Performance[[#This Row],[Math Score]],Student­­Performance[[#This Row],[Reading Score]],Student­­Performance[[#This Row],[Writing Score]])</f>
        <v>65</v>
      </c>
      <c r="J566" s="10" t="str">
        <f>IF(Student­­Performance[[#This Row],[Average Score]]&gt;=50,"Pass","Fail")</f>
        <v>Pass</v>
      </c>
      <c r="K56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56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56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-9</v>
      </c>
      <c r="N566" s="4">
        <f>IF(ISNUMBER(Student­­Performance[[#This Row],[Math Score]]),Student­­Performance[[#This Row],[Math Score]],0)</f>
        <v>69</v>
      </c>
      <c r="O566" s="4">
        <f>IF(ISNUMBER(Student­­Performance[[#This Row],[Reading Score]]),Student­­Performance[[#This Row],[Reading Score]],0)</f>
        <v>66</v>
      </c>
      <c r="P566" s="4">
        <f>IF(ISNUMBER(Student­­Performance[[#This Row],[Writing Score]]),Student­­Performance[[#This Row],[Writing Score]],0)</f>
        <v>60</v>
      </c>
      <c r="Q566" s="4" t="str">
        <f>IF(Student­­Performance[[#This Row],[Math Score]]&gt;=50,"Pass","Fail")</f>
        <v>Pass</v>
      </c>
      <c r="R566" s="4" t="str">
        <f>IF(Student­­Performance[[#This Row],[Reading Score]]&gt;=50,"Pass","Fail")</f>
        <v>Pass</v>
      </c>
      <c r="S566" s="4" t="str">
        <f>IF(Student­­Performance[[#This Row],[Writing Score]]&gt;=50,"Pass","Fail")</f>
        <v>Pass</v>
      </c>
      <c r="T56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195</v>
      </c>
      <c r="U566" s="4" cm="1">
        <f t="array" ref="U566">IF(COUNT(F566:H566)=0,"", MAX(IF(ISNUMBER(F566:H566),F566:H566)) - MIN(IF(ISNUMBER(F566:H566),F566:H566)))</f>
        <v>9</v>
      </c>
      <c r="V566" s="4" t="str">
        <f>IF(U566="","",IF(U566&gt;25,"Outlier","Normal"))</f>
        <v>Normal</v>
      </c>
    </row>
    <row r="567" spans="1:22" x14ac:dyDescent="0.3">
      <c r="A567" s="1" t="s">
        <v>17</v>
      </c>
      <c r="B567" s="1" t="s">
        <v>18</v>
      </c>
      <c r="C567" s="1" t="s">
        <v>83</v>
      </c>
      <c r="D567" s="1" t="s">
        <v>11</v>
      </c>
      <c r="E567" s="1" t="s">
        <v>15</v>
      </c>
      <c r="F567" s="4">
        <v>75</v>
      </c>
      <c r="G567" s="4">
        <v>58</v>
      </c>
      <c r="H567" s="4">
        <v>62</v>
      </c>
      <c r="I567" s="4">
        <f>AVERAGE(Student­­Performance[[#This Row],[Math Score]],Student­­Performance[[#This Row],[Reading Score]],Student­­Performance[[#This Row],[Writing Score]])</f>
        <v>65</v>
      </c>
      <c r="J567" s="10" t="str">
        <f>IF(Student­­Performance[[#This Row],[Average Score]]&gt;=50,"Pass","Fail")</f>
        <v>Pass</v>
      </c>
      <c r="K56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-17</v>
      </c>
      <c r="L56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56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-13</v>
      </c>
      <c r="N567" s="4">
        <f>IF(ISNUMBER(Student­­Performance[[#This Row],[Math Score]]),Student­­Performance[[#This Row],[Math Score]],0)</f>
        <v>75</v>
      </c>
      <c r="O567" s="4">
        <f>IF(ISNUMBER(Student­­Performance[[#This Row],[Reading Score]]),Student­­Performance[[#This Row],[Reading Score]],0)</f>
        <v>58</v>
      </c>
      <c r="P567" s="4">
        <f>IF(ISNUMBER(Student­­Performance[[#This Row],[Writing Score]]),Student­­Performance[[#This Row],[Writing Score]],0)</f>
        <v>62</v>
      </c>
      <c r="Q567" s="4" t="str">
        <f>IF(Student­­Performance[[#This Row],[Math Score]]&gt;=50,"Pass","Fail")</f>
        <v>Pass</v>
      </c>
      <c r="R567" s="4" t="str">
        <f>IF(Student­­Performance[[#This Row],[Reading Score]]&gt;=50,"Pass","Fail")</f>
        <v>Pass</v>
      </c>
      <c r="S567" s="4" t="str">
        <f>IF(Student­­Performance[[#This Row],[Writing Score]]&gt;=50,"Pass","Fail")</f>
        <v>Pass</v>
      </c>
      <c r="T56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195</v>
      </c>
      <c r="U567" s="4" cm="1">
        <f t="array" ref="U567">IF(COUNT(F567:H567)=0,"", MAX(IF(ISNUMBER(F567:H567),F567:H567)) - MIN(IF(ISNUMBER(F567:H567),F567:H567)))</f>
        <v>17</v>
      </c>
      <c r="V567" s="4" t="str">
        <f>IF(U567="","",IF(U567&gt;25,"Outlier","Normal"))</f>
        <v>Normal</v>
      </c>
    </row>
    <row r="568" spans="1:22" x14ac:dyDescent="0.3">
      <c r="A568" s="1" t="s">
        <v>17</v>
      </c>
      <c r="B568" s="1" t="s">
        <v>9</v>
      </c>
      <c r="C568" s="1" t="s">
        <v>87</v>
      </c>
      <c r="D568" s="1" t="s">
        <v>11</v>
      </c>
      <c r="E568" s="1" t="s">
        <v>12</v>
      </c>
      <c r="F568" s="4">
        <v>70</v>
      </c>
      <c r="G568" s="4">
        <v>65</v>
      </c>
      <c r="H568" s="4">
        <v>60</v>
      </c>
      <c r="I568" s="4">
        <f>AVERAGE(Student­­Performance[[#This Row],[Math Score]],Student­­Performance[[#This Row],[Reading Score]],Student­­Performance[[#This Row],[Writing Score]])</f>
        <v>65</v>
      </c>
      <c r="J568" s="10" t="str">
        <f>IF(Student­­Performance[[#This Row],[Average Score]]&gt;=50,"Pass","Fail")</f>
        <v>Pass</v>
      </c>
      <c r="K56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56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56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-10</v>
      </c>
      <c r="N568" s="4">
        <f>IF(ISNUMBER(Student­­Performance[[#This Row],[Math Score]]),Student­­Performance[[#This Row],[Math Score]],0)</f>
        <v>70</v>
      </c>
      <c r="O568" s="4">
        <f>IF(ISNUMBER(Student­­Performance[[#This Row],[Reading Score]]),Student­­Performance[[#This Row],[Reading Score]],0)</f>
        <v>65</v>
      </c>
      <c r="P568" s="4">
        <f>IF(ISNUMBER(Student­­Performance[[#This Row],[Writing Score]]),Student­­Performance[[#This Row],[Writing Score]],0)</f>
        <v>60</v>
      </c>
      <c r="Q568" s="4" t="str">
        <f>IF(Student­­Performance[[#This Row],[Math Score]]&gt;=50,"Pass","Fail")</f>
        <v>Pass</v>
      </c>
      <c r="R568" s="4" t="str">
        <f>IF(Student­­Performance[[#This Row],[Reading Score]]&gt;=50,"Pass","Fail")</f>
        <v>Pass</v>
      </c>
      <c r="S568" s="4" t="str">
        <f>IF(Student­­Performance[[#This Row],[Writing Score]]&gt;=50,"Pass","Fail")</f>
        <v>Pass</v>
      </c>
      <c r="T56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195</v>
      </c>
      <c r="U568" s="4" cm="1">
        <f t="array" ref="U568">IF(COUNT(F568:H568)=0,"", MAX(IF(ISNUMBER(F568:H568),F568:H568)) - MIN(IF(ISNUMBER(F568:H568),F568:H568)))</f>
        <v>10</v>
      </c>
      <c r="V568" s="4" t="str">
        <f>IF(U568="","",IF(U568&gt;25,"Outlier","Normal"))</f>
        <v>Normal</v>
      </c>
    </row>
    <row r="569" spans="1:22" x14ac:dyDescent="0.3">
      <c r="A569" s="1" t="s">
        <v>8</v>
      </c>
      <c r="B569" s="1" t="s">
        <v>21</v>
      </c>
      <c r="C569" s="1" t="s">
        <v>84</v>
      </c>
      <c r="D569" s="1" t="s">
        <v>20</v>
      </c>
      <c r="E569" s="1" t="s">
        <v>12</v>
      </c>
      <c r="F569" s="4">
        <v>55</v>
      </c>
      <c r="G569" s="4">
        <v>71</v>
      </c>
      <c r="H569" s="4">
        <v>69</v>
      </c>
      <c r="I569" s="4">
        <f>AVERAGE(Student­­Performance[[#This Row],[Math Score]],Student­­Performance[[#This Row],[Reading Score]],Student­­Performance[[#This Row],[Writing Score]])</f>
        <v>65</v>
      </c>
      <c r="J569" s="10" t="str">
        <f>IF(Student­­Performance[[#This Row],[Average Score]]&gt;=50,"Pass","Fail")</f>
        <v>Pass</v>
      </c>
      <c r="K56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16</v>
      </c>
      <c r="L56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56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14</v>
      </c>
      <c r="N569" s="4">
        <f>IF(ISNUMBER(Student­­Performance[[#This Row],[Math Score]]),Student­­Performance[[#This Row],[Math Score]],0)</f>
        <v>55</v>
      </c>
      <c r="O569" s="4">
        <f>IF(ISNUMBER(Student­­Performance[[#This Row],[Reading Score]]),Student­­Performance[[#This Row],[Reading Score]],0)</f>
        <v>71</v>
      </c>
      <c r="P569" s="4">
        <f>IF(ISNUMBER(Student­­Performance[[#This Row],[Writing Score]]),Student­­Performance[[#This Row],[Writing Score]],0)</f>
        <v>69</v>
      </c>
      <c r="Q569" s="4" t="str">
        <f>IF(Student­­Performance[[#This Row],[Math Score]]&gt;=50,"Pass","Fail")</f>
        <v>Pass</v>
      </c>
      <c r="R569" s="4" t="str">
        <f>IF(Student­­Performance[[#This Row],[Reading Score]]&gt;=50,"Pass","Fail")</f>
        <v>Pass</v>
      </c>
      <c r="S569" s="4" t="str">
        <f>IF(Student­­Performance[[#This Row],[Writing Score]]&gt;=50,"Pass","Fail")</f>
        <v>Pass</v>
      </c>
      <c r="T56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195</v>
      </c>
      <c r="U569" s="4" cm="1">
        <f t="array" ref="U569">IF(COUNT(F569:H569)=0,"", MAX(IF(ISNUMBER(F569:H569),F569:H569)) - MIN(IF(ISNUMBER(F569:H569),F569:H569)))</f>
        <v>16</v>
      </c>
      <c r="V569" s="4" t="str">
        <f>IF(U569="","",IF(U569&gt;25,"Outlier","Normal"))</f>
        <v>Normal</v>
      </c>
    </row>
    <row r="570" spans="1:22" x14ac:dyDescent="0.3">
      <c r="A570" s="1" t="s">
        <v>8</v>
      </c>
      <c r="B570" s="1" t="s">
        <v>13</v>
      </c>
      <c r="C570" s="1" t="s">
        <v>87</v>
      </c>
      <c r="D570" s="1" t="s">
        <v>20</v>
      </c>
      <c r="E570" s="1" t="s">
        <v>15</v>
      </c>
      <c r="F570" s="4">
        <v>59</v>
      </c>
      <c r="G570" s="4">
        <v>71</v>
      </c>
      <c r="H570" s="4">
        <v>65</v>
      </c>
      <c r="I570" s="4">
        <f>AVERAGE(Student­­Performance[[#This Row],[Math Score]],Student­­Performance[[#This Row],[Reading Score]],Student­­Performance[[#This Row],[Writing Score]])</f>
        <v>65</v>
      </c>
      <c r="J570" s="10" t="str">
        <f>IF(Student­­Performance[[#This Row],[Average Score]]&gt;=50,"Pass","Fail")</f>
        <v>Pass</v>
      </c>
      <c r="K57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57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57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570" s="4">
        <f>IF(ISNUMBER(Student­­Performance[[#This Row],[Math Score]]),Student­­Performance[[#This Row],[Math Score]],0)</f>
        <v>59</v>
      </c>
      <c r="O570" s="4">
        <f>IF(ISNUMBER(Student­­Performance[[#This Row],[Reading Score]]),Student­­Performance[[#This Row],[Reading Score]],0)</f>
        <v>71</v>
      </c>
      <c r="P570" s="4">
        <f>IF(ISNUMBER(Student­­Performance[[#This Row],[Writing Score]]),Student­­Performance[[#This Row],[Writing Score]],0)</f>
        <v>65</v>
      </c>
      <c r="Q570" s="4" t="str">
        <f>IF(Student­­Performance[[#This Row],[Math Score]]&gt;=50,"Pass","Fail")</f>
        <v>Pass</v>
      </c>
      <c r="R570" s="4" t="str">
        <f>IF(Student­­Performance[[#This Row],[Reading Score]]&gt;=50,"Pass","Fail")</f>
        <v>Pass</v>
      </c>
      <c r="S570" s="4" t="str">
        <f>IF(Student­­Performance[[#This Row],[Writing Score]]&gt;=50,"Pass","Fail")</f>
        <v>Pass</v>
      </c>
      <c r="T57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195</v>
      </c>
      <c r="U570" s="4" cm="1">
        <f t="array" ref="U570">IF(COUNT(F570:H570)=0,"", MAX(IF(ISNUMBER(F570:H570),F570:H570)) - MIN(IF(ISNUMBER(F570:H570),F570:H570)))</f>
        <v>12</v>
      </c>
      <c r="V570" s="4" t="str">
        <f>IF(U570="","",IF(U570&gt;25,"Outlier","Normal"))</f>
        <v>Normal</v>
      </c>
    </row>
    <row r="571" spans="1:22" x14ac:dyDescent="0.3">
      <c r="A571" s="1" t="s">
        <v>8</v>
      </c>
      <c r="B571" s="1" t="s">
        <v>21</v>
      </c>
      <c r="C571" s="1" t="s">
        <v>84</v>
      </c>
      <c r="D571" s="1" t="s">
        <v>20</v>
      </c>
      <c r="E571" s="1" t="s">
        <v>15</v>
      </c>
      <c r="F571" s="4">
        <v>58</v>
      </c>
      <c r="G571" s="4">
        <v>63</v>
      </c>
      <c r="H571" s="4">
        <v>73</v>
      </c>
      <c r="I571" s="4">
        <f>AVERAGE(Student­­Performance[[#This Row],[Math Score]],Student­­Performance[[#This Row],[Reading Score]],Student­­Performance[[#This Row],[Writing Score]])</f>
        <v>64.666666666666671</v>
      </c>
      <c r="J571" s="10" t="str">
        <f>IF(Student­­Performance[[#This Row],[Average Score]]&gt;=50,"Pass","Fail")</f>
        <v>Pass</v>
      </c>
      <c r="K57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57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10</v>
      </c>
      <c r="M57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15</v>
      </c>
      <c r="N571" s="4">
        <f>IF(ISNUMBER(Student­­Performance[[#This Row],[Math Score]]),Student­­Performance[[#This Row],[Math Score]],0)</f>
        <v>58</v>
      </c>
      <c r="O571" s="4">
        <f>IF(ISNUMBER(Student­­Performance[[#This Row],[Reading Score]]),Student­­Performance[[#This Row],[Reading Score]],0)</f>
        <v>63</v>
      </c>
      <c r="P571" s="4">
        <f>IF(ISNUMBER(Student­­Performance[[#This Row],[Writing Score]]),Student­­Performance[[#This Row],[Writing Score]],0)</f>
        <v>73</v>
      </c>
      <c r="Q571" s="4" t="str">
        <f>IF(Student­­Performance[[#This Row],[Math Score]]&gt;=50,"Pass","Fail")</f>
        <v>Pass</v>
      </c>
      <c r="R571" s="4" t="str">
        <f>IF(Student­­Performance[[#This Row],[Reading Score]]&gt;=50,"Pass","Fail")</f>
        <v>Pass</v>
      </c>
      <c r="S571" s="4" t="str">
        <f>IF(Student­­Performance[[#This Row],[Writing Score]]&gt;=50,"Pass","Fail")</f>
        <v>Pass</v>
      </c>
      <c r="T57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194</v>
      </c>
      <c r="U571" s="4" cm="1">
        <f t="array" ref="U571">IF(COUNT(F571:H571)=0,"", MAX(IF(ISNUMBER(F571:H571),F571:H571)) - MIN(IF(ISNUMBER(F571:H571),F571:H571)))</f>
        <v>15</v>
      </c>
      <c r="V571" s="4" t="str">
        <f>IF(U571="","",IF(U571&gt;25,"Outlier","Normal"))</f>
        <v>Normal</v>
      </c>
    </row>
    <row r="572" spans="1:22" x14ac:dyDescent="0.3">
      <c r="A572" s="1" t="s">
        <v>8</v>
      </c>
      <c r="B572" s="1" t="s">
        <v>21</v>
      </c>
      <c r="C572" s="1" t="s">
        <v>83</v>
      </c>
      <c r="D572" s="1" t="s">
        <v>11</v>
      </c>
      <c r="E572" s="1" t="s">
        <v>12</v>
      </c>
      <c r="F572" s="4">
        <v>65</v>
      </c>
      <c r="G572" s="4">
        <v>67</v>
      </c>
      <c r="H572" s="4">
        <v>62</v>
      </c>
      <c r="I572" s="4">
        <f>AVERAGE(Student­­Performance[[#This Row],[Math Score]],Student­­Performance[[#This Row],[Reading Score]],Student­­Performance[[#This Row],[Writing Score]])</f>
        <v>64.666666666666671</v>
      </c>
      <c r="J572" s="10" t="str">
        <f>IF(Student­­Performance[[#This Row],[Average Score]]&gt;=50,"Pass","Fail")</f>
        <v>Pass</v>
      </c>
      <c r="K57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57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57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572" s="4">
        <f>IF(ISNUMBER(Student­­Performance[[#This Row],[Math Score]]),Student­­Performance[[#This Row],[Math Score]],0)</f>
        <v>65</v>
      </c>
      <c r="O572" s="4">
        <f>IF(ISNUMBER(Student­­Performance[[#This Row],[Reading Score]]),Student­­Performance[[#This Row],[Reading Score]],0)</f>
        <v>67</v>
      </c>
      <c r="P572" s="4">
        <f>IF(ISNUMBER(Student­­Performance[[#This Row],[Writing Score]]),Student­­Performance[[#This Row],[Writing Score]],0)</f>
        <v>62</v>
      </c>
      <c r="Q572" s="4" t="str">
        <f>IF(Student­­Performance[[#This Row],[Math Score]]&gt;=50,"Pass","Fail")</f>
        <v>Pass</v>
      </c>
      <c r="R572" s="4" t="str">
        <f>IF(Student­­Performance[[#This Row],[Reading Score]]&gt;=50,"Pass","Fail")</f>
        <v>Pass</v>
      </c>
      <c r="S572" s="4" t="str">
        <f>IF(Student­­Performance[[#This Row],[Writing Score]]&gt;=50,"Pass","Fail")</f>
        <v>Pass</v>
      </c>
      <c r="T57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194</v>
      </c>
      <c r="U572" s="4" cm="1">
        <f t="array" ref="U572">IF(COUNT(F572:H572)=0,"", MAX(IF(ISNUMBER(F572:H572),F572:H572)) - MIN(IF(ISNUMBER(F572:H572),F572:H572)))</f>
        <v>5</v>
      </c>
      <c r="V572" s="4" t="str">
        <f>IF(U572="","",IF(U572&gt;25,"Outlier","Normal"))</f>
        <v>Normal</v>
      </c>
    </row>
    <row r="573" spans="1:22" x14ac:dyDescent="0.3">
      <c r="A573" s="1" t="s">
        <v>8</v>
      </c>
      <c r="B573" s="1" t="s">
        <v>9</v>
      </c>
      <c r="C573" s="1" t="s">
        <v>86</v>
      </c>
      <c r="D573" s="1" t="s">
        <v>11</v>
      </c>
      <c r="E573" s="1" t="s">
        <v>12</v>
      </c>
      <c r="F573" s="4">
        <v>57</v>
      </c>
      <c r="G573" s="4">
        <v>69</v>
      </c>
      <c r="H573" s="4">
        <v>68</v>
      </c>
      <c r="I573" s="4">
        <f>AVERAGE(Student­­Performance[[#This Row],[Math Score]],Student­­Performance[[#This Row],[Reading Score]],Student­­Performance[[#This Row],[Writing Score]])</f>
        <v>64.666666666666671</v>
      </c>
      <c r="J573" s="10" t="str">
        <f>IF(Student­­Performance[[#This Row],[Average Score]]&gt;=50,"Pass","Fail")</f>
        <v>Pass</v>
      </c>
      <c r="K57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57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57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573" s="4">
        <f>IF(ISNUMBER(Student­­Performance[[#This Row],[Math Score]]),Student­­Performance[[#This Row],[Math Score]],0)</f>
        <v>57</v>
      </c>
      <c r="O573" s="4">
        <f>IF(ISNUMBER(Student­­Performance[[#This Row],[Reading Score]]),Student­­Performance[[#This Row],[Reading Score]],0)</f>
        <v>69</v>
      </c>
      <c r="P573" s="4">
        <f>IF(ISNUMBER(Student­­Performance[[#This Row],[Writing Score]]),Student­­Performance[[#This Row],[Writing Score]],0)</f>
        <v>68</v>
      </c>
      <c r="Q573" s="4" t="str">
        <f>IF(Student­­Performance[[#This Row],[Math Score]]&gt;=50,"Pass","Fail")</f>
        <v>Pass</v>
      </c>
      <c r="R573" s="4" t="str">
        <f>IF(Student­­Performance[[#This Row],[Reading Score]]&gt;=50,"Pass","Fail")</f>
        <v>Pass</v>
      </c>
      <c r="S573" s="4" t="str">
        <f>IF(Student­­Performance[[#This Row],[Writing Score]]&gt;=50,"Pass","Fail")</f>
        <v>Pass</v>
      </c>
      <c r="T57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194</v>
      </c>
      <c r="U573" s="4" cm="1">
        <f t="array" ref="U573">IF(COUNT(F573:H573)=0,"", MAX(IF(ISNUMBER(F573:H573),F573:H573)) - MIN(IF(ISNUMBER(F573:H573),F573:H573)))</f>
        <v>12</v>
      </c>
      <c r="V573" s="4" t="str">
        <f>IF(U573="","",IF(U573&gt;25,"Outlier","Normal"))</f>
        <v>Normal</v>
      </c>
    </row>
    <row r="574" spans="1:22" x14ac:dyDescent="0.3">
      <c r="A574" s="1" t="s">
        <v>17</v>
      </c>
      <c r="B574" s="1" t="s">
        <v>9</v>
      </c>
      <c r="C574" s="1" t="s">
        <v>88</v>
      </c>
      <c r="D574" s="1" t="s">
        <v>11</v>
      </c>
      <c r="E574" s="1" t="s">
        <v>12</v>
      </c>
      <c r="F574" s="4">
        <v>74</v>
      </c>
      <c r="G574" s="4">
        <v>63</v>
      </c>
      <c r="H574" s="4">
        <v>57</v>
      </c>
      <c r="I574" s="4">
        <f>AVERAGE(Student­­Performance[[#This Row],[Math Score]],Student­­Performance[[#This Row],[Reading Score]],Student­­Performance[[#This Row],[Writing Score]])</f>
        <v>64.666666666666671</v>
      </c>
      <c r="J574" s="10" t="str">
        <f>IF(Student­­Performance[[#This Row],[Average Score]]&gt;=50,"Pass","Fail")</f>
        <v>Pass</v>
      </c>
      <c r="K57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-11</v>
      </c>
      <c r="L57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57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-17</v>
      </c>
      <c r="N574" s="4">
        <f>IF(ISNUMBER(Student­­Performance[[#This Row],[Math Score]]),Student­­Performance[[#This Row],[Math Score]],0)</f>
        <v>74</v>
      </c>
      <c r="O574" s="4">
        <f>IF(ISNUMBER(Student­­Performance[[#This Row],[Reading Score]]),Student­­Performance[[#This Row],[Reading Score]],0)</f>
        <v>63</v>
      </c>
      <c r="P574" s="4">
        <f>IF(ISNUMBER(Student­­Performance[[#This Row],[Writing Score]]),Student­­Performance[[#This Row],[Writing Score]],0)</f>
        <v>57</v>
      </c>
      <c r="Q574" s="4" t="str">
        <f>IF(Student­­Performance[[#This Row],[Math Score]]&gt;=50,"Pass","Fail")</f>
        <v>Pass</v>
      </c>
      <c r="R574" s="4" t="str">
        <f>IF(Student­­Performance[[#This Row],[Reading Score]]&gt;=50,"Pass","Fail")</f>
        <v>Pass</v>
      </c>
      <c r="S574" s="4" t="str">
        <f>IF(Student­­Performance[[#This Row],[Writing Score]]&gt;=50,"Pass","Fail")</f>
        <v>Pass</v>
      </c>
      <c r="T57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194</v>
      </c>
      <c r="U574" s="4" cm="1">
        <f t="array" ref="U574">IF(COUNT(F574:H574)=0,"", MAX(IF(ISNUMBER(F574:H574),F574:H574)) - MIN(IF(ISNUMBER(F574:H574),F574:H574)))</f>
        <v>17</v>
      </c>
      <c r="V574" s="4" t="str">
        <f>IF(U574="","",IF(U574&gt;25,"Outlier","Normal"))</f>
        <v>Normal</v>
      </c>
    </row>
    <row r="575" spans="1:22" x14ac:dyDescent="0.3">
      <c r="A575" s="1" t="s">
        <v>17</v>
      </c>
      <c r="B575" s="1" t="s">
        <v>13</v>
      </c>
      <c r="C575" s="1" t="s">
        <v>85</v>
      </c>
      <c r="D575" s="1" t="s">
        <v>20</v>
      </c>
      <c r="E575" s="1" t="s">
        <v>12</v>
      </c>
      <c r="F575" s="4">
        <v>61</v>
      </c>
      <c r="G575" s="4">
        <v>67</v>
      </c>
      <c r="H575" s="4">
        <v>66</v>
      </c>
      <c r="I575" s="4">
        <f>AVERAGE(Student­­Performance[[#This Row],[Math Score]],Student­­Performance[[#This Row],[Reading Score]],Student­­Performance[[#This Row],[Writing Score]])</f>
        <v>64.666666666666671</v>
      </c>
      <c r="J575" s="10" t="str">
        <f>IF(Student­­Performance[[#This Row],[Average Score]]&gt;=50,"Pass","Fail")</f>
        <v>Pass</v>
      </c>
      <c r="K57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57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57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575" s="4">
        <f>IF(ISNUMBER(Student­­Performance[[#This Row],[Math Score]]),Student­­Performance[[#This Row],[Math Score]],0)</f>
        <v>61</v>
      </c>
      <c r="O575" s="4">
        <f>IF(ISNUMBER(Student­­Performance[[#This Row],[Reading Score]]),Student­­Performance[[#This Row],[Reading Score]],0)</f>
        <v>67</v>
      </c>
      <c r="P575" s="4">
        <f>IF(ISNUMBER(Student­­Performance[[#This Row],[Writing Score]]),Student­­Performance[[#This Row],[Writing Score]],0)</f>
        <v>66</v>
      </c>
      <c r="Q575" s="4" t="str">
        <f>IF(Student­­Performance[[#This Row],[Math Score]]&gt;=50,"Pass","Fail")</f>
        <v>Pass</v>
      </c>
      <c r="R575" s="4" t="str">
        <f>IF(Student­­Performance[[#This Row],[Reading Score]]&gt;=50,"Pass","Fail")</f>
        <v>Pass</v>
      </c>
      <c r="S575" s="4" t="str">
        <f>IF(Student­­Performance[[#This Row],[Writing Score]]&gt;=50,"Pass","Fail")</f>
        <v>Pass</v>
      </c>
      <c r="T57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194</v>
      </c>
      <c r="U575" s="4" cm="1">
        <f t="array" ref="U575">IF(COUNT(F575:H575)=0,"", MAX(IF(ISNUMBER(F575:H575),F575:H575)) - MIN(IF(ISNUMBER(F575:H575),F575:H575)))</f>
        <v>6</v>
      </c>
      <c r="V575" s="4" t="str">
        <f>IF(U575="","",IF(U575&gt;25,"Outlier","Normal"))</f>
        <v>Normal</v>
      </c>
    </row>
    <row r="576" spans="1:22" x14ac:dyDescent="0.3">
      <c r="A576" s="1" t="s">
        <v>8</v>
      </c>
      <c r="B576" s="1" t="s">
        <v>21</v>
      </c>
      <c r="C576" s="1" t="s">
        <v>86</v>
      </c>
      <c r="D576" s="1" t="s">
        <v>11</v>
      </c>
      <c r="E576" s="1" t="s">
        <v>12</v>
      </c>
      <c r="F576" s="4">
        <v>59</v>
      </c>
      <c r="G576" s="4">
        <v>70</v>
      </c>
      <c r="H576" s="4">
        <v>65</v>
      </c>
      <c r="I576" s="4">
        <f>AVERAGE(Student­­Performance[[#This Row],[Math Score]],Student­­Performance[[#This Row],[Reading Score]],Student­­Performance[[#This Row],[Writing Score]])</f>
        <v>64.666666666666671</v>
      </c>
      <c r="J576" s="10" t="str">
        <f>IF(Student­­Performance[[#This Row],[Average Score]]&gt;=50,"Pass","Fail")</f>
        <v>Pass</v>
      </c>
      <c r="K57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57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57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576" s="4">
        <f>IF(ISNUMBER(Student­­Performance[[#This Row],[Math Score]]),Student­­Performance[[#This Row],[Math Score]],0)</f>
        <v>59</v>
      </c>
      <c r="O576" s="4">
        <f>IF(ISNUMBER(Student­­Performance[[#This Row],[Reading Score]]),Student­­Performance[[#This Row],[Reading Score]],0)</f>
        <v>70</v>
      </c>
      <c r="P576" s="4">
        <f>IF(ISNUMBER(Student­­Performance[[#This Row],[Writing Score]]),Student­­Performance[[#This Row],[Writing Score]],0)</f>
        <v>65</v>
      </c>
      <c r="Q576" s="4" t="str">
        <f>IF(Student­­Performance[[#This Row],[Math Score]]&gt;=50,"Pass","Fail")</f>
        <v>Pass</v>
      </c>
      <c r="R576" s="4" t="str">
        <f>IF(Student­­Performance[[#This Row],[Reading Score]]&gt;=50,"Pass","Fail")</f>
        <v>Pass</v>
      </c>
      <c r="S576" s="4" t="str">
        <f>IF(Student­­Performance[[#This Row],[Writing Score]]&gt;=50,"Pass","Fail")</f>
        <v>Pass</v>
      </c>
      <c r="T57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194</v>
      </c>
      <c r="U576" s="4" cm="1">
        <f t="array" ref="U576">IF(COUNT(F576:H576)=0,"", MAX(IF(ISNUMBER(F576:H576),F576:H576)) - MIN(IF(ISNUMBER(F576:H576),F576:H576)))</f>
        <v>11</v>
      </c>
      <c r="V576" s="4" t="str">
        <f>IF(U576="","",IF(U576&gt;25,"Outlier","Normal"))</f>
        <v>Normal</v>
      </c>
    </row>
    <row r="577" spans="1:22" x14ac:dyDescent="0.3">
      <c r="A577" s="1" t="s">
        <v>8</v>
      </c>
      <c r="B577" s="1" t="s">
        <v>21</v>
      </c>
      <c r="C577" s="1" t="s">
        <v>84</v>
      </c>
      <c r="D577" s="1" t="s">
        <v>11</v>
      </c>
      <c r="E577" s="1" t="s">
        <v>12</v>
      </c>
      <c r="F577" s="4">
        <v>63</v>
      </c>
      <c r="G577" s="4">
        <v>64</v>
      </c>
      <c r="H577" s="4">
        <v>67</v>
      </c>
      <c r="I577" s="4">
        <f>AVERAGE(Student­­Performance[[#This Row],[Math Score]],Student­­Performance[[#This Row],[Reading Score]],Student­­Performance[[#This Row],[Writing Score]])</f>
        <v>64.666666666666671</v>
      </c>
      <c r="J577" s="10" t="str">
        <f>IF(Student­­Performance[[#This Row],[Average Score]]&gt;=50,"Pass","Fail")</f>
        <v>Pass</v>
      </c>
      <c r="K57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57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57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577" s="4">
        <f>IF(ISNUMBER(Student­­Performance[[#This Row],[Math Score]]),Student­­Performance[[#This Row],[Math Score]],0)</f>
        <v>63</v>
      </c>
      <c r="O577" s="4">
        <f>IF(ISNUMBER(Student­­Performance[[#This Row],[Reading Score]]),Student­­Performance[[#This Row],[Reading Score]],0)</f>
        <v>64</v>
      </c>
      <c r="P577" s="4">
        <f>IF(ISNUMBER(Student­­Performance[[#This Row],[Writing Score]]),Student­­Performance[[#This Row],[Writing Score]],0)</f>
        <v>67</v>
      </c>
      <c r="Q577" s="4" t="str">
        <f>IF(Student­­Performance[[#This Row],[Math Score]]&gt;=50,"Pass","Fail")</f>
        <v>Pass</v>
      </c>
      <c r="R577" s="4" t="str">
        <f>IF(Student­­Performance[[#This Row],[Reading Score]]&gt;=50,"Pass","Fail")</f>
        <v>Pass</v>
      </c>
      <c r="S577" s="4" t="str">
        <f>IF(Student­­Performance[[#This Row],[Writing Score]]&gt;=50,"Pass","Fail")</f>
        <v>Pass</v>
      </c>
      <c r="T57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194</v>
      </c>
      <c r="U577" s="4" cm="1">
        <f t="array" ref="U577">IF(COUNT(F577:H577)=0,"", MAX(IF(ISNUMBER(F577:H577),F577:H577)) - MIN(IF(ISNUMBER(F577:H577),F577:H577)))</f>
        <v>4</v>
      </c>
      <c r="V577" s="4" t="str">
        <f>IF(U577="","",IF(U577&gt;25,"Outlier","Normal"))</f>
        <v>Normal</v>
      </c>
    </row>
    <row r="578" spans="1:22" x14ac:dyDescent="0.3">
      <c r="A578" s="1" t="s">
        <v>17</v>
      </c>
      <c r="B578" s="1" t="s">
        <v>13</v>
      </c>
      <c r="C578" s="1" t="s">
        <v>86</v>
      </c>
      <c r="D578" s="1" t="s">
        <v>20</v>
      </c>
      <c r="E578" s="1" t="s">
        <v>12</v>
      </c>
      <c r="F578" s="4">
        <v>68</v>
      </c>
      <c r="G578" s="4">
        <v>65</v>
      </c>
      <c r="H578" s="4">
        <v>61</v>
      </c>
      <c r="I578" s="4">
        <f>AVERAGE(Student­­Performance[[#This Row],[Math Score]],Student­­Performance[[#This Row],[Reading Score]],Student­­Performance[[#This Row],[Writing Score]])</f>
        <v>64.666666666666671</v>
      </c>
      <c r="J578" s="10" t="str">
        <f>IF(Student­­Performance[[#This Row],[Average Score]]&gt;=50,"Pass","Fail")</f>
        <v>Pass</v>
      </c>
      <c r="K57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57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57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578" s="4">
        <f>IF(ISNUMBER(Student­­Performance[[#This Row],[Math Score]]),Student­­Performance[[#This Row],[Math Score]],0)</f>
        <v>68</v>
      </c>
      <c r="O578" s="4">
        <f>IF(ISNUMBER(Student­­Performance[[#This Row],[Reading Score]]),Student­­Performance[[#This Row],[Reading Score]],0)</f>
        <v>65</v>
      </c>
      <c r="P578" s="4">
        <f>IF(ISNUMBER(Student­­Performance[[#This Row],[Writing Score]]),Student­­Performance[[#This Row],[Writing Score]],0)</f>
        <v>61</v>
      </c>
      <c r="Q578" s="4" t="str">
        <f>IF(Student­­Performance[[#This Row],[Math Score]]&gt;=50,"Pass","Fail")</f>
        <v>Pass</v>
      </c>
      <c r="R578" s="4" t="str">
        <f>IF(Student­­Performance[[#This Row],[Reading Score]]&gt;=50,"Pass","Fail")</f>
        <v>Pass</v>
      </c>
      <c r="S578" s="4" t="str">
        <f>IF(Student­­Performance[[#This Row],[Writing Score]]&gt;=50,"Pass","Fail")</f>
        <v>Pass</v>
      </c>
      <c r="T57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194</v>
      </c>
      <c r="U578" s="4" cm="1">
        <f t="array" ref="U578">IF(COUNT(F578:H578)=0,"", MAX(IF(ISNUMBER(F578:H578),F578:H578)) - MIN(IF(ISNUMBER(F578:H578),F578:H578)))</f>
        <v>7</v>
      </c>
      <c r="V578" s="4" t="str">
        <f>IF(U578="","",IF(U578&gt;25,"Outlier","Normal"))</f>
        <v>Normal</v>
      </c>
    </row>
    <row r="579" spans="1:22" x14ac:dyDescent="0.3">
      <c r="A579" s="1" t="s">
        <v>8</v>
      </c>
      <c r="B579" s="1" t="s">
        <v>13</v>
      </c>
      <c r="C579" s="1" t="s">
        <v>86</v>
      </c>
      <c r="D579" s="1" t="s">
        <v>20</v>
      </c>
      <c r="E579" s="1" t="s">
        <v>15</v>
      </c>
      <c r="F579" s="4">
        <v>56</v>
      </c>
      <c r="G579" s="4">
        <v>68</v>
      </c>
      <c r="H579" s="4">
        <v>70</v>
      </c>
      <c r="I579" s="4">
        <f>AVERAGE(Student­­Performance[[#This Row],[Math Score]],Student­­Performance[[#This Row],[Reading Score]],Student­­Performance[[#This Row],[Writing Score]])</f>
        <v>64.666666666666671</v>
      </c>
      <c r="J579" s="10" t="str">
        <f>IF(Student­­Performance[[#This Row],[Average Score]]&gt;=50,"Pass","Fail")</f>
        <v>Pass</v>
      </c>
      <c r="K57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57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57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14</v>
      </c>
      <c r="N579" s="4">
        <f>IF(ISNUMBER(Student­­Performance[[#This Row],[Math Score]]),Student­­Performance[[#This Row],[Math Score]],0)</f>
        <v>56</v>
      </c>
      <c r="O579" s="4">
        <f>IF(ISNUMBER(Student­­Performance[[#This Row],[Reading Score]]),Student­­Performance[[#This Row],[Reading Score]],0)</f>
        <v>68</v>
      </c>
      <c r="P579" s="4">
        <f>IF(ISNUMBER(Student­­Performance[[#This Row],[Writing Score]]),Student­­Performance[[#This Row],[Writing Score]],0)</f>
        <v>70</v>
      </c>
      <c r="Q579" s="4" t="str">
        <f>IF(Student­­Performance[[#This Row],[Math Score]]&gt;=50,"Pass","Fail")</f>
        <v>Pass</v>
      </c>
      <c r="R579" s="4" t="str">
        <f>IF(Student­­Performance[[#This Row],[Reading Score]]&gt;=50,"Pass","Fail")</f>
        <v>Pass</v>
      </c>
      <c r="S579" s="4" t="str">
        <f>IF(Student­­Performance[[#This Row],[Writing Score]]&gt;=50,"Pass","Fail")</f>
        <v>Pass</v>
      </c>
      <c r="T57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194</v>
      </c>
      <c r="U579" s="4" cm="1">
        <f t="array" ref="U579">IF(COUNT(F579:H579)=0,"", MAX(IF(ISNUMBER(F579:H579),F579:H579)) - MIN(IF(ISNUMBER(F579:H579),F579:H579)))</f>
        <v>14</v>
      </c>
      <c r="V579" s="4" t="str">
        <f>IF(U579="","",IF(U579&gt;25,"Outlier","Normal"))</f>
        <v>Normal</v>
      </c>
    </row>
    <row r="580" spans="1:22" x14ac:dyDescent="0.3">
      <c r="A580" s="1" t="s">
        <v>17</v>
      </c>
      <c r="B580" s="1" t="s">
        <v>26</v>
      </c>
      <c r="C580" s="1" t="s">
        <v>87</v>
      </c>
      <c r="D580" s="1" t="s">
        <v>11</v>
      </c>
      <c r="E580" s="1" t="s">
        <v>12</v>
      </c>
      <c r="F580" s="4">
        <v>73</v>
      </c>
      <c r="G580" s="4">
        <v>64</v>
      </c>
      <c r="H580" s="4">
        <v>57</v>
      </c>
      <c r="I580" s="4">
        <f>AVERAGE(Student­­Performance[[#This Row],[Math Score]],Student­­Performance[[#This Row],[Reading Score]],Student­­Performance[[#This Row],[Writing Score]])</f>
        <v>64.666666666666671</v>
      </c>
      <c r="J580" s="10" t="str">
        <f>IF(Student­­Performance[[#This Row],[Average Score]]&gt;=50,"Pass","Fail")</f>
        <v>Pass</v>
      </c>
      <c r="K58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-9</v>
      </c>
      <c r="L58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58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-16</v>
      </c>
      <c r="N580" s="4">
        <f>IF(ISNUMBER(Student­­Performance[[#This Row],[Math Score]]),Student­­Performance[[#This Row],[Math Score]],0)</f>
        <v>73</v>
      </c>
      <c r="O580" s="4">
        <f>IF(ISNUMBER(Student­­Performance[[#This Row],[Reading Score]]),Student­­Performance[[#This Row],[Reading Score]],0)</f>
        <v>64</v>
      </c>
      <c r="P580" s="4">
        <f>IF(ISNUMBER(Student­­Performance[[#This Row],[Writing Score]]),Student­­Performance[[#This Row],[Writing Score]],0)</f>
        <v>57</v>
      </c>
      <c r="Q580" s="4" t="str">
        <f>IF(Student­­Performance[[#This Row],[Math Score]]&gt;=50,"Pass","Fail")</f>
        <v>Pass</v>
      </c>
      <c r="R580" s="4" t="str">
        <f>IF(Student­­Performance[[#This Row],[Reading Score]]&gt;=50,"Pass","Fail")</f>
        <v>Pass</v>
      </c>
      <c r="S580" s="4" t="str">
        <f>IF(Student­­Performance[[#This Row],[Writing Score]]&gt;=50,"Pass","Fail")</f>
        <v>Pass</v>
      </c>
      <c r="T58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194</v>
      </c>
      <c r="U580" s="4" cm="1">
        <f t="array" ref="U580">IF(COUNT(F580:H580)=0,"", MAX(IF(ISNUMBER(F580:H580),F580:H580)) - MIN(IF(ISNUMBER(F580:H580),F580:H580)))</f>
        <v>16</v>
      </c>
      <c r="V580" s="4" t="str">
        <f>IF(U580="","",IF(U580&gt;25,"Outlier","Normal"))</f>
        <v>Normal</v>
      </c>
    </row>
    <row r="581" spans="1:22" x14ac:dyDescent="0.3">
      <c r="A581" s="1" t="s">
        <v>8</v>
      </c>
      <c r="B581" s="1" t="s">
        <v>26</v>
      </c>
      <c r="C581" s="1" t="s">
        <v>85</v>
      </c>
      <c r="D581" s="1" t="s">
        <v>20</v>
      </c>
      <c r="E581" s="1" t="s">
        <v>12</v>
      </c>
      <c r="F581" s="4">
        <v>56</v>
      </c>
      <c r="G581" s="4">
        <v>72</v>
      </c>
      <c r="H581" s="4">
        <v>65</v>
      </c>
      <c r="I581" s="4">
        <f>AVERAGE(Student­­Performance[[#This Row],[Math Score]],Student­­Performance[[#This Row],[Reading Score]],Student­­Performance[[#This Row],[Writing Score]])</f>
        <v>64.333333333333329</v>
      </c>
      <c r="J581" s="10" t="str">
        <f>IF(Student­­Performance[[#This Row],[Average Score]]&gt;=50,"Pass","Fail")</f>
        <v>Pass</v>
      </c>
      <c r="K58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16</v>
      </c>
      <c r="L58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58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581" s="4">
        <f>IF(ISNUMBER(Student­­Performance[[#This Row],[Math Score]]),Student­­Performance[[#This Row],[Math Score]],0)</f>
        <v>56</v>
      </c>
      <c r="O581" s="4">
        <f>IF(ISNUMBER(Student­­Performance[[#This Row],[Reading Score]]),Student­­Performance[[#This Row],[Reading Score]],0)</f>
        <v>72</v>
      </c>
      <c r="P581" s="4">
        <f>IF(ISNUMBER(Student­­Performance[[#This Row],[Writing Score]]),Student­­Performance[[#This Row],[Writing Score]],0)</f>
        <v>65</v>
      </c>
      <c r="Q581" s="4" t="str">
        <f>IF(Student­­Performance[[#This Row],[Math Score]]&gt;=50,"Pass","Fail")</f>
        <v>Pass</v>
      </c>
      <c r="R581" s="4" t="str">
        <f>IF(Student­­Performance[[#This Row],[Reading Score]]&gt;=50,"Pass","Fail")</f>
        <v>Pass</v>
      </c>
      <c r="S581" s="4" t="str">
        <f>IF(Student­­Performance[[#This Row],[Writing Score]]&gt;=50,"Pass","Fail")</f>
        <v>Pass</v>
      </c>
      <c r="T58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193</v>
      </c>
      <c r="U581" s="4" cm="1">
        <f t="array" ref="U581">IF(COUNT(F581:H581)=0,"", MAX(IF(ISNUMBER(F581:H581),F581:H581)) - MIN(IF(ISNUMBER(F581:H581),F581:H581)))</f>
        <v>16</v>
      </c>
      <c r="V581" s="4" t="str">
        <f>IF(U581="","",IF(U581&gt;25,"Outlier","Normal"))</f>
        <v>Normal</v>
      </c>
    </row>
    <row r="582" spans="1:22" x14ac:dyDescent="0.3">
      <c r="A582" s="1" t="s">
        <v>17</v>
      </c>
      <c r="B582" s="1" t="s">
        <v>9</v>
      </c>
      <c r="C582" s="1" t="s">
        <v>88</v>
      </c>
      <c r="D582" s="1" t="s">
        <v>11</v>
      </c>
      <c r="E582" s="1" t="s">
        <v>15</v>
      </c>
      <c r="F582" s="4">
        <v>65</v>
      </c>
      <c r="G582" s="4">
        <v>66</v>
      </c>
      <c r="H582" s="4">
        <v>62</v>
      </c>
      <c r="I582" s="4">
        <f>AVERAGE(Student­­Performance[[#This Row],[Math Score]],Student­­Performance[[#This Row],[Reading Score]],Student­­Performance[[#This Row],[Writing Score]])</f>
        <v>64.333333333333329</v>
      </c>
      <c r="J582" s="10" t="str">
        <f>IF(Student­­Performance[[#This Row],[Average Score]]&gt;=50,"Pass","Fail")</f>
        <v>Pass</v>
      </c>
      <c r="K58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58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58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582" s="4">
        <f>IF(ISNUMBER(Student­­Performance[[#This Row],[Math Score]]),Student­­Performance[[#This Row],[Math Score]],0)</f>
        <v>65</v>
      </c>
      <c r="O582" s="4">
        <f>IF(ISNUMBER(Student­­Performance[[#This Row],[Reading Score]]),Student­­Performance[[#This Row],[Reading Score]],0)</f>
        <v>66</v>
      </c>
      <c r="P582" s="4">
        <f>IF(ISNUMBER(Student­­Performance[[#This Row],[Writing Score]]),Student­­Performance[[#This Row],[Writing Score]],0)</f>
        <v>62</v>
      </c>
      <c r="Q582" s="4" t="str">
        <f>IF(Student­­Performance[[#This Row],[Math Score]]&gt;=50,"Pass","Fail")</f>
        <v>Pass</v>
      </c>
      <c r="R582" s="4" t="str">
        <f>IF(Student­­Performance[[#This Row],[Reading Score]]&gt;=50,"Pass","Fail")</f>
        <v>Pass</v>
      </c>
      <c r="S582" s="4" t="str">
        <f>IF(Student­­Performance[[#This Row],[Writing Score]]&gt;=50,"Pass","Fail")</f>
        <v>Pass</v>
      </c>
      <c r="T58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193</v>
      </c>
      <c r="U582" s="4" cm="1">
        <f t="array" ref="U582">IF(COUNT(F582:H582)=0,"", MAX(IF(ISNUMBER(F582:H582),F582:H582)) - MIN(IF(ISNUMBER(F582:H582),F582:H582)))</f>
        <v>4</v>
      </c>
      <c r="V582" s="4" t="str">
        <f>IF(U582="","",IF(U582&gt;25,"Outlier","Normal"))</f>
        <v>Normal</v>
      </c>
    </row>
    <row r="583" spans="1:22" x14ac:dyDescent="0.3">
      <c r="A583" s="1" t="s">
        <v>17</v>
      </c>
      <c r="B583" s="1" t="s">
        <v>26</v>
      </c>
      <c r="C583" s="1" t="s">
        <v>86</v>
      </c>
      <c r="D583" s="1" t="s">
        <v>11</v>
      </c>
      <c r="E583" s="1" t="s">
        <v>15</v>
      </c>
      <c r="F583" s="4">
        <v>66</v>
      </c>
      <c r="G583" s="4">
        <v>63</v>
      </c>
      <c r="H583" s="4">
        <v>64</v>
      </c>
      <c r="I583" s="4">
        <f>AVERAGE(Student­­Performance[[#This Row],[Math Score]],Student­­Performance[[#This Row],[Reading Score]],Student­­Performance[[#This Row],[Writing Score]])</f>
        <v>64.333333333333329</v>
      </c>
      <c r="J583" s="10" t="str">
        <f>IF(Student­­Performance[[#This Row],[Average Score]]&gt;=50,"Pass","Fail")</f>
        <v>Pass</v>
      </c>
      <c r="K58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58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58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583" s="4">
        <f>IF(ISNUMBER(Student­­Performance[[#This Row],[Math Score]]),Student­­Performance[[#This Row],[Math Score]],0)</f>
        <v>66</v>
      </c>
      <c r="O583" s="4">
        <f>IF(ISNUMBER(Student­­Performance[[#This Row],[Reading Score]]),Student­­Performance[[#This Row],[Reading Score]],0)</f>
        <v>63</v>
      </c>
      <c r="P583" s="4">
        <f>IF(ISNUMBER(Student­­Performance[[#This Row],[Writing Score]]),Student­­Performance[[#This Row],[Writing Score]],0)</f>
        <v>64</v>
      </c>
      <c r="Q583" s="4" t="str">
        <f>IF(Student­­Performance[[#This Row],[Math Score]]&gt;=50,"Pass","Fail")</f>
        <v>Pass</v>
      </c>
      <c r="R583" s="4" t="str">
        <f>IF(Student­­Performance[[#This Row],[Reading Score]]&gt;=50,"Pass","Fail")</f>
        <v>Pass</v>
      </c>
      <c r="S583" s="4" t="str">
        <f>IF(Student­­Performance[[#This Row],[Writing Score]]&gt;=50,"Pass","Fail")</f>
        <v>Pass</v>
      </c>
      <c r="T58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193</v>
      </c>
      <c r="U583" s="4" cm="1">
        <f t="array" ref="U583">IF(COUNT(F583:H583)=0,"", MAX(IF(ISNUMBER(F583:H583),F583:H583)) - MIN(IF(ISNUMBER(F583:H583),F583:H583)))</f>
        <v>3</v>
      </c>
      <c r="V583" s="4" t="str">
        <f>IF(U583="","",IF(U583&gt;25,"Outlier","Normal"))</f>
        <v>Normal</v>
      </c>
    </row>
    <row r="584" spans="1:22" x14ac:dyDescent="0.3">
      <c r="A584" s="1" t="s">
        <v>17</v>
      </c>
      <c r="B584" s="1" t="s">
        <v>13</v>
      </c>
      <c r="C584" s="1" t="s">
        <v>88</v>
      </c>
      <c r="D584" s="1" t="s">
        <v>20</v>
      </c>
      <c r="E584" s="1" t="s">
        <v>15</v>
      </c>
      <c r="F584" s="4">
        <v>59</v>
      </c>
      <c r="G584" s="4">
        <v>69</v>
      </c>
      <c r="H584" s="4">
        <v>65</v>
      </c>
      <c r="I584" s="4">
        <f>AVERAGE(Student­­Performance[[#This Row],[Math Score]],Student­­Performance[[#This Row],[Reading Score]],Student­­Performance[[#This Row],[Writing Score]])</f>
        <v>64.333333333333329</v>
      </c>
      <c r="J584" s="10" t="str">
        <f>IF(Student­­Performance[[#This Row],[Average Score]]&gt;=50,"Pass","Fail")</f>
        <v>Pass</v>
      </c>
      <c r="K58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58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58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584" s="4">
        <f>IF(ISNUMBER(Student­­Performance[[#This Row],[Math Score]]),Student­­Performance[[#This Row],[Math Score]],0)</f>
        <v>59</v>
      </c>
      <c r="O584" s="4">
        <f>IF(ISNUMBER(Student­­Performance[[#This Row],[Reading Score]]),Student­­Performance[[#This Row],[Reading Score]],0)</f>
        <v>69</v>
      </c>
      <c r="P584" s="4">
        <f>IF(ISNUMBER(Student­­Performance[[#This Row],[Writing Score]]),Student­­Performance[[#This Row],[Writing Score]],0)</f>
        <v>65</v>
      </c>
      <c r="Q584" s="4" t="str">
        <f>IF(Student­­Performance[[#This Row],[Math Score]]&gt;=50,"Pass","Fail")</f>
        <v>Pass</v>
      </c>
      <c r="R584" s="4" t="str">
        <f>IF(Student­­Performance[[#This Row],[Reading Score]]&gt;=50,"Pass","Fail")</f>
        <v>Pass</v>
      </c>
      <c r="S584" s="4" t="str">
        <f>IF(Student­­Performance[[#This Row],[Writing Score]]&gt;=50,"Pass","Fail")</f>
        <v>Pass</v>
      </c>
      <c r="T58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193</v>
      </c>
      <c r="U584" s="4" cm="1">
        <f t="array" ref="U584">IF(COUNT(F584:H584)=0,"", MAX(IF(ISNUMBER(F584:H584),F584:H584)) - MIN(IF(ISNUMBER(F584:H584),F584:H584)))</f>
        <v>10</v>
      </c>
      <c r="V584" s="4" t="str">
        <f>IF(U584="","",IF(U584&gt;25,"Outlier","Normal"))</f>
        <v>Normal</v>
      </c>
    </row>
    <row r="585" spans="1:22" x14ac:dyDescent="0.3">
      <c r="A585" s="1" t="s">
        <v>17</v>
      </c>
      <c r="B585" s="1" t="s">
        <v>13</v>
      </c>
      <c r="C585" s="1" t="s">
        <v>83</v>
      </c>
      <c r="D585" s="1" t="s">
        <v>11</v>
      </c>
      <c r="E585" s="1" t="s">
        <v>12</v>
      </c>
      <c r="F585" s="4">
        <v>69</v>
      </c>
      <c r="G585" s="4">
        <v>63</v>
      </c>
      <c r="H585" s="4">
        <v>61</v>
      </c>
      <c r="I585" s="4">
        <f>AVERAGE(Student­­Performance[[#This Row],[Math Score]],Student­­Performance[[#This Row],[Reading Score]],Student­­Performance[[#This Row],[Writing Score]])</f>
        <v>64.333333333333329</v>
      </c>
      <c r="J585" s="10" t="str">
        <f>IF(Student­­Performance[[#This Row],[Average Score]]&gt;=50,"Pass","Fail")</f>
        <v>Pass</v>
      </c>
      <c r="K58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58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58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585" s="4">
        <f>IF(ISNUMBER(Student­­Performance[[#This Row],[Math Score]]),Student­­Performance[[#This Row],[Math Score]],0)</f>
        <v>69</v>
      </c>
      <c r="O585" s="4">
        <f>IF(ISNUMBER(Student­­Performance[[#This Row],[Reading Score]]),Student­­Performance[[#This Row],[Reading Score]],0)</f>
        <v>63</v>
      </c>
      <c r="P585" s="4">
        <f>IF(ISNUMBER(Student­­Performance[[#This Row],[Writing Score]]),Student­­Performance[[#This Row],[Writing Score]],0)</f>
        <v>61</v>
      </c>
      <c r="Q585" s="4" t="str">
        <f>IF(Student­­Performance[[#This Row],[Math Score]]&gt;=50,"Pass","Fail")</f>
        <v>Pass</v>
      </c>
      <c r="R585" s="4" t="str">
        <f>IF(Student­­Performance[[#This Row],[Reading Score]]&gt;=50,"Pass","Fail")</f>
        <v>Pass</v>
      </c>
      <c r="S585" s="4" t="str">
        <f>IF(Student­­Performance[[#This Row],[Writing Score]]&gt;=50,"Pass","Fail")</f>
        <v>Pass</v>
      </c>
      <c r="T58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193</v>
      </c>
      <c r="U585" s="4" cm="1">
        <f t="array" ref="U585">IF(COUNT(F585:H585)=0,"", MAX(IF(ISNUMBER(F585:H585),F585:H585)) - MIN(IF(ISNUMBER(F585:H585),F585:H585)))</f>
        <v>8</v>
      </c>
      <c r="V585" s="4" t="str">
        <f>IF(U585="","",IF(U585&gt;25,"Outlier","Normal"))</f>
        <v>Normal</v>
      </c>
    </row>
    <row r="586" spans="1:22" x14ac:dyDescent="0.3">
      <c r="A586" s="1" t="s">
        <v>17</v>
      </c>
      <c r="B586" s="1" t="s">
        <v>9</v>
      </c>
      <c r="C586" s="1" t="s">
        <v>86</v>
      </c>
      <c r="D586" s="1" t="s">
        <v>11</v>
      </c>
      <c r="E586" s="1" t="s">
        <v>15</v>
      </c>
      <c r="F586" s="4">
        <v>65</v>
      </c>
      <c r="G586" s="4">
        <v>65</v>
      </c>
      <c r="H586" s="4">
        <v>63</v>
      </c>
      <c r="I586" s="4">
        <f>AVERAGE(Student­­Performance[[#This Row],[Math Score]],Student­­Performance[[#This Row],[Reading Score]],Student­­Performance[[#This Row],[Writing Score]])</f>
        <v>64.333333333333329</v>
      </c>
      <c r="J586" s="10" t="str">
        <f>IF(Student­­Performance[[#This Row],[Average Score]]&gt;=50,"Pass","Fail")</f>
        <v>Pass</v>
      </c>
      <c r="K58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58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58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586" s="4">
        <f>IF(ISNUMBER(Student­­Performance[[#This Row],[Math Score]]),Student­­Performance[[#This Row],[Math Score]],0)</f>
        <v>65</v>
      </c>
      <c r="O586" s="4">
        <f>IF(ISNUMBER(Student­­Performance[[#This Row],[Reading Score]]),Student­­Performance[[#This Row],[Reading Score]],0)</f>
        <v>65</v>
      </c>
      <c r="P586" s="4">
        <f>IF(ISNUMBER(Student­­Performance[[#This Row],[Writing Score]]),Student­­Performance[[#This Row],[Writing Score]],0)</f>
        <v>63</v>
      </c>
      <c r="Q586" s="4" t="str">
        <f>IF(Student­­Performance[[#This Row],[Math Score]]&gt;=50,"Pass","Fail")</f>
        <v>Pass</v>
      </c>
      <c r="R586" s="4" t="str">
        <f>IF(Student­­Performance[[#This Row],[Reading Score]]&gt;=50,"Pass","Fail")</f>
        <v>Pass</v>
      </c>
      <c r="S586" s="4" t="str">
        <f>IF(Student­­Performance[[#This Row],[Writing Score]]&gt;=50,"Pass","Fail")</f>
        <v>Pass</v>
      </c>
      <c r="T58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193</v>
      </c>
      <c r="U586" s="4" cm="1">
        <f t="array" ref="U586">IF(COUNT(F586:H586)=0,"", MAX(IF(ISNUMBER(F586:H586),F586:H586)) - MIN(IF(ISNUMBER(F586:H586),F586:H586)))</f>
        <v>2</v>
      </c>
      <c r="V586" s="4" t="str">
        <f>IF(U586="","",IF(U586&gt;25,"Outlier","Normal"))</f>
        <v>Normal</v>
      </c>
    </row>
    <row r="587" spans="1:22" x14ac:dyDescent="0.3">
      <c r="A587" s="1" t="s">
        <v>8</v>
      </c>
      <c r="B587" s="1" t="s">
        <v>21</v>
      </c>
      <c r="C587" s="1" t="s">
        <v>85</v>
      </c>
      <c r="D587" s="1" t="s">
        <v>11</v>
      </c>
      <c r="E587" s="1" t="s">
        <v>12</v>
      </c>
      <c r="F587" s="4">
        <v>64</v>
      </c>
      <c r="G587" s="4">
        <v>63</v>
      </c>
      <c r="H587" s="4">
        <v>66</v>
      </c>
      <c r="I587" s="4">
        <f>AVERAGE(Student­­Performance[[#This Row],[Math Score]],Student­­Performance[[#This Row],[Reading Score]],Student­­Performance[[#This Row],[Writing Score]])</f>
        <v>64.333333333333329</v>
      </c>
      <c r="J587" s="10" t="str">
        <f>IF(Student­­Performance[[#This Row],[Average Score]]&gt;=50,"Pass","Fail")</f>
        <v>Pass</v>
      </c>
      <c r="K58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58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58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587" s="4">
        <f>IF(ISNUMBER(Student­­Performance[[#This Row],[Math Score]]),Student­­Performance[[#This Row],[Math Score]],0)</f>
        <v>64</v>
      </c>
      <c r="O587" s="4">
        <f>IF(ISNUMBER(Student­­Performance[[#This Row],[Reading Score]]),Student­­Performance[[#This Row],[Reading Score]],0)</f>
        <v>63</v>
      </c>
      <c r="P587" s="4">
        <f>IF(ISNUMBER(Student­­Performance[[#This Row],[Writing Score]]),Student­­Performance[[#This Row],[Writing Score]],0)</f>
        <v>66</v>
      </c>
      <c r="Q587" s="4" t="str">
        <f>IF(Student­­Performance[[#This Row],[Math Score]]&gt;=50,"Pass","Fail")</f>
        <v>Pass</v>
      </c>
      <c r="R587" s="4" t="str">
        <f>IF(Student­­Performance[[#This Row],[Reading Score]]&gt;=50,"Pass","Fail")</f>
        <v>Pass</v>
      </c>
      <c r="S587" s="4" t="str">
        <f>IF(Student­­Performance[[#This Row],[Writing Score]]&gt;=50,"Pass","Fail")</f>
        <v>Pass</v>
      </c>
      <c r="T58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193</v>
      </c>
      <c r="U587" s="4" cm="1">
        <f t="array" ref="U587">IF(COUNT(F587:H587)=0,"", MAX(IF(ISNUMBER(F587:H587),F587:H587)) - MIN(IF(ISNUMBER(F587:H587),F587:H587)))</f>
        <v>3</v>
      </c>
      <c r="V587" s="4" t="str">
        <f>IF(U587="","",IF(U587&gt;25,"Outlier","Normal"))</f>
        <v>Normal</v>
      </c>
    </row>
    <row r="588" spans="1:22" x14ac:dyDescent="0.3">
      <c r="A588" s="1" t="s">
        <v>8</v>
      </c>
      <c r="B588" s="1" t="s">
        <v>13</v>
      </c>
      <c r="C588" s="1" t="s">
        <v>87</v>
      </c>
      <c r="D588" s="1" t="s">
        <v>20</v>
      </c>
      <c r="E588" s="1" t="s">
        <v>12</v>
      </c>
      <c r="F588" s="4">
        <v>62</v>
      </c>
      <c r="G588" s="4">
        <v>67</v>
      </c>
      <c r="H588" s="4">
        <v>64</v>
      </c>
      <c r="I588" s="4">
        <f>AVERAGE(Student­­Performance[[#This Row],[Math Score]],Student­­Performance[[#This Row],[Reading Score]],Student­­Performance[[#This Row],[Writing Score]])</f>
        <v>64.333333333333329</v>
      </c>
      <c r="J588" s="10" t="str">
        <f>IF(Student­­Performance[[#This Row],[Average Score]]&gt;=50,"Pass","Fail")</f>
        <v>Pass</v>
      </c>
      <c r="K58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58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58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588" s="4">
        <f>IF(ISNUMBER(Student­­Performance[[#This Row],[Math Score]]),Student­­Performance[[#This Row],[Math Score]],0)</f>
        <v>62</v>
      </c>
      <c r="O588" s="4">
        <f>IF(ISNUMBER(Student­­Performance[[#This Row],[Reading Score]]),Student­­Performance[[#This Row],[Reading Score]],0)</f>
        <v>67</v>
      </c>
      <c r="P588" s="4">
        <f>IF(ISNUMBER(Student­­Performance[[#This Row],[Writing Score]]),Student­­Performance[[#This Row],[Writing Score]],0)</f>
        <v>64</v>
      </c>
      <c r="Q588" s="4" t="str">
        <f>IF(Student­­Performance[[#This Row],[Math Score]]&gt;=50,"Pass","Fail")</f>
        <v>Pass</v>
      </c>
      <c r="R588" s="4" t="str">
        <f>IF(Student­­Performance[[#This Row],[Reading Score]]&gt;=50,"Pass","Fail")</f>
        <v>Pass</v>
      </c>
      <c r="S588" s="4" t="str">
        <f>IF(Student­­Performance[[#This Row],[Writing Score]]&gt;=50,"Pass","Fail")</f>
        <v>Pass</v>
      </c>
      <c r="T58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193</v>
      </c>
      <c r="U588" s="4" cm="1">
        <f t="array" ref="U588">IF(COUNT(F588:H588)=0,"", MAX(IF(ISNUMBER(F588:H588),F588:H588)) - MIN(IF(ISNUMBER(F588:H588),F588:H588)))</f>
        <v>5</v>
      </c>
      <c r="V588" s="4" t="str">
        <f>IF(U588="","",IF(U588&gt;25,"Outlier","Normal"))</f>
        <v>Normal</v>
      </c>
    </row>
    <row r="589" spans="1:22" x14ac:dyDescent="0.3">
      <c r="A589" s="1" t="s">
        <v>8</v>
      </c>
      <c r="B589" s="1" t="s">
        <v>9</v>
      </c>
      <c r="C589" s="1" t="s">
        <v>86</v>
      </c>
      <c r="D589" s="1" t="s">
        <v>20</v>
      </c>
      <c r="E589" s="1" t="s">
        <v>12</v>
      </c>
      <c r="F589" s="4">
        <v>53</v>
      </c>
      <c r="G589" s="4">
        <v>70</v>
      </c>
      <c r="H589" s="4">
        <v>70</v>
      </c>
      <c r="I589" s="4">
        <f>AVERAGE(Student­­Performance[[#This Row],[Math Score]],Student­­Performance[[#This Row],[Reading Score]],Student­­Performance[[#This Row],[Writing Score]])</f>
        <v>64.333333333333329</v>
      </c>
      <c r="J589" s="10" t="str">
        <f>IF(Student­­Performance[[#This Row],[Average Score]]&gt;=50,"Pass","Fail")</f>
        <v>Pass</v>
      </c>
      <c r="K58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17</v>
      </c>
      <c r="L58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58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17</v>
      </c>
      <c r="N589" s="4">
        <f>IF(ISNUMBER(Student­­Performance[[#This Row],[Math Score]]),Student­­Performance[[#This Row],[Math Score]],0)</f>
        <v>53</v>
      </c>
      <c r="O589" s="4">
        <f>IF(ISNUMBER(Student­­Performance[[#This Row],[Reading Score]]),Student­­Performance[[#This Row],[Reading Score]],0)</f>
        <v>70</v>
      </c>
      <c r="P589" s="4">
        <f>IF(ISNUMBER(Student­­Performance[[#This Row],[Writing Score]]),Student­­Performance[[#This Row],[Writing Score]],0)</f>
        <v>70</v>
      </c>
      <c r="Q589" s="4" t="str">
        <f>IF(Student­­Performance[[#This Row],[Math Score]]&gt;=50,"Pass","Fail")</f>
        <v>Pass</v>
      </c>
      <c r="R589" s="4" t="str">
        <f>IF(Student­­Performance[[#This Row],[Reading Score]]&gt;=50,"Pass","Fail")</f>
        <v>Pass</v>
      </c>
      <c r="S589" s="4" t="str">
        <f>IF(Student­­Performance[[#This Row],[Writing Score]]&gt;=50,"Pass","Fail")</f>
        <v>Pass</v>
      </c>
      <c r="T58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193</v>
      </c>
      <c r="U589" s="4" cm="1">
        <f t="array" ref="U589">IF(COUNT(F589:H589)=0,"", MAX(IF(ISNUMBER(F589:H589),F589:H589)) - MIN(IF(ISNUMBER(F589:H589),F589:H589)))</f>
        <v>17</v>
      </c>
      <c r="V589" s="4" t="str">
        <f>IF(U589="","",IF(U589&gt;25,"Outlier","Normal"))</f>
        <v>Normal</v>
      </c>
    </row>
    <row r="590" spans="1:22" x14ac:dyDescent="0.3">
      <c r="A590" s="1" t="s">
        <v>17</v>
      </c>
      <c r="B590" s="1" t="s">
        <v>13</v>
      </c>
      <c r="C590" s="1" t="s">
        <v>83</v>
      </c>
      <c r="D590" s="1" t="s">
        <v>11</v>
      </c>
      <c r="E590" s="1" t="s">
        <v>15</v>
      </c>
      <c r="F590" s="4">
        <v>63</v>
      </c>
      <c r="G590" s="4">
        <v>64</v>
      </c>
      <c r="H590" s="4">
        <v>66</v>
      </c>
      <c r="I590" s="4">
        <f>AVERAGE(Student­­Performance[[#This Row],[Math Score]],Student­­Performance[[#This Row],[Reading Score]],Student­­Performance[[#This Row],[Writing Score]])</f>
        <v>64.333333333333329</v>
      </c>
      <c r="J590" s="10" t="str">
        <f>IF(Student­­Performance[[#This Row],[Average Score]]&gt;=50,"Pass","Fail")</f>
        <v>Pass</v>
      </c>
      <c r="K59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59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59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590" s="4">
        <f>IF(ISNUMBER(Student­­Performance[[#This Row],[Math Score]]),Student­­Performance[[#This Row],[Math Score]],0)</f>
        <v>63</v>
      </c>
      <c r="O590" s="4">
        <f>IF(ISNUMBER(Student­­Performance[[#This Row],[Reading Score]]),Student­­Performance[[#This Row],[Reading Score]],0)</f>
        <v>64</v>
      </c>
      <c r="P590" s="4">
        <f>IF(ISNUMBER(Student­­Performance[[#This Row],[Writing Score]]),Student­­Performance[[#This Row],[Writing Score]],0)</f>
        <v>66</v>
      </c>
      <c r="Q590" s="4" t="str">
        <f>IF(Student­­Performance[[#This Row],[Math Score]]&gt;=50,"Pass","Fail")</f>
        <v>Pass</v>
      </c>
      <c r="R590" s="4" t="str">
        <f>IF(Student­­Performance[[#This Row],[Reading Score]]&gt;=50,"Pass","Fail")</f>
        <v>Pass</v>
      </c>
      <c r="S590" s="4" t="str">
        <f>IF(Student­­Performance[[#This Row],[Writing Score]]&gt;=50,"Pass","Fail")</f>
        <v>Pass</v>
      </c>
      <c r="T59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193</v>
      </c>
      <c r="U590" s="4" cm="1">
        <f t="array" ref="U590">IF(COUNT(F590:H590)=0,"", MAX(IF(ISNUMBER(F590:H590),F590:H590)) - MIN(IF(ISNUMBER(F590:H590),F590:H590)))</f>
        <v>3</v>
      </c>
      <c r="V590" s="4" t="str">
        <f>IF(U590="","",IF(U590&gt;25,"Outlier","Normal"))</f>
        <v>Normal</v>
      </c>
    </row>
    <row r="591" spans="1:22" x14ac:dyDescent="0.3">
      <c r="A591" s="1" t="s">
        <v>17</v>
      </c>
      <c r="B591" s="1" t="s">
        <v>9</v>
      </c>
      <c r="C591" s="1" t="s">
        <v>88</v>
      </c>
      <c r="D591" s="1" t="s">
        <v>11</v>
      </c>
      <c r="E591" s="1" t="s">
        <v>12</v>
      </c>
      <c r="F591" s="4">
        <v>67</v>
      </c>
      <c r="G591" s="4">
        <v>64</v>
      </c>
      <c r="H591" s="4">
        <v>61</v>
      </c>
      <c r="I591" s="4">
        <f>AVERAGE(Student­­Performance[[#This Row],[Math Score]],Student­­Performance[[#This Row],[Reading Score]],Student­­Performance[[#This Row],[Writing Score]])</f>
        <v>64</v>
      </c>
      <c r="J591" s="10" t="str">
        <f>IF(Student­­Performance[[#This Row],[Average Score]]&gt;=50,"Pass","Fail")</f>
        <v>Pass</v>
      </c>
      <c r="K59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59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59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591" s="4">
        <f>IF(ISNUMBER(Student­­Performance[[#This Row],[Math Score]]),Student­­Performance[[#This Row],[Math Score]],0)</f>
        <v>67</v>
      </c>
      <c r="O591" s="4">
        <f>IF(ISNUMBER(Student­­Performance[[#This Row],[Reading Score]]),Student­­Performance[[#This Row],[Reading Score]],0)</f>
        <v>64</v>
      </c>
      <c r="P591" s="4">
        <f>IF(ISNUMBER(Student­­Performance[[#This Row],[Writing Score]]),Student­­Performance[[#This Row],[Writing Score]],0)</f>
        <v>61</v>
      </c>
      <c r="Q591" s="4" t="str">
        <f>IF(Student­­Performance[[#This Row],[Math Score]]&gt;=50,"Pass","Fail")</f>
        <v>Pass</v>
      </c>
      <c r="R591" s="4" t="str">
        <f>IF(Student­­Performance[[#This Row],[Reading Score]]&gt;=50,"Pass","Fail")</f>
        <v>Pass</v>
      </c>
      <c r="S591" s="4" t="str">
        <f>IF(Student­­Performance[[#This Row],[Writing Score]]&gt;=50,"Pass","Fail")</f>
        <v>Pass</v>
      </c>
      <c r="T59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192</v>
      </c>
      <c r="U591" s="4" cm="1">
        <f t="array" ref="U591">IF(COUNT(F591:H591)=0,"", MAX(IF(ISNUMBER(F591:H591),F591:H591)) - MIN(IF(ISNUMBER(F591:H591),F591:H591)))</f>
        <v>6</v>
      </c>
      <c r="V591" s="4" t="str">
        <f>IF(U591="","",IF(U591&gt;25,"Outlier","Normal"))</f>
        <v>Normal</v>
      </c>
    </row>
    <row r="592" spans="1:22" x14ac:dyDescent="0.3">
      <c r="A592" s="1" t="s">
        <v>17</v>
      </c>
      <c r="B592" s="1" t="s">
        <v>21</v>
      </c>
      <c r="C592" s="1" t="s">
        <v>86</v>
      </c>
      <c r="D592" s="1" t="s">
        <v>20</v>
      </c>
      <c r="E592" s="1" t="s">
        <v>12</v>
      </c>
      <c r="F592" s="4">
        <v>66</v>
      </c>
      <c r="G592" s="4">
        <v>62</v>
      </c>
      <c r="H592" s="4">
        <v>64</v>
      </c>
      <c r="I592" s="4">
        <f>AVERAGE(Student­­Performance[[#This Row],[Math Score]],Student­­Performance[[#This Row],[Reading Score]],Student­­Performance[[#This Row],[Writing Score]])</f>
        <v>64</v>
      </c>
      <c r="J592" s="10" t="str">
        <f>IF(Student­­Performance[[#This Row],[Average Score]]&gt;=50,"Pass","Fail")</f>
        <v>Pass</v>
      </c>
      <c r="K59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59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59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592" s="4">
        <f>IF(ISNUMBER(Student­­Performance[[#This Row],[Math Score]]),Student­­Performance[[#This Row],[Math Score]],0)</f>
        <v>66</v>
      </c>
      <c r="O592" s="4">
        <f>IF(ISNUMBER(Student­­Performance[[#This Row],[Reading Score]]),Student­­Performance[[#This Row],[Reading Score]],0)</f>
        <v>62</v>
      </c>
      <c r="P592" s="4">
        <f>IF(ISNUMBER(Student­­Performance[[#This Row],[Writing Score]]),Student­­Performance[[#This Row],[Writing Score]],0)</f>
        <v>64</v>
      </c>
      <c r="Q592" s="4" t="str">
        <f>IF(Student­­Performance[[#This Row],[Math Score]]&gt;=50,"Pass","Fail")</f>
        <v>Pass</v>
      </c>
      <c r="R592" s="4" t="str">
        <f>IF(Student­­Performance[[#This Row],[Reading Score]]&gt;=50,"Pass","Fail")</f>
        <v>Pass</v>
      </c>
      <c r="S592" s="4" t="str">
        <f>IF(Student­­Performance[[#This Row],[Writing Score]]&gt;=50,"Pass","Fail")</f>
        <v>Pass</v>
      </c>
      <c r="T59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192</v>
      </c>
      <c r="U592" s="4" cm="1">
        <f t="array" ref="U592">IF(COUNT(F592:H592)=0,"", MAX(IF(ISNUMBER(F592:H592),F592:H592)) - MIN(IF(ISNUMBER(F592:H592),F592:H592)))</f>
        <v>4</v>
      </c>
      <c r="V592" s="4" t="str">
        <f>IF(U592="","",IF(U592&gt;25,"Outlier","Normal"))</f>
        <v>Normal</v>
      </c>
    </row>
    <row r="593" spans="1:22" x14ac:dyDescent="0.3">
      <c r="A593" s="1" t="s">
        <v>8</v>
      </c>
      <c r="B593" s="1" t="s">
        <v>9</v>
      </c>
      <c r="C593" s="1" t="s">
        <v>88</v>
      </c>
      <c r="D593" s="1" t="s">
        <v>11</v>
      </c>
      <c r="E593" s="1" t="s">
        <v>12</v>
      </c>
      <c r="F593" s="4">
        <v>62</v>
      </c>
      <c r="G593" s="4">
        <v>64</v>
      </c>
      <c r="H593" s="4">
        <v>66</v>
      </c>
      <c r="I593" s="4">
        <f>AVERAGE(Student­­Performance[[#This Row],[Math Score]],Student­­Performance[[#This Row],[Reading Score]],Student­­Performance[[#This Row],[Writing Score]])</f>
        <v>64</v>
      </c>
      <c r="J593" s="10" t="str">
        <f>IF(Student­­Performance[[#This Row],[Average Score]]&gt;=50,"Pass","Fail")</f>
        <v>Pass</v>
      </c>
      <c r="K59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59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59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593" s="4">
        <f>IF(ISNUMBER(Student­­Performance[[#This Row],[Math Score]]),Student­­Performance[[#This Row],[Math Score]],0)</f>
        <v>62</v>
      </c>
      <c r="O593" s="4">
        <f>IF(ISNUMBER(Student­­Performance[[#This Row],[Reading Score]]),Student­­Performance[[#This Row],[Reading Score]],0)</f>
        <v>64</v>
      </c>
      <c r="P593" s="4">
        <f>IF(ISNUMBER(Student­­Performance[[#This Row],[Writing Score]]),Student­­Performance[[#This Row],[Writing Score]],0)</f>
        <v>66</v>
      </c>
      <c r="Q593" s="4" t="str">
        <f>IF(Student­­Performance[[#This Row],[Math Score]]&gt;=50,"Pass","Fail")</f>
        <v>Pass</v>
      </c>
      <c r="R593" s="4" t="str">
        <f>IF(Student­­Performance[[#This Row],[Reading Score]]&gt;=50,"Pass","Fail")</f>
        <v>Pass</v>
      </c>
      <c r="S593" s="4" t="str">
        <f>IF(Student­­Performance[[#This Row],[Writing Score]]&gt;=50,"Pass","Fail")</f>
        <v>Pass</v>
      </c>
      <c r="T59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192</v>
      </c>
      <c r="U593" s="4" cm="1">
        <f t="array" ref="U593">IF(COUNT(F593:H593)=0,"", MAX(IF(ISNUMBER(F593:H593),F593:H593)) - MIN(IF(ISNUMBER(F593:H593),F593:H593)))</f>
        <v>4</v>
      </c>
      <c r="V593" s="4" t="str">
        <f>IF(U593="","",IF(U593&gt;25,"Outlier","Normal"))</f>
        <v>Normal</v>
      </c>
    </row>
    <row r="594" spans="1:22" x14ac:dyDescent="0.3">
      <c r="A594" s="1" t="s">
        <v>17</v>
      </c>
      <c r="B594" s="1" t="s">
        <v>13</v>
      </c>
      <c r="C594" s="1" t="s">
        <v>87</v>
      </c>
      <c r="D594" s="1" t="s">
        <v>11</v>
      </c>
      <c r="E594" s="1" t="s">
        <v>12</v>
      </c>
      <c r="F594" s="4">
        <v>71</v>
      </c>
      <c r="G594" s="4">
        <v>60</v>
      </c>
      <c r="H594" s="4">
        <v>61</v>
      </c>
      <c r="I594" s="4">
        <f>AVERAGE(Student­­Performance[[#This Row],[Math Score]],Student­­Performance[[#This Row],[Reading Score]],Student­­Performance[[#This Row],[Writing Score]])</f>
        <v>64</v>
      </c>
      <c r="J594" s="10" t="str">
        <f>IF(Student­­Performance[[#This Row],[Average Score]]&gt;=50,"Pass","Fail")</f>
        <v>Pass</v>
      </c>
      <c r="K59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-11</v>
      </c>
      <c r="L59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59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-10</v>
      </c>
      <c r="N594" s="4">
        <f>IF(ISNUMBER(Student­­Performance[[#This Row],[Math Score]]),Student­­Performance[[#This Row],[Math Score]],0)</f>
        <v>71</v>
      </c>
      <c r="O594" s="4">
        <f>IF(ISNUMBER(Student­­Performance[[#This Row],[Reading Score]]),Student­­Performance[[#This Row],[Reading Score]],0)</f>
        <v>60</v>
      </c>
      <c r="P594" s="4">
        <f>IF(ISNUMBER(Student­­Performance[[#This Row],[Writing Score]]),Student­­Performance[[#This Row],[Writing Score]],0)</f>
        <v>61</v>
      </c>
      <c r="Q594" s="4" t="str">
        <f>IF(Student­­Performance[[#This Row],[Math Score]]&gt;=50,"Pass","Fail")</f>
        <v>Pass</v>
      </c>
      <c r="R594" s="4" t="str">
        <f>IF(Student­­Performance[[#This Row],[Reading Score]]&gt;=50,"Pass","Fail")</f>
        <v>Pass</v>
      </c>
      <c r="S594" s="4" t="str">
        <f>IF(Student­­Performance[[#This Row],[Writing Score]]&gt;=50,"Pass","Fail")</f>
        <v>Pass</v>
      </c>
      <c r="T59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192</v>
      </c>
      <c r="U594" s="4" cm="1">
        <f t="array" ref="U594">IF(COUNT(F594:H594)=0,"", MAX(IF(ISNUMBER(F594:H594),F594:H594)) - MIN(IF(ISNUMBER(F594:H594),F594:H594)))</f>
        <v>11</v>
      </c>
      <c r="V594" s="4" t="str">
        <f>IF(U594="","",IF(U594&gt;25,"Outlier","Normal"))</f>
        <v>Normal</v>
      </c>
    </row>
    <row r="595" spans="1:22" x14ac:dyDescent="0.3">
      <c r="A595" s="1" t="s">
        <v>17</v>
      </c>
      <c r="B595" s="1" t="s">
        <v>18</v>
      </c>
      <c r="C595" s="1" t="s">
        <v>83</v>
      </c>
      <c r="D595" s="1" t="s">
        <v>11</v>
      </c>
      <c r="E595" s="1" t="s">
        <v>12</v>
      </c>
      <c r="F595" s="4">
        <v>66</v>
      </c>
      <c r="G595" s="4">
        <v>64</v>
      </c>
      <c r="H595" s="4">
        <v>62</v>
      </c>
      <c r="I595" s="4">
        <f>AVERAGE(Student­­Performance[[#This Row],[Math Score]],Student­­Performance[[#This Row],[Reading Score]],Student­­Performance[[#This Row],[Writing Score]])</f>
        <v>64</v>
      </c>
      <c r="J595" s="10" t="str">
        <f>IF(Student­­Performance[[#This Row],[Average Score]]&gt;=50,"Pass","Fail")</f>
        <v>Pass</v>
      </c>
      <c r="K59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</v>
      </c>
      <c r="L59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59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595" s="4">
        <f>IF(ISNUMBER(Student­­Performance[[#This Row],[Math Score]]),Student­­Performance[[#This Row],[Math Score]],0)</f>
        <v>66</v>
      </c>
      <c r="O595" s="4">
        <f>IF(ISNUMBER(Student­­Performance[[#This Row],[Reading Score]]),Student­­Performance[[#This Row],[Reading Score]],0)</f>
        <v>64</v>
      </c>
      <c r="P595" s="4">
        <f>IF(ISNUMBER(Student­­Performance[[#This Row],[Writing Score]]),Student­­Performance[[#This Row],[Writing Score]],0)</f>
        <v>62</v>
      </c>
      <c r="Q595" s="4" t="str">
        <f>IF(Student­­Performance[[#This Row],[Math Score]]&gt;=50,"Pass","Fail")</f>
        <v>Pass</v>
      </c>
      <c r="R595" s="4" t="str">
        <f>IF(Student­­Performance[[#This Row],[Reading Score]]&gt;=50,"Pass","Fail")</f>
        <v>Pass</v>
      </c>
      <c r="S595" s="4" t="str">
        <f>IF(Student­­Performance[[#This Row],[Writing Score]]&gt;=50,"Pass","Fail")</f>
        <v>Pass</v>
      </c>
      <c r="T59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192</v>
      </c>
      <c r="U595" s="4" cm="1">
        <f t="array" ref="U595">IF(COUNT(F595:H595)=0,"", MAX(IF(ISNUMBER(F595:H595),F595:H595)) - MIN(IF(ISNUMBER(F595:H595),F595:H595)))</f>
        <v>4</v>
      </c>
      <c r="V595" s="4" t="str">
        <f>IF(U595="","",IF(U595&gt;25,"Outlier","Normal"))</f>
        <v>Normal</v>
      </c>
    </row>
    <row r="596" spans="1:22" x14ac:dyDescent="0.3">
      <c r="A596" s="1" t="s">
        <v>17</v>
      </c>
      <c r="B596" s="1" t="s">
        <v>21</v>
      </c>
      <c r="C596" s="1" t="s">
        <v>84</v>
      </c>
      <c r="D596" s="1" t="s">
        <v>20</v>
      </c>
      <c r="E596" s="1" t="s">
        <v>15</v>
      </c>
      <c r="F596" s="4">
        <v>69</v>
      </c>
      <c r="G596" s="4">
        <v>60</v>
      </c>
      <c r="H596" s="4">
        <v>63</v>
      </c>
      <c r="I596" s="4">
        <f>AVERAGE(Student­­Performance[[#This Row],[Math Score]],Student­­Performance[[#This Row],[Reading Score]],Student­­Performance[[#This Row],[Writing Score]])</f>
        <v>64</v>
      </c>
      <c r="J596" s="10" t="str">
        <f>IF(Student­­Performance[[#This Row],[Average Score]]&gt;=50,"Pass","Fail")</f>
        <v>Pass</v>
      </c>
      <c r="K59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-9</v>
      </c>
      <c r="L59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59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596" s="4">
        <f>IF(ISNUMBER(Student­­Performance[[#This Row],[Math Score]]),Student­­Performance[[#This Row],[Math Score]],0)</f>
        <v>69</v>
      </c>
      <c r="O596" s="4">
        <f>IF(ISNUMBER(Student­­Performance[[#This Row],[Reading Score]]),Student­­Performance[[#This Row],[Reading Score]],0)</f>
        <v>60</v>
      </c>
      <c r="P596" s="4">
        <f>IF(ISNUMBER(Student­­Performance[[#This Row],[Writing Score]]),Student­­Performance[[#This Row],[Writing Score]],0)</f>
        <v>63</v>
      </c>
      <c r="Q596" s="4" t="str">
        <f>IF(Student­­Performance[[#This Row],[Math Score]]&gt;=50,"Pass","Fail")</f>
        <v>Pass</v>
      </c>
      <c r="R596" s="4" t="str">
        <f>IF(Student­­Performance[[#This Row],[Reading Score]]&gt;=50,"Pass","Fail")</f>
        <v>Pass</v>
      </c>
      <c r="S596" s="4" t="str">
        <f>IF(Student­­Performance[[#This Row],[Writing Score]]&gt;=50,"Pass","Fail")</f>
        <v>Pass</v>
      </c>
      <c r="T59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192</v>
      </c>
      <c r="U596" s="4" cm="1">
        <f t="array" ref="U596">IF(COUNT(F596:H596)=0,"", MAX(IF(ISNUMBER(F596:H596),F596:H596)) - MIN(IF(ISNUMBER(F596:H596),F596:H596)))</f>
        <v>9</v>
      </c>
      <c r="V596" s="4" t="str">
        <f>IF(U596="","",IF(U596&gt;25,"Outlier","Normal"))</f>
        <v>Normal</v>
      </c>
    </row>
    <row r="597" spans="1:22" x14ac:dyDescent="0.3">
      <c r="A597" s="1" t="s">
        <v>8</v>
      </c>
      <c r="B597" s="1" t="s">
        <v>9</v>
      </c>
      <c r="C597" s="1" t="s">
        <v>84</v>
      </c>
      <c r="D597" s="1" t="s">
        <v>20</v>
      </c>
      <c r="E597" s="1" t="s">
        <v>15</v>
      </c>
      <c r="F597" s="4">
        <v>53</v>
      </c>
      <c r="G597" s="4">
        <v>66</v>
      </c>
      <c r="H597" s="4">
        <v>73</v>
      </c>
      <c r="I597" s="4">
        <f>AVERAGE(Student­­Performance[[#This Row],[Math Score]],Student­­Performance[[#This Row],[Reading Score]],Student­­Performance[[#This Row],[Writing Score]])</f>
        <v>64</v>
      </c>
      <c r="J597" s="10" t="str">
        <f>IF(Student­­Performance[[#This Row],[Average Score]]&gt;=50,"Pass","Fail")</f>
        <v>Pass</v>
      </c>
      <c r="K59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13</v>
      </c>
      <c r="L59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7</v>
      </c>
      <c r="M59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20</v>
      </c>
      <c r="N597" s="4">
        <f>IF(ISNUMBER(Student­­Performance[[#This Row],[Math Score]]),Student­­Performance[[#This Row],[Math Score]],0)</f>
        <v>53</v>
      </c>
      <c r="O597" s="4">
        <f>IF(ISNUMBER(Student­­Performance[[#This Row],[Reading Score]]),Student­­Performance[[#This Row],[Reading Score]],0)</f>
        <v>66</v>
      </c>
      <c r="P597" s="4">
        <f>IF(ISNUMBER(Student­­Performance[[#This Row],[Writing Score]]),Student­­Performance[[#This Row],[Writing Score]],0)</f>
        <v>73</v>
      </c>
      <c r="Q597" s="4" t="str">
        <f>IF(Student­­Performance[[#This Row],[Math Score]]&gt;=50,"Pass","Fail")</f>
        <v>Pass</v>
      </c>
      <c r="R597" s="4" t="str">
        <f>IF(Student­­Performance[[#This Row],[Reading Score]]&gt;=50,"Pass","Fail")</f>
        <v>Pass</v>
      </c>
      <c r="S597" s="4" t="str">
        <f>IF(Student­­Performance[[#This Row],[Writing Score]]&gt;=50,"Pass","Fail")</f>
        <v>Pass</v>
      </c>
      <c r="T59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192</v>
      </c>
      <c r="U597" s="4" cm="1">
        <f t="array" ref="U597">IF(COUNT(F597:H597)=0,"", MAX(IF(ISNUMBER(F597:H597),F597:H597)) - MIN(IF(ISNUMBER(F597:H597),F597:H597)))</f>
        <v>20</v>
      </c>
      <c r="V597" s="4" t="str">
        <f>IF(U597="","",IF(U597&gt;25,"Outlier","Normal"))</f>
        <v>Normal</v>
      </c>
    </row>
    <row r="598" spans="1:22" x14ac:dyDescent="0.3">
      <c r="A598" s="1" t="s">
        <v>8</v>
      </c>
      <c r="B598" s="1" t="s">
        <v>18</v>
      </c>
      <c r="C598" s="1" t="s">
        <v>87</v>
      </c>
      <c r="D598" s="1" t="s">
        <v>11</v>
      </c>
      <c r="E598" s="1" t="s">
        <v>12</v>
      </c>
      <c r="F598" s="4">
        <v>61</v>
      </c>
      <c r="G598" s="4">
        <v>68</v>
      </c>
      <c r="H598" s="4">
        <v>63</v>
      </c>
      <c r="I598" s="4">
        <f>AVERAGE(Student­­Performance[[#This Row],[Math Score]],Student­­Performance[[#This Row],[Reading Score]],Student­­Performance[[#This Row],[Writing Score]])</f>
        <v>64</v>
      </c>
      <c r="J598" s="10" t="str">
        <f>IF(Student­­Performance[[#This Row],[Average Score]]&gt;=50,"Pass","Fail")</f>
        <v>Pass</v>
      </c>
      <c r="K59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59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59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598" s="4">
        <f>IF(ISNUMBER(Student­­Performance[[#This Row],[Math Score]]),Student­­Performance[[#This Row],[Math Score]],0)</f>
        <v>61</v>
      </c>
      <c r="O598" s="4">
        <f>IF(ISNUMBER(Student­­Performance[[#This Row],[Reading Score]]),Student­­Performance[[#This Row],[Reading Score]],0)</f>
        <v>68</v>
      </c>
      <c r="P598" s="4">
        <f>IF(ISNUMBER(Student­­Performance[[#This Row],[Writing Score]]),Student­­Performance[[#This Row],[Writing Score]],0)</f>
        <v>63</v>
      </c>
      <c r="Q598" s="4" t="str">
        <f>IF(Student­­Performance[[#This Row],[Math Score]]&gt;=50,"Pass","Fail")</f>
        <v>Pass</v>
      </c>
      <c r="R598" s="4" t="str">
        <f>IF(Student­­Performance[[#This Row],[Reading Score]]&gt;=50,"Pass","Fail")</f>
        <v>Pass</v>
      </c>
      <c r="S598" s="4" t="str">
        <f>IF(Student­­Performance[[#This Row],[Writing Score]]&gt;=50,"Pass","Fail")</f>
        <v>Pass</v>
      </c>
      <c r="T59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192</v>
      </c>
      <c r="U598" s="4" cm="1">
        <f t="array" ref="U598">IF(COUNT(F598:H598)=0,"", MAX(IF(ISNUMBER(F598:H598),F598:H598)) - MIN(IF(ISNUMBER(F598:H598),F598:H598)))</f>
        <v>7</v>
      </c>
      <c r="V598" s="4" t="str">
        <f>IF(U598="","",IF(U598&gt;25,"Outlier","Normal"))</f>
        <v>Normal</v>
      </c>
    </row>
    <row r="599" spans="1:22" x14ac:dyDescent="0.3">
      <c r="A599" s="1" t="s">
        <v>8</v>
      </c>
      <c r="B599" s="1" t="s">
        <v>9</v>
      </c>
      <c r="C599" s="1" t="s">
        <v>86</v>
      </c>
      <c r="D599" s="1" t="s">
        <v>11</v>
      </c>
      <c r="E599" s="1" t="s">
        <v>15</v>
      </c>
      <c r="F599" s="4">
        <v>52</v>
      </c>
      <c r="G599" s="4">
        <v>66</v>
      </c>
      <c r="H599" s="4">
        <v>73</v>
      </c>
      <c r="I599" s="4">
        <f>AVERAGE(Student­­Performance[[#This Row],[Math Score]],Student­­Performance[[#This Row],[Reading Score]],Student­­Performance[[#This Row],[Writing Score]])</f>
        <v>63.666666666666664</v>
      </c>
      <c r="J599" s="10" t="str">
        <f>IF(Student­­Performance[[#This Row],[Average Score]]&gt;=50,"Pass","Fail")</f>
        <v>Pass</v>
      </c>
      <c r="K59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14</v>
      </c>
      <c r="L59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7</v>
      </c>
      <c r="M59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21</v>
      </c>
      <c r="N599" s="4">
        <f>IF(ISNUMBER(Student­­Performance[[#This Row],[Math Score]]),Student­­Performance[[#This Row],[Math Score]],0)</f>
        <v>52</v>
      </c>
      <c r="O599" s="4">
        <f>IF(ISNUMBER(Student­­Performance[[#This Row],[Reading Score]]),Student­­Performance[[#This Row],[Reading Score]],0)</f>
        <v>66</v>
      </c>
      <c r="P599" s="4">
        <f>IF(ISNUMBER(Student­­Performance[[#This Row],[Writing Score]]),Student­­Performance[[#This Row],[Writing Score]],0)</f>
        <v>73</v>
      </c>
      <c r="Q599" s="4" t="str">
        <f>IF(Student­­Performance[[#This Row],[Math Score]]&gt;=50,"Pass","Fail")</f>
        <v>Pass</v>
      </c>
      <c r="R599" s="4" t="str">
        <f>IF(Student­­Performance[[#This Row],[Reading Score]]&gt;=50,"Pass","Fail")</f>
        <v>Pass</v>
      </c>
      <c r="S599" s="4" t="str">
        <f>IF(Student­­Performance[[#This Row],[Writing Score]]&gt;=50,"Pass","Fail")</f>
        <v>Pass</v>
      </c>
      <c r="T59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191</v>
      </c>
      <c r="U599" s="4" cm="1">
        <f t="array" ref="U599">IF(COUNT(F599:H599)=0,"", MAX(IF(ISNUMBER(F599:H599),F599:H599)) - MIN(IF(ISNUMBER(F599:H599),F599:H599)))</f>
        <v>21</v>
      </c>
      <c r="V599" s="4" t="str">
        <f>IF(U599="","",IF(U599&gt;25,"Outlier","Normal"))</f>
        <v>Normal</v>
      </c>
    </row>
    <row r="600" spans="1:22" x14ac:dyDescent="0.3">
      <c r="A600" s="1" t="s">
        <v>8</v>
      </c>
      <c r="B600" s="1" t="s">
        <v>9</v>
      </c>
      <c r="C600" s="1" t="s">
        <v>87</v>
      </c>
      <c r="D600" s="1" t="s">
        <v>11</v>
      </c>
      <c r="E600" s="1" t="s">
        <v>12</v>
      </c>
      <c r="F600" s="4">
        <v>65</v>
      </c>
      <c r="G600" s="4">
        <v>64</v>
      </c>
      <c r="H600" s="4">
        <v>62</v>
      </c>
      <c r="I600" s="4">
        <f>AVERAGE(Student­­Performance[[#This Row],[Math Score]],Student­­Performance[[#This Row],[Reading Score]],Student­­Performance[[#This Row],[Writing Score]])</f>
        <v>63.666666666666664</v>
      </c>
      <c r="J600" s="10" t="str">
        <f>IF(Student­­Performance[[#This Row],[Average Score]]&gt;=50,"Pass","Fail")</f>
        <v>Pass</v>
      </c>
      <c r="K60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60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60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600" s="4">
        <f>IF(ISNUMBER(Student­­Performance[[#This Row],[Math Score]]),Student­­Performance[[#This Row],[Math Score]],0)</f>
        <v>65</v>
      </c>
      <c r="O600" s="4">
        <f>IF(ISNUMBER(Student­­Performance[[#This Row],[Reading Score]]),Student­­Performance[[#This Row],[Reading Score]],0)</f>
        <v>64</v>
      </c>
      <c r="P600" s="4">
        <f>IF(ISNUMBER(Student­­Performance[[#This Row],[Writing Score]]),Student­­Performance[[#This Row],[Writing Score]],0)</f>
        <v>62</v>
      </c>
      <c r="Q600" s="4" t="str">
        <f>IF(Student­­Performance[[#This Row],[Math Score]]&gt;=50,"Pass","Fail")</f>
        <v>Pass</v>
      </c>
      <c r="R600" s="4" t="str">
        <f>IF(Student­­Performance[[#This Row],[Reading Score]]&gt;=50,"Pass","Fail")</f>
        <v>Pass</v>
      </c>
      <c r="S600" s="4" t="str">
        <f>IF(Student­­Performance[[#This Row],[Writing Score]]&gt;=50,"Pass","Fail")</f>
        <v>Pass</v>
      </c>
      <c r="T60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191</v>
      </c>
      <c r="U600" s="4" cm="1">
        <f t="array" ref="U600">IF(COUNT(F600:H600)=0,"", MAX(IF(ISNUMBER(F600:H600),F600:H600)) - MIN(IF(ISNUMBER(F600:H600),F600:H600)))</f>
        <v>3</v>
      </c>
      <c r="V600" s="4" t="str">
        <f>IF(U600="","",IF(U600&gt;25,"Outlier","Normal"))</f>
        <v>Normal</v>
      </c>
    </row>
    <row r="601" spans="1:22" x14ac:dyDescent="0.3">
      <c r="A601" s="1" t="s">
        <v>8</v>
      </c>
      <c r="B601" s="1" t="s">
        <v>9</v>
      </c>
      <c r="C601" s="1" t="s">
        <v>86</v>
      </c>
      <c r="D601" s="1" t="s">
        <v>20</v>
      </c>
      <c r="E601" s="1" t="s">
        <v>12</v>
      </c>
      <c r="F601" s="4">
        <v>53</v>
      </c>
      <c r="G601" s="4">
        <v>71</v>
      </c>
      <c r="H601" s="4">
        <v>67</v>
      </c>
      <c r="I601" s="4">
        <f>AVERAGE(Student­­Performance[[#This Row],[Math Score]],Student­­Performance[[#This Row],[Reading Score]],Student­­Performance[[#This Row],[Writing Score]])</f>
        <v>63.666666666666664</v>
      </c>
      <c r="J601" s="10" t="str">
        <f>IF(Student­­Performance[[#This Row],[Average Score]]&gt;=50,"Pass","Fail")</f>
        <v>Pass</v>
      </c>
      <c r="K60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18</v>
      </c>
      <c r="L60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60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14</v>
      </c>
      <c r="N601" s="4">
        <f>IF(ISNUMBER(Student­­Performance[[#This Row],[Math Score]]),Student­­Performance[[#This Row],[Math Score]],0)</f>
        <v>53</v>
      </c>
      <c r="O601" s="4">
        <f>IF(ISNUMBER(Student­­Performance[[#This Row],[Reading Score]]),Student­­Performance[[#This Row],[Reading Score]],0)</f>
        <v>71</v>
      </c>
      <c r="P601" s="4">
        <f>IF(ISNUMBER(Student­­Performance[[#This Row],[Writing Score]]),Student­­Performance[[#This Row],[Writing Score]],0)</f>
        <v>67</v>
      </c>
      <c r="Q601" s="4" t="str">
        <f>IF(Student­­Performance[[#This Row],[Math Score]]&gt;=50,"Pass","Fail")</f>
        <v>Pass</v>
      </c>
      <c r="R601" s="4" t="str">
        <f>IF(Student­­Performance[[#This Row],[Reading Score]]&gt;=50,"Pass","Fail")</f>
        <v>Pass</v>
      </c>
      <c r="S601" s="4" t="str">
        <f>IF(Student­­Performance[[#This Row],[Writing Score]]&gt;=50,"Pass","Fail")</f>
        <v>Pass</v>
      </c>
      <c r="T60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191</v>
      </c>
      <c r="U601" s="4" cm="1">
        <f t="array" ref="U601">IF(COUNT(F601:H601)=0,"", MAX(IF(ISNUMBER(F601:H601),F601:H601)) - MIN(IF(ISNUMBER(F601:H601),F601:H601)))</f>
        <v>18</v>
      </c>
      <c r="V601" s="4" t="str">
        <f>IF(U601="","",IF(U601&gt;25,"Outlier","Normal"))</f>
        <v>Normal</v>
      </c>
    </row>
    <row r="602" spans="1:22" x14ac:dyDescent="0.3">
      <c r="A602" s="1" t="s">
        <v>8</v>
      </c>
      <c r="B602" s="1" t="s">
        <v>13</v>
      </c>
      <c r="C602" s="1" t="s">
        <v>84</v>
      </c>
      <c r="D602" s="1" t="s">
        <v>20</v>
      </c>
      <c r="E602" s="1" t="s">
        <v>12</v>
      </c>
      <c r="F602" s="4">
        <v>62</v>
      </c>
      <c r="G602" s="4">
        <v>67</v>
      </c>
      <c r="H602" s="4">
        <v>62</v>
      </c>
      <c r="I602" s="4">
        <f>AVERAGE(Student­­Performance[[#This Row],[Math Score]],Student­­Performance[[#This Row],[Reading Score]],Student­­Performance[[#This Row],[Writing Score]])</f>
        <v>63.666666666666664</v>
      </c>
      <c r="J602" s="10" t="str">
        <f>IF(Student­­Performance[[#This Row],[Average Score]]&gt;=50,"Pass","Fail")</f>
        <v>Pass</v>
      </c>
      <c r="K60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60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60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602" s="4">
        <f>IF(ISNUMBER(Student­­Performance[[#This Row],[Math Score]]),Student­­Performance[[#This Row],[Math Score]],0)</f>
        <v>62</v>
      </c>
      <c r="O602" s="4">
        <f>IF(ISNUMBER(Student­­Performance[[#This Row],[Reading Score]]),Student­­Performance[[#This Row],[Reading Score]],0)</f>
        <v>67</v>
      </c>
      <c r="P602" s="4">
        <f>IF(ISNUMBER(Student­­Performance[[#This Row],[Writing Score]]),Student­­Performance[[#This Row],[Writing Score]],0)</f>
        <v>62</v>
      </c>
      <c r="Q602" s="4" t="str">
        <f>IF(Student­­Performance[[#This Row],[Math Score]]&gt;=50,"Pass","Fail")</f>
        <v>Pass</v>
      </c>
      <c r="R602" s="4" t="str">
        <f>IF(Student­­Performance[[#This Row],[Reading Score]]&gt;=50,"Pass","Fail")</f>
        <v>Pass</v>
      </c>
      <c r="S602" s="4" t="str">
        <f>IF(Student­­Performance[[#This Row],[Writing Score]]&gt;=50,"Pass","Fail")</f>
        <v>Pass</v>
      </c>
      <c r="T60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191</v>
      </c>
      <c r="U602" s="4" cm="1">
        <f t="array" ref="U602">IF(COUNT(F602:H602)=0,"", MAX(IF(ISNUMBER(F602:H602),F602:H602)) - MIN(IF(ISNUMBER(F602:H602),F602:H602)))</f>
        <v>5</v>
      </c>
      <c r="V602" s="4" t="str">
        <f>IF(U602="","",IF(U602&gt;25,"Outlier","Normal"))</f>
        <v>Normal</v>
      </c>
    </row>
    <row r="603" spans="1:22" x14ac:dyDescent="0.3">
      <c r="A603" s="1" t="s">
        <v>8</v>
      </c>
      <c r="B603" s="1" t="s">
        <v>9</v>
      </c>
      <c r="C603" s="1" t="s">
        <v>88</v>
      </c>
      <c r="D603" s="1" t="s">
        <v>20</v>
      </c>
      <c r="E603" s="1" t="s">
        <v>15</v>
      </c>
      <c r="F603" s="4">
        <v>52</v>
      </c>
      <c r="G603" s="4">
        <v>67</v>
      </c>
      <c r="H603" s="4">
        <v>72</v>
      </c>
      <c r="I603" s="4">
        <f>AVERAGE(Student­­Performance[[#This Row],[Math Score]],Student­­Performance[[#This Row],[Reading Score]],Student­­Performance[[#This Row],[Writing Score]])</f>
        <v>63.666666666666664</v>
      </c>
      <c r="J603" s="10" t="str">
        <f>IF(Student­­Performance[[#This Row],[Average Score]]&gt;=50,"Pass","Fail")</f>
        <v>Pass</v>
      </c>
      <c r="K60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15</v>
      </c>
      <c r="L60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60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20</v>
      </c>
      <c r="N603" s="4">
        <f>IF(ISNUMBER(Student­­Performance[[#This Row],[Math Score]]),Student­­Performance[[#This Row],[Math Score]],0)</f>
        <v>52</v>
      </c>
      <c r="O603" s="4">
        <f>IF(ISNUMBER(Student­­Performance[[#This Row],[Reading Score]]),Student­­Performance[[#This Row],[Reading Score]],0)</f>
        <v>67</v>
      </c>
      <c r="P603" s="4">
        <f>IF(ISNUMBER(Student­­Performance[[#This Row],[Writing Score]]),Student­­Performance[[#This Row],[Writing Score]],0)</f>
        <v>72</v>
      </c>
      <c r="Q603" s="4" t="str">
        <f>IF(Student­­Performance[[#This Row],[Math Score]]&gt;=50,"Pass","Fail")</f>
        <v>Pass</v>
      </c>
      <c r="R603" s="4" t="str">
        <f>IF(Student­­Performance[[#This Row],[Reading Score]]&gt;=50,"Pass","Fail")</f>
        <v>Pass</v>
      </c>
      <c r="S603" s="4" t="str">
        <f>IF(Student­­Performance[[#This Row],[Writing Score]]&gt;=50,"Pass","Fail")</f>
        <v>Pass</v>
      </c>
      <c r="T60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191</v>
      </c>
      <c r="U603" s="4" cm="1">
        <f t="array" ref="U603">IF(COUNT(F603:H603)=0,"", MAX(IF(ISNUMBER(F603:H603),F603:H603)) - MIN(IF(ISNUMBER(F603:H603),F603:H603)))</f>
        <v>20</v>
      </c>
      <c r="V603" s="4" t="str">
        <f>IF(U603="","",IF(U603&gt;25,"Outlier","Normal"))</f>
        <v>Normal</v>
      </c>
    </row>
    <row r="604" spans="1:22" x14ac:dyDescent="0.3">
      <c r="A604" s="1" t="s">
        <v>17</v>
      </c>
      <c r="B604" s="1" t="s">
        <v>9</v>
      </c>
      <c r="C604" s="1" t="s">
        <v>84</v>
      </c>
      <c r="D604" s="1" t="s">
        <v>11</v>
      </c>
      <c r="E604" s="1" t="s">
        <v>12</v>
      </c>
      <c r="F604" s="4">
        <v>66</v>
      </c>
      <c r="G604" s="4">
        <v>65</v>
      </c>
      <c r="H604" s="4">
        <v>60</v>
      </c>
      <c r="I604" s="4">
        <f>AVERAGE(Student­­Performance[[#This Row],[Math Score]],Student­­Performance[[#This Row],[Reading Score]],Student­­Performance[[#This Row],[Writing Score]])</f>
        <v>63.666666666666664</v>
      </c>
      <c r="J604" s="10" t="str">
        <f>IF(Student­­Performance[[#This Row],[Average Score]]&gt;=50,"Pass","Fail")</f>
        <v>Pass</v>
      </c>
      <c r="K60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60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60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604" s="4">
        <f>IF(ISNUMBER(Student­­Performance[[#This Row],[Math Score]]),Student­­Performance[[#This Row],[Math Score]],0)</f>
        <v>66</v>
      </c>
      <c r="O604" s="4">
        <f>IF(ISNUMBER(Student­­Performance[[#This Row],[Reading Score]]),Student­­Performance[[#This Row],[Reading Score]],0)</f>
        <v>65</v>
      </c>
      <c r="P604" s="4">
        <f>IF(ISNUMBER(Student­­Performance[[#This Row],[Writing Score]]),Student­­Performance[[#This Row],[Writing Score]],0)</f>
        <v>60</v>
      </c>
      <c r="Q604" s="4" t="str">
        <f>IF(Student­­Performance[[#This Row],[Math Score]]&gt;=50,"Pass","Fail")</f>
        <v>Pass</v>
      </c>
      <c r="R604" s="4" t="str">
        <f>IF(Student­­Performance[[#This Row],[Reading Score]]&gt;=50,"Pass","Fail")</f>
        <v>Pass</v>
      </c>
      <c r="S604" s="4" t="str">
        <f>IF(Student­­Performance[[#This Row],[Writing Score]]&gt;=50,"Pass","Fail")</f>
        <v>Pass</v>
      </c>
      <c r="T60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191</v>
      </c>
      <c r="U604" s="4" cm="1">
        <f t="array" ref="U604">IF(COUNT(F604:H604)=0,"", MAX(IF(ISNUMBER(F604:H604),F604:H604)) - MIN(IF(ISNUMBER(F604:H604),F604:H604)))</f>
        <v>6</v>
      </c>
      <c r="V604" s="4" t="str">
        <f>IF(U604="","",IF(U604&gt;25,"Outlier","Normal"))</f>
        <v>Normal</v>
      </c>
    </row>
    <row r="605" spans="1:22" x14ac:dyDescent="0.3">
      <c r="A605" s="1" t="s">
        <v>17</v>
      </c>
      <c r="B605" s="1" t="s">
        <v>21</v>
      </c>
      <c r="C605" s="1" t="s">
        <v>84</v>
      </c>
      <c r="D605" s="1" t="s">
        <v>20</v>
      </c>
      <c r="E605" s="1" t="s">
        <v>12</v>
      </c>
      <c r="F605" s="4">
        <v>70</v>
      </c>
      <c r="G605" s="4">
        <v>63</v>
      </c>
      <c r="H605" s="4">
        <v>58</v>
      </c>
      <c r="I605" s="4">
        <f>AVERAGE(Student­­Performance[[#This Row],[Math Score]],Student­­Performance[[#This Row],[Reading Score]],Student­­Performance[[#This Row],[Writing Score]])</f>
        <v>63.666666666666664</v>
      </c>
      <c r="J605" s="10" t="str">
        <f>IF(Student­­Performance[[#This Row],[Average Score]]&gt;=50,"Pass","Fail")</f>
        <v>Pass</v>
      </c>
      <c r="K60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-7</v>
      </c>
      <c r="L60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60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-12</v>
      </c>
      <c r="N605" s="4">
        <f>IF(ISNUMBER(Student­­Performance[[#This Row],[Math Score]]),Student­­Performance[[#This Row],[Math Score]],0)</f>
        <v>70</v>
      </c>
      <c r="O605" s="4">
        <f>IF(ISNUMBER(Student­­Performance[[#This Row],[Reading Score]]),Student­­Performance[[#This Row],[Reading Score]],0)</f>
        <v>63</v>
      </c>
      <c r="P605" s="4">
        <f>IF(ISNUMBER(Student­­Performance[[#This Row],[Writing Score]]),Student­­Performance[[#This Row],[Writing Score]],0)</f>
        <v>58</v>
      </c>
      <c r="Q605" s="4" t="str">
        <f>IF(Student­­Performance[[#This Row],[Math Score]]&gt;=50,"Pass","Fail")</f>
        <v>Pass</v>
      </c>
      <c r="R605" s="4" t="str">
        <f>IF(Student­­Performance[[#This Row],[Reading Score]]&gt;=50,"Pass","Fail")</f>
        <v>Pass</v>
      </c>
      <c r="S605" s="4" t="str">
        <f>IF(Student­­Performance[[#This Row],[Writing Score]]&gt;=50,"Pass","Fail")</f>
        <v>Pass</v>
      </c>
      <c r="T60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191</v>
      </c>
      <c r="U605" s="4" cm="1">
        <f t="array" ref="U605">IF(COUNT(F605:H605)=0,"", MAX(IF(ISNUMBER(F605:H605),F605:H605)) - MIN(IF(ISNUMBER(F605:H605),F605:H605)))</f>
        <v>12</v>
      </c>
      <c r="V605" s="4" t="str">
        <f>IF(U605="","",IF(U605&gt;25,"Outlier","Normal"))</f>
        <v>Normal</v>
      </c>
    </row>
    <row r="606" spans="1:22" x14ac:dyDescent="0.3">
      <c r="A606" s="1" t="s">
        <v>17</v>
      </c>
      <c r="B606" s="1" t="s">
        <v>26</v>
      </c>
      <c r="C606" s="1" t="s">
        <v>86</v>
      </c>
      <c r="D606" s="1" t="s">
        <v>11</v>
      </c>
      <c r="E606" s="1" t="s">
        <v>12</v>
      </c>
      <c r="F606" s="4">
        <v>72</v>
      </c>
      <c r="G606" s="4">
        <v>57</v>
      </c>
      <c r="H606" s="4">
        <v>62</v>
      </c>
      <c r="I606" s="4">
        <f>AVERAGE(Student­­Performance[[#This Row],[Math Score]],Student­­Performance[[#This Row],[Reading Score]],Student­­Performance[[#This Row],[Writing Score]])</f>
        <v>63.666666666666664</v>
      </c>
      <c r="J606" s="10" t="str">
        <f>IF(Student­­Performance[[#This Row],[Average Score]]&gt;=50,"Pass","Fail")</f>
        <v>Pass</v>
      </c>
      <c r="K60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-15</v>
      </c>
      <c r="L60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60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-10</v>
      </c>
      <c r="N606" s="4">
        <f>IF(ISNUMBER(Student­­Performance[[#This Row],[Math Score]]),Student­­Performance[[#This Row],[Math Score]],0)</f>
        <v>72</v>
      </c>
      <c r="O606" s="4">
        <f>IF(ISNUMBER(Student­­Performance[[#This Row],[Reading Score]]),Student­­Performance[[#This Row],[Reading Score]],0)</f>
        <v>57</v>
      </c>
      <c r="P606" s="4">
        <f>IF(ISNUMBER(Student­­Performance[[#This Row],[Writing Score]]),Student­­Performance[[#This Row],[Writing Score]],0)</f>
        <v>62</v>
      </c>
      <c r="Q606" s="4" t="str">
        <f>IF(Student­­Performance[[#This Row],[Math Score]]&gt;=50,"Pass","Fail")</f>
        <v>Pass</v>
      </c>
      <c r="R606" s="4" t="str">
        <f>IF(Student­­Performance[[#This Row],[Reading Score]]&gt;=50,"Pass","Fail")</f>
        <v>Pass</v>
      </c>
      <c r="S606" s="4" t="str">
        <f>IF(Student­­Performance[[#This Row],[Writing Score]]&gt;=50,"Pass","Fail")</f>
        <v>Pass</v>
      </c>
      <c r="T60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191</v>
      </c>
      <c r="U606" s="4" cm="1">
        <f t="array" ref="U606">IF(COUNT(F606:H606)=0,"", MAX(IF(ISNUMBER(F606:H606),F606:H606)) - MIN(IF(ISNUMBER(F606:H606),F606:H606)))</f>
        <v>15</v>
      </c>
      <c r="V606" s="4" t="str">
        <f>IF(U606="","",IF(U606&gt;25,"Outlier","Normal"))</f>
        <v>Normal</v>
      </c>
    </row>
    <row r="607" spans="1:22" x14ac:dyDescent="0.3">
      <c r="A607" s="1" t="s">
        <v>17</v>
      </c>
      <c r="B607" s="1" t="s">
        <v>9</v>
      </c>
      <c r="C607" s="1" t="s">
        <v>84</v>
      </c>
      <c r="D607" s="1" t="s">
        <v>20</v>
      </c>
      <c r="E607" s="1" t="s">
        <v>15</v>
      </c>
      <c r="F607" s="4">
        <v>59</v>
      </c>
      <c r="G607" s="4">
        <v>65</v>
      </c>
      <c r="H607" s="4">
        <v>66</v>
      </c>
      <c r="I607" s="4">
        <f>AVERAGE(Student­­Performance[[#This Row],[Math Score]],Student­­Performance[[#This Row],[Reading Score]],Student­­Performance[[#This Row],[Writing Score]])</f>
        <v>63.333333333333336</v>
      </c>
      <c r="J607" s="10" t="str">
        <f>IF(Student­­Performance[[#This Row],[Average Score]]&gt;=50,"Pass","Fail")</f>
        <v>Pass</v>
      </c>
      <c r="K60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60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60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607" s="4">
        <f>IF(ISNUMBER(Student­­Performance[[#This Row],[Math Score]]),Student­­Performance[[#This Row],[Math Score]],0)</f>
        <v>59</v>
      </c>
      <c r="O607" s="4">
        <f>IF(ISNUMBER(Student­­Performance[[#This Row],[Reading Score]]),Student­­Performance[[#This Row],[Reading Score]],0)</f>
        <v>65</v>
      </c>
      <c r="P607" s="4">
        <f>IF(ISNUMBER(Student­­Performance[[#This Row],[Writing Score]]),Student­­Performance[[#This Row],[Writing Score]],0)</f>
        <v>66</v>
      </c>
      <c r="Q607" s="4" t="str">
        <f>IF(Student­­Performance[[#This Row],[Math Score]]&gt;=50,"Pass","Fail")</f>
        <v>Pass</v>
      </c>
      <c r="R607" s="4" t="str">
        <f>IF(Student­­Performance[[#This Row],[Reading Score]]&gt;=50,"Pass","Fail")</f>
        <v>Pass</v>
      </c>
      <c r="S607" s="4" t="str">
        <f>IF(Student­­Performance[[#This Row],[Writing Score]]&gt;=50,"Pass","Fail")</f>
        <v>Pass</v>
      </c>
      <c r="T60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190</v>
      </c>
      <c r="U607" s="4" cm="1">
        <f t="array" ref="U607">IF(COUNT(F607:H607)=0,"", MAX(IF(ISNUMBER(F607:H607),F607:H607)) - MIN(IF(ISNUMBER(F607:H607),F607:H607)))</f>
        <v>7</v>
      </c>
      <c r="V607" s="4" t="str">
        <f>IF(U607="","",IF(U607&gt;25,"Outlier","Normal"))</f>
        <v>Normal</v>
      </c>
    </row>
    <row r="608" spans="1:22" x14ac:dyDescent="0.3">
      <c r="A608" s="1" t="s">
        <v>17</v>
      </c>
      <c r="B608" s="1" t="s">
        <v>21</v>
      </c>
      <c r="C608" s="1" t="s">
        <v>88</v>
      </c>
      <c r="D608" s="1" t="s">
        <v>11</v>
      </c>
      <c r="E608" s="1" t="s">
        <v>12</v>
      </c>
      <c r="F608" s="4">
        <v>62</v>
      </c>
      <c r="G608" s="4">
        <v>67</v>
      </c>
      <c r="H608" s="4">
        <v>61</v>
      </c>
      <c r="I608" s="4">
        <f>AVERAGE(Student­­Performance[[#This Row],[Math Score]],Student­­Performance[[#This Row],[Reading Score]],Student­­Performance[[#This Row],[Writing Score]])</f>
        <v>63.333333333333336</v>
      </c>
      <c r="J608" s="10" t="str">
        <f>IF(Student­­Performance[[#This Row],[Average Score]]&gt;=50,"Pass","Fail")</f>
        <v>Pass</v>
      </c>
      <c r="K60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60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60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608" s="4">
        <f>IF(ISNUMBER(Student­­Performance[[#This Row],[Math Score]]),Student­­Performance[[#This Row],[Math Score]],0)</f>
        <v>62</v>
      </c>
      <c r="O608" s="4">
        <f>IF(ISNUMBER(Student­­Performance[[#This Row],[Reading Score]]),Student­­Performance[[#This Row],[Reading Score]],0)</f>
        <v>67</v>
      </c>
      <c r="P608" s="4">
        <f>IF(ISNUMBER(Student­­Performance[[#This Row],[Writing Score]]),Student­­Performance[[#This Row],[Writing Score]],0)</f>
        <v>61</v>
      </c>
      <c r="Q608" s="4" t="str">
        <f>IF(Student­­Performance[[#This Row],[Math Score]]&gt;=50,"Pass","Fail")</f>
        <v>Pass</v>
      </c>
      <c r="R608" s="4" t="str">
        <f>IF(Student­­Performance[[#This Row],[Reading Score]]&gt;=50,"Pass","Fail")</f>
        <v>Pass</v>
      </c>
      <c r="S608" s="4" t="str">
        <f>IF(Student­­Performance[[#This Row],[Writing Score]]&gt;=50,"Pass","Fail")</f>
        <v>Pass</v>
      </c>
      <c r="T60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190</v>
      </c>
      <c r="U608" s="4" cm="1">
        <f t="array" ref="U608">IF(COUNT(F608:H608)=0,"", MAX(IF(ISNUMBER(F608:H608),F608:H608)) - MIN(IF(ISNUMBER(F608:H608),F608:H608)))</f>
        <v>6</v>
      </c>
      <c r="V608" s="4" t="str">
        <f>IF(U608="","",IF(U608&gt;25,"Outlier","Normal"))</f>
        <v>Normal</v>
      </c>
    </row>
    <row r="609" spans="1:22" x14ac:dyDescent="0.3">
      <c r="A609" s="1" t="s">
        <v>8</v>
      </c>
      <c r="B609" s="1" t="s">
        <v>21</v>
      </c>
      <c r="C609" s="1" t="s">
        <v>87</v>
      </c>
      <c r="D609" s="1" t="s">
        <v>11</v>
      </c>
      <c r="E609" s="1" t="s">
        <v>12</v>
      </c>
      <c r="F609" s="4">
        <v>62</v>
      </c>
      <c r="G609" s="4">
        <v>64</v>
      </c>
      <c r="H609" s="4">
        <v>64</v>
      </c>
      <c r="I609" s="4">
        <f>AVERAGE(Student­­Performance[[#This Row],[Math Score]],Student­­Performance[[#This Row],[Reading Score]],Student­­Performance[[#This Row],[Writing Score]])</f>
        <v>63.333333333333336</v>
      </c>
      <c r="J609" s="10" t="str">
        <f>IF(Student­­Performance[[#This Row],[Average Score]]&gt;=50,"Pass","Fail")</f>
        <v>Pass</v>
      </c>
      <c r="K60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60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60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609" s="4">
        <f>IF(ISNUMBER(Student­­Performance[[#This Row],[Math Score]]),Student­­Performance[[#This Row],[Math Score]],0)</f>
        <v>62</v>
      </c>
      <c r="O609" s="4">
        <f>IF(ISNUMBER(Student­­Performance[[#This Row],[Reading Score]]),Student­­Performance[[#This Row],[Reading Score]],0)</f>
        <v>64</v>
      </c>
      <c r="P609" s="4">
        <f>IF(ISNUMBER(Student­­Performance[[#This Row],[Writing Score]]),Student­­Performance[[#This Row],[Writing Score]],0)</f>
        <v>64</v>
      </c>
      <c r="Q609" s="4" t="str">
        <f>IF(Student­­Performance[[#This Row],[Math Score]]&gt;=50,"Pass","Fail")</f>
        <v>Pass</v>
      </c>
      <c r="R609" s="4" t="str">
        <f>IF(Student­­Performance[[#This Row],[Reading Score]]&gt;=50,"Pass","Fail")</f>
        <v>Pass</v>
      </c>
      <c r="S609" s="4" t="str">
        <f>IF(Student­­Performance[[#This Row],[Writing Score]]&gt;=50,"Pass","Fail")</f>
        <v>Pass</v>
      </c>
      <c r="T60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190</v>
      </c>
      <c r="U609" s="4" cm="1">
        <f t="array" ref="U609">IF(COUNT(F609:H609)=0,"", MAX(IF(ISNUMBER(F609:H609),F609:H609)) - MIN(IF(ISNUMBER(F609:H609),F609:H609)))</f>
        <v>2</v>
      </c>
      <c r="V609" s="4" t="str">
        <f>IF(U609="","",IF(U609&gt;25,"Outlier","Normal"))</f>
        <v>Normal</v>
      </c>
    </row>
    <row r="610" spans="1:22" x14ac:dyDescent="0.3">
      <c r="A610" s="1" t="s">
        <v>8</v>
      </c>
      <c r="B610" s="1" t="s">
        <v>18</v>
      </c>
      <c r="C610" s="1" t="s">
        <v>85</v>
      </c>
      <c r="D610" s="1" t="s">
        <v>20</v>
      </c>
      <c r="E610" s="1" t="s">
        <v>12</v>
      </c>
      <c r="F610" s="4">
        <v>50</v>
      </c>
      <c r="G610" s="4">
        <v>67</v>
      </c>
      <c r="H610" s="4">
        <v>73</v>
      </c>
      <c r="I610" s="4">
        <f>AVERAGE(Student­­Performance[[#This Row],[Math Score]],Student­­Performance[[#This Row],[Reading Score]],Student­­Performance[[#This Row],[Writing Score]])</f>
        <v>63.333333333333336</v>
      </c>
      <c r="J610" s="10" t="str">
        <f>IF(Student­­Performance[[#This Row],[Average Score]]&gt;=50,"Pass","Fail")</f>
        <v>Pass</v>
      </c>
      <c r="K61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17</v>
      </c>
      <c r="L61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61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23</v>
      </c>
      <c r="N610" s="4">
        <f>IF(ISNUMBER(Student­­Performance[[#This Row],[Math Score]]),Student­­Performance[[#This Row],[Math Score]],0)</f>
        <v>50</v>
      </c>
      <c r="O610" s="4">
        <f>IF(ISNUMBER(Student­­Performance[[#This Row],[Reading Score]]),Student­­Performance[[#This Row],[Reading Score]],0)</f>
        <v>67</v>
      </c>
      <c r="P610" s="4">
        <f>IF(ISNUMBER(Student­­Performance[[#This Row],[Writing Score]]),Student­­Performance[[#This Row],[Writing Score]],0)</f>
        <v>73</v>
      </c>
      <c r="Q610" s="4" t="str">
        <f>IF(Student­­Performance[[#This Row],[Math Score]]&gt;=50,"Pass","Fail")</f>
        <v>Pass</v>
      </c>
      <c r="R610" s="4" t="str">
        <f>IF(Student­­Performance[[#This Row],[Reading Score]]&gt;=50,"Pass","Fail")</f>
        <v>Pass</v>
      </c>
      <c r="S610" s="4" t="str">
        <f>IF(Student­­Performance[[#This Row],[Writing Score]]&gt;=50,"Pass","Fail")</f>
        <v>Pass</v>
      </c>
      <c r="T61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190</v>
      </c>
      <c r="U610" s="4" cm="1">
        <f t="array" ref="U610">IF(COUNT(F610:H610)=0,"", MAX(IF(ISNUMBER(F610:H610),F610:H610)) - MIN(IF(ISNUMBER(F610:H610),F610:H610)))</f>
        <v>23</v>
      </c>
      <c r="V610" s="4" t="str">
        <f>IF(U610="","",IF(U610&gt;25,"Outlier","Normal"))</f>
        <v>Normal</v>
      </c>
    </row>
    <row r="611" spans="1:22" x14ac:dyDescent="0.3">
      <c r="A611" s="1" t="s">
        <v>8</v>
      </c>
      <c r="B611" s="1" t="s">
        <v>26</v>
      </c>
      <c r="C611" s="1" t="s">
        <v>86</v>
      </c>
      <c r="D611" s="1" t="s">
        <v>11</v>
      </c>
      <c r="E611" s="1" t="s">
        <v>12</v>
      </c>
      <c r="F611" s="4">
        <v>59</v>
      </c>
      <c r="G611" s="4">
        <v>62</v>
      </c>
      <c r="H611" s="4">
        <v>69</v>
      </c>
      <c r="I611" s="4">
        <f>AVERAGE(Student­­Performance[[#This Row],[Math Score]],Student­­Performance[[#This Row],[Reading Score]],Student­­Performance[[#This Row],[Writing Score]])</f>
        <v>63.333333333333336</v>
      </c>
      <c r="J611" s="10" t="str">
        <f>IF(Student­­Performance[[#This Row],[Average Score]]&gt;=50,"Pass","Fail")</f>
        <v>Pass</v>
      </c>
      <c r="K61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61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7</v>
      </c>
      <c r="M61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611" s="4">
        <f>IF(ISNUMBER(Student­­Performance[[#This Row],[Math Score]]),Student­­Performance[[#This Row],[Math Score]],0)</f>
        <v>59</v>
      </c>
      <c r="O611" s="4">
        <f>IF(ISNUMBER(Student­­Performance[[#This Row],[Reading Score]]),Student­­Performance[[#This Row],[Reading Score]],0)</f>
        <v>62</v>
      </c>
      <c r="P611" s="4">
        <f>IF(ISNUMBER(Student­­Performance[[#This Row],[Writing Score]]),Student­­Performance[[#This Row],[Writing Score]],0)</f>
        <v>69</v>
      </c>
      <c r="Q611" s="4" t="str">
        <f>IF(Student­­Performance[[#This Row],[Math Score]]&gt;=50,"Pass","Fail")</f>
        <v>Pass</v>
      </c>
      <c r="R611" s="4" t="str">
        <f>IF(Student­­Performance[[#This Row],[Reading Score]]&gt;=50,"Pass","Fail")</f>
        <v>Pass</v>
      </c>
      <c r="S611" s="4" t="str">
        <f>IF(Student­­Performance[[#This Row],[Writing Score]]&gt;=50,"Pass","Fail")</f>
        <v>Pass</v>
      </c>
      <c r="T61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190</v>
      </c>
      <c r="U611" s="4" cm="1">
        <f t="array" ref="U611">IF(COUNT(F611:H611)=0,"", MAX(IF(ISNUMBER(F611:H611),F611:H611)) - MIN(IF(ISNUMBER(F611:H611),F611:H611)))</f>
        <v>10</v>
      </c>
      <c r="V611" s="4" t="str">
        <f>IF(U611="","",IF(U611&gt;25,"Outlier","Normal"))</f>
        <v>Normal</v>
      </c>
    </row>
    <row r="612" spans="1:22" x14ac:dyDescent="0.3">
      <c r="A612" s="1" t="s">
        <v>8</v>
      </c>
      <c r="B612" s="1" t="s">
        <v>9</v>
      </c>
      <c r="C612" s="1" t="s">
        <v>84</v>
      </c>
      <c r="D612" s="1" t="s">
        <v>11</v>
      </c>
      <c r="E612" s="1" t="s">
        <v>12</v>
      </c>
      <c r="F612" s="4">
        <v>63</v>
      </c>
      <c r="G612" s="4">
        <v>65</v>
      </c>
      <c r="H612" s="4">
        <v>61</v>
      </c>
      <c r="I612" s="4">
        <f>AVERAGE(Student­­Performance[[#This Row],[Math Score]],Student­­Performance[[#This Row],[Reading Score]],Student­­Performance[[#This Row],[Writing Score]])</f>
        <v>63</v>
      </c>
      <c r="J612" s="10" t="str">
        <f>IF(Student­­Performance[[#This Row],[Average Score]]&gt;=50,"Pass","Fail")</f>
        <v>Pass</v>
      </c>
      <c r="K61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61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61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612" s="4">
        <f>IF(ISNUMBER(Student­­Performance[[#This Row],[Math Score]]),Student­­Performance[[#This Row],[Math Score]],0)</f>
        <v>63</v>
      </c>
      <c r="O612" s="4">
        <f>IF(ISNUMBER(Student­­Performance[[#This Row],[Reading Score]]),Student­­Performance[[#This Row],[Reading Score]],0)</f>
        <v>65</v>
      </c>
      <c r="P612" s="4">
        <f>IF(ISNUMBER(Student­­Performance[[#This Row],[Writing Score]]),Student­­Performance[[#This Row],[Writing Score]],0)</f>
        <v>61</v>
      </c>
      <c r="Q612" s="4" t="str">
        <f>IF(Student­­Performance[[#This Row],[Math Score]]&gt;=50,"Pass","Fail")</f>
        <v>Pass</v>
      </c>
      <c r="R612" s="4" t="str">
        <f>IF(Student­­Performance[[#This Row],[Reading Score]]&gt;=50,"Pass","Fail")</f>
        <v>Pass</v>
      </c>
      <c r="S612" s="4" t="str">
        <f>IF(Student­­Performance[[#This Row],[Writing Score]]&gt;=50,"Pass","Fail")</f>
        <v>Pass</v>
      </c>
      <c r="T61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189</v>
      </c>
      <c r="U612" s="4" cm="1">
        <f t="array" ref="U612">IF(COUNT(F612:H612)=0,"", MAX(IF(ISNUMBER(F612:H612),F612:H612)) - MIN(IF(ISNUMBER(F612:H612),F612:H612)))</f>
        <v>4</v>
      </c>
      <c r="V612" s="4" t="str">
        <f>IF(U612="","",IF(U612&gt;25,"Outlier","Normal"))</f>
        <v>Normal</v>
      </c>
    </row>
    <row r="613" spans="1:22" x14ac:dyDescent="0.3">
      <c r="A613" s="1" t="s">
        <v>8</v>
      </c>
      <c r="B613" s="1" t="s">
        <v>13</v>
      </c>
      <c r="C613" s="1" t="s">
        <v>84</v>
      </c>
      <c r="D613" s="1" t="s">
        <v>11</v>
      </c>
      <c r="E613" s="1" t="s">
        <v>12</v>
      </c>
      <c r="F613" s="4">
        <v>55</v>
      </c>
      <c r="G613" s="4">
        <v>69</v>
      </c>
      <c r="H613" s="4">
        <v>65</v>
      </c>
      <c r="I613" s="4">
        <f>AVERAGE(Student­­Performance[[#This Row],[Math Score]],Student­­Performance[[#This Row],[Reading Score]],Student­­Performance[[#This Row],[Writing Score]])</f>
        <v>63</v>
      </c>
      <c r="J613" s="10" t="str">
        <f>IF(Student­­Performance[[#This Row],[Average Score]]&gt;=50,"Pass","Fail")</f>
        <v>Pass</v>
      </c>
      <c r="K61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14</v>
      </c>
      <c r="L61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61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613" s="4">
        <f>IF(ISNUMBER(Student­­Performance[[#This Row],[Math Score]]),Student­­Performance[[#This Row],[Math Score]],0)</f>
        <v>55</v>
      </c>
      <c r="O613" s="4">
        <f>IF(ISNUMBER(Student­­Performance[[#This Row],[Reading Score]]),Student­­Performance[[#This Row],[Reading Score]],0)</f>
        <v>69</v>
      </c>
      <c r="P613" s="4">
        <f>IF(ISNUMBER(Student­­Performance[[#This Row],[Writing Score]]),Student­­Performance[[#This Row],[Writing Score]],0)</f>
        <v>65</v>
      </c>
      <c r="Q613" s="4" t="str">
        <f>IF(Student­­Performance[[#This Row],[Math Score]]&gt;=50,"Pass","Fail")</f>
        <v>Pass</v>
      </c>
      <c r="R613" s="4" t="str">
        <f>IF(Student­­Performance[[#This Row],[Reading Score]]&gt;=50,"Pass","Fail")</f>
        <v>Pass</v>
      </c>
      <c r="S613" s="4" t="str">
        <f>IF(Student­­Performance[[#This Row],[Writing Score]]&gt;=50,"Pass","Fail")</f>
        <v>Pass</v>
      </c>
      <c r="T61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189</v>
      </c>
      <c r="U613" s="4" cm="1">
        <f t="array" ref="U613">IF(COUNT(F613:H613)=0,"", MAX(IF(ISNUMBER(F613:H613),F613:H613)) - MIN(IF(ISNUMBER(F613:H613),F613:H613)))</f>
        <v>14</v>
      </c>
      <c r="V613" s="4" t="str">
        <f>IF(U613="","",IF(U613&gt;25,"Outlier","Normal"))</f>
        <v>Normal</v>
      </c>
    </row>
    <row r="614" spans="1:22" x14ac:dyDescent="0.3">
      <c r="A614" s="1" t="s">
        <v>17</v>
      </c>
      <c r="B614" s="1" t="s">
        <v>21</v>
      </c>
      <c r="C614" s="1" t="s">
        <v>84</v>
      </c>
      <c r="D614" s="1" t="s">
        <v>11</v>
      </c>
      <c r="E614" s="1" t="s">
        <v>12</v>
      </c>
      <c r="F614" s="4">
        <v>68</v>
      </c>
      <c r="G614" s="4">
        <v>59</v>
      </c>
      <c r="H614" s="4">
        <v>62</v>
      </c>
      <c r="I614" s="4">
        <f>AVERAGE(Student­­Performance[[#This Row],[Math Score]],Student­­Performance[[#This Row],[Reading Score]],Student­­Performance[[#This Row],[Writing Score]])</f>
        <v>63</v>
      </c>
      <c r="J614" s="10" t="str">
        <f>IF(Student­­Performance[[#This Row],[Average Score]]&gt;=50,"Pass","Fail")</f>
        <v>Pass</v>
      </c>
      <c r="K61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-9</v>
      </c>
      <c r="L61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61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614" s="4">
        <f>IF(ISNUMBER(Student­­Performance[[#This Row],[Math Score]]),Student­­Performance[[#This Row],[Math Score]],0)</f>
        <v>68</v>
      </c>
      <c r="O614" s="4">
        <f>IF(ISNUMBER(Student­­Performance[[#This Row],[Reading Score]]),Student­­Performance[[#This Row],[Reading Score]],0)</f>
        <v>59</v>
      </c>
      <c r="P614" s="4">
        <f>IF(ISNUMBER(Student­­Performance[[#This Row],[Writing Score]]),Student­­Performance[[#This Row],[Writing Score]],0)</f>
        <v>62</v>
      </c>
      <c r="Q614" s="4" t="str">
        <f>IF(Student­­Performance[[#This Row],[Math Score]]&gt;=50,"Pass","Fail")</f>
        <v>Pass</v>
      </c>
      <c r="R614" s="4" t="str">
        <f>IF(Student­­Performance[[#This Row],[Reading Score]]&gt;=50,"Pass","Fail")</f>
        <v>Pass</v>
      </c>
      <c r="S614" s="4" t="str">
        <f>IF(Student­­Performance[[#This Row],[Writing Score]]&gt;=50,"Pass","Fail")</f>
        <v>Pass</v>
      </c>
      <c r="T61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189</v>
      </c>
      <c r="U614" s="4" cm="1">
        <f t="array" ref="U614">IF(COUNT(F614:H614)=0,"", MAX(IF(ISNUMBER(F614:H614),F614:H614)) - MIN(IF(ISNUMBER(F614:H614),F614:H614)))</f>
        <v>9</v>
      </c>
      <c r="V614" s="4" t="str">
        <f>IF(U614="","",IF(U614&gt;25,"Outlier","Normal"))</f>
        <v>Normal</v>
      </c>
    </row>
    <row r="615" spans="1:22" x14ac:dyDescent="0.3">
      <c r="A615" s="1" t="s">
        <v>17</v>
      </c>
      <c r="B615" s="1" t="s">
        <v>13</v>
      </c>
      <c r="C615" s="1" t="s">
        <v>86</v>
      </c>
      <c r="D615" s="1" t="s">
        <v>20</v>
      </c>
      <c r="E615" s="1" t="s">
        <v>12</v>
      </c>
      <c r="F615" s="4">
        <v>64</v>
      </c>
      <c r="G615" s="4">
        <v>66</v>
      </c>
      <c r="H615" s="4">
        <v>59</v>
      </c>
      <c r="I615" s="4">
        <f>AVERAGE(Student­­Performance[[#This Row],[Math Score]],Student­­Performance[[#This Row],[Reading Score]],Student­­Performance[[#This Row],[Writing Score]])</f>
        <v>63</v>
      </c>
      <c r="J615" s="10" t="str">
        <f>IF(Student­­Performance[[#This Row],[Average Score]]&gt;=50,"Pass","Fail")</f>
        <v>Pass</v>
      </c>
      <c r="K61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61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61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-5</v>
      </c>
      <c r="N615" s="4">
        <f>IF(ISNUMBER(Student­­Performance[[#This Row],[Math Score]]),Student­­Performance[[#This Row],[Math Score]],0)</f>
        <v>64</v>
      </c>
      <c r="O615" s="4">
        <f>IF(ISNUMBER(Student­­Performance[[#This Row],[Reading Score]]),Student­­Performance[[#This Row],[Reading Score]],0)</f>
        <v>66</v>
      </c>
      <c r="P615" s="4">
        <f>IF(ISNUMBER(Student­­Performance[[#This Row],[Writing Score]]),Student­­Performance[[#This Row],[Writing Score]],0)</f>
        <v>59</v>
      </c>
      <c r="Q615" s="4" t="str">
        <f>IF(Student­­Performance[[#This Row],[Math Score]]&gt;=50,"Pass","Fail")</f>
        <v>Pass</v>
      </c>
      <c r="R615" s="4" t="str">
        <f>IF(Student­­Performance[[#This Row],[Reading Score]]&gt;=50,"Pass","Fail")</f>
        <v>Pass</v>
      </c>
      <c r="S615" s="4" t="str">
        <f>IF(Student­­Performance[[#This Row],[Writing Score]]&gt;=50,"Pass","Fail")</f>
        <v>Pass</v>
      </c>
      <c r="T61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189</v>
      </c>
      <c r="U615" s="4" cm="1">
        <f t="array" ref="U615">IF(COUNT(F615:H615)=0,"", MAX(IF(ISNUMBER(F615:H615),F615:H615)) - MIN(IF(ISNUMBER(F615:H615),F615:H615)))</f>
        <v>7</v>
      </c>
      <c r="V615" s="4" t="str">
        <f>IF(U615="","",IF(U615&gt;25,"Outlier","Normal"))</f>
        <v>Normal</v>
      </c>
    </row>
    <row r="616" spans="1:22" x14ac:dyDescent="0.3">
      <c r="A616" s="1" t="s">
        <v>8</v>
      </c>
      <c r="B616" s="1" t="s">
        <v>21</v>
      </c>
      <c r="C616" s="1" t="s">
        <v>85</v>
      </c>
      <c r="D616" s="1" t="s">
        <v>11</v>
      </c>
      <c r="E616" s="1" t="s">
        <v>12</v>
      </c>
      <c r="F616" s="4">
        <v>55</v>
      </c>
      <c r="G616" s="4">
        <v>64</v>
      </c>
      <c r="H616" s="4">
        <v>70</v>
      </c>
      <c r="I616" s="4">
        <f>AVERAGE(Student­­Performance[[#This Row],[Math Score]],Student­­Performance[[#This Row],[Reading Score]],Student­­Performance[[#This Row],[Writing Score]])</f>
        <v>63</v>
      </c>
      <c r="J616" s="10" t="str">
        <f>IF(Student­­Performance[[#This Row],[Average Score]]&gt;=50,"Pass","Fail")</f>
        <v>Pass</v>
      </c>
      <c r="K61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61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61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15</v>
      </c>
      <c r="N616" s="4">
        <f>IF(ISNUMBER(Student­­Performance[[#This Row],[Math Score]]),Student­­Performance[[#This Row],[Math Score]],0)</f>
        <v>55</v>
      </c>
      <c r="O616" s="4">
        <f>IF(ISNUMBER(Student­­Performance[[#This Row],[Reading Score]]),Student­­Performance[[#This Row],[Reading Score]],0)</f>
        <v>64</v>
      </c>
      <c r="P616" s="4">
        <f>IF(ISNUMBER(Student­­Performance[[#This Row],[Writing Score]]),Student­­Performance[[#This Row],[Writing Score]],0)</f>
        <v>70</v>
      </c>
      <c r="Q616" s="4" t="str">
        <f>IF(Student­­Performance[[#This Row],[Math Score]]&gt;=50,"Pass","Fail")</f>
        <v>Pass</v>
      </c>
      <c r="R616" s="4" t="str">
        <f>IF(Student­­Performance[[#This Row],[Reading Score]]&gt;=50,"Pass","Fail")</f>
        <v>Pass</v>
      </c>
      <c r="S616" s="4" t="str">
        <f>IF(Student­­Performance[[#This Row],[Writing Score]]&gt;=50,"Pass","Fail")</f>
        <v>Pass</v>
      </c>
      <c r="T61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189</v>
      </c>
      <c r="U616" s="4" cm="1">
        <f t="array" ref="U616">IF(COUNT(F616:H616)=0,"", MAX(IF(ISNUMBER(F616:H616),F616:H616)) - MIN(IF(ISNUMBER(F616:H616),F616:H616)))</f>
        <v>15</v>
      </c>
      <c r="V616" s="4" t="str">
        <f>IF(U616="","",IF(U616&gt;25,"Outlier","Normal"))</f>
        <v>Normal</v>
      </c>
    </row>
    <row r="617" spans="1:22" x14ac:dyDescent="0.3">
      <c r="A617" s="1" t="s">
        <v>17</v>
      </c>
      <c r="B617" s="1" t="s">
        <v>18</v>
      </c>
      <c r="C617" s="1" t="s">
        <v>86</v>
      </c>
      <c r="D617" s="1" t="s">
        <v>11</v>
      </c>
      <c r="E617" s="1" t="s">
        <v>15</v>
      </c>
      <c r="F617" s="4">
        <v>97</v>
      </c>
      <c r="G617" s="4">
        <v>92</v>
      </c>
      <c r="H617" s="4" t="s">
        <v>90</v>
      </c>
      <c r="I617" s="4">
        <f>AVERAGE(Student­­Performance[[#This Row],[Math Score]],Student­­Performance[[#This Row],[Reading Score]],Student­­Performance[[#This Row],[Writing Score]])</f>
        <v>94.5</v>
      </c>
      <c r="J617" s="10" t="str">
        <f>IF(Student­­Performance[[#This Row],[Average Score]]&gt;=50,"Pass","Fail")</f>
        <v>Pass</v>
      </c>
      <c r="K61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617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617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617" s="4">
        <f>IF(ISNUMBER(Student­­Performance[[#This Row],[Math Score]]),Student­­Performance[[#This Row],[Math Score]],0)</f>
        <v>97</v>
      </c>
      <c r="O617" s="4">
        <f>IF(ISNUMBER(Student­­Performance[[#This Row],[Reading Score]]),Student­­Performance[[#This Row],[Reading Score]],0)</f>
        <v>92</v>
      </c>
      <c r="P617" s="4">
        <f>IF(ISNUMBER(Student­­Performance[[#This Row],[Writing Score]]),Student­­Performance[[#This Row],[Writing Score]],0)</f>
        <v>0</v>
      </c>
      <c r="Q617" s="4" t="str">
        <f>IF(Student­­Performance[[#This Row],[Math Score]]&gt;=50,"Pass","Fail")</f>
        <v>Pass</v>
      </c>
      <c r="R617" s="4" t="str">
        <f>IF(Student­­Performance[[#This Row],[Reading Score]]&gt;=50,"Pass","Fail")</f>
        <v>Pass</v>
      </c>
      <c r="S617" s="4" t="str">
        <f>IF(Student­­Performance[[#This Row],[Writing Score]]&gt;=50,"Pass","Fail")</f>
        <v>Pass</v>
      </c>
      <c r="T61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189</v>
      </c>
      <c r="U617" s="4" cm="1">
        <f t="array" ref="U617">IF(COUNT(F617:H617)=0,"", MAX(IF(ISNUMBER(F617:H617),F617:H617)) - MIN(IF(ISNUMBER(F617:H617),F617:H617)))</f>
        <v>5</v>
      </c>
      <c r="V617" s="4" t="str">
        <f>IF(U617="","",IF(U617&gt;25,"Outlier","Normal"))</f>
        <v>Normal</v>
      </c>
    </row>
    <row r="618" spans="1:22" x14ac:dyDescent="0.3">
      <c r="A618" s="1" t="s">
        <v>8</v>
      </c>
      <c r="B618" s="1" t="s">
        <v>13</v>
      </c>
      <c r="C618" s="1" t="s">
        <v>87</v>
      </c>
      <c r="D618" s="1" t="s">
        <v>20</v>
      </c>
      <c r="E618" s="1" t="s">
        <v>12</v>
      </c>
      <c r="F618" s="4">
        <v>53</v>
      </c>
      <c r="G618" s="4">
        <v>72</v>
      </c>
      <c r="H618" s="4">
        <v>64</v>
      </c>
      <c r="I618" s="4">
        <f>AVERAGE(Student­­Performance[[#This Row],[Math Score]],Student­­Performance[[#This Row],[Reading Score]],Student­­Performance[[#This Row],[Writing Score]])</f>
        <v>63</v>
      </c>
      <c r="J618" s="10" t="str">
        <f>IF(Student­­Performance[[#This Row],[Average Score]]&gt;=50,"Pass","Fail")</f>
        <v>Pass</v>
      </c>
      <c r="K61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19</v>
      </c>
      <c r="L61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-8</v>
      </c>
      <c r="M61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618" s="4">
        <f>IF(ISNUMBER(Student­­Performance[[#This Row],[Math Score]]),Student­­Performance[[#This Row],[Math Score]],0)</f>
        <v>53</v>
      </c>
      <c r="O618" s="4">
        <f>IF(ISNUMBER(Student­­Performance[[#This Row],[Reading Score]]),Student­­Performance[[#This Row],[Reading Score]],0)</f>
        <v>72</v>
      </c>
      <c r="P618" s="4">
        <f>IF(ISNUMBER(Student­­Performance[[#This Row],[Writing Score]]),Student­­Performance[[#This Row],[Writing Score]],0)</f>
        <v>64</v>
      </c>
      <c r="Q618" s="4" t="str">
        <f>IF(Student­­Performance[[#This Row],[Math Score]]&gt;=50,"Pass","Fail")</f>
        <v>Pass</v>
      </c>
      <c r="R618" s="4" t="str">
        <f>IF(Student­­Performance[[#This Row],[Reading Score]]&gt;=50,"Pass","Fail")</f>
        <v>Pass</v>
      </c>
      <c r="S618" s="4" t="str">
        <f>IF(Student­­Performance[[#This Row],[Writing Score]]&gt;=50,"Pass","Fail")</f>
        <v>Pass</v>
      </c>
      <c r="T61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189</v>
      </c>
      <c r="U618" s="4" cm="1">
        <f t="array" ref="U618">IF(COUNT(F618:H618)=0,"", MAX(IF(ISNUMBER(F618:H618),F618:H618)) - MIN(IF(ISNUMBER(F618:H618),F618:H618)))</f>
        <v>19</v>
      </c>
      <c r="V618" s="4" t="str">
        <f>IF(U618="","",IF(U618&gt;25,"Outlier","Normal"))</f>
        <v>Normal</v>
      </c>
    </row>
    <row r="619" spans="1:22" x14ac:dyDescent="0.3">
      <c r="A619" s="1" t="s">
        <v>8</v>
      </c>
      <c r="B619" s="1" t="s">
        <v>13</v>
      </c>
      <c r="C619" s="1" t="s">
        <v>84</v>
      </c>
      <c r="D619" s="1" t="s">
        <v>20</v>
      </c>
      <c r="E619" s="1" t="s">
        <v>15</v>
      </c>
      <c r="F619" s="4">
        <v>45</v>
      </c>
      <c r="G619" s="4">
        <v>73</v>
      </c>
      <c r="H619" s="4">
        <v>70</v>
      </c>
      <c r="I619" s="4">
        <f>AVERAGE(Student­­Performance[[#This Row],[Math Score]],Student­­Performance[[#This Row],[Reading Score]],Student­­Performance[[#This Row],[Writing Score]])</f>
        <v>62.666666666666664</v>
      </c>
      <c r="J619" s="10" t="str">
        <f>IF(Student­­Performance[[#This Row],[Average Score]]&gt;=50,"Pass","Fail")</f>
        <v>Pass</v>
      </c>
      <c r="K61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28</v>
      </c>
      <c r="L61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61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25</v>
      </c>
      <c r="N619" s="4">
        <f>IF(ISNUMBER(Student­­Performance[[#This Row],[Math Score]]),Student­­Performance[[#This Row],[Math Score]],0)</f>
        <v>45</v>
      </c>
      <c r="O619" s="4">
        <f>IF(ISNUMBER(Student­­Performance[[#This Row],[Reading Score]]),Student­­Performance[[#This Row],[Reading Score]],0)</f>
        <v>73</v>
      </c>
      <c r="P619" s="4">
        <f>IF(ISNUMBER(Student­­Performance[[#This Row],[Writing Score]]),Student­­Performance[[#This Row],[Writing Score]],0)</f>
        <v>70</v>
      </c>
      <c r="Q619" s="4" t="str">
        <f>IF(Student­­Performance[[#This Row],[Math Score]]&gt;=50,"Pass","Fail")</f>
        <v>Fail</v>
      </c>
      <c r="R619" s="4" t="str">
        <f>IF(Student­­Performance[[#This Row],[Reading Score]]&gt;=50,"Pass","Fail")</f>
        <v>Pass</v>
      </c>
      <c r="S619" s="4" t="str">
        <f>IF(Student­­Performance[[#This Row],[Writing Score]]&gt;=50,"Pass","Fail")</f>
        <v>Pass</v>
      </c>
      <c r="T61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188</v>
      </c>
      <c r="U619" s="4" cm="1">
        <f t="array" ref="U619">IF(COUNT(F619:H619)=0,"", MAX(IF(ISNUMBER(F619:H619),F619:H619)) - MIN(IF(ISNUMBER(F619:H619),F619:H619)))</f>
        <v>28</v>
      </c>
      <c r="V619" s="4" t="str">
        <f>IF(U619="","",IF(U619&gt;25,"Outlier","Normal"))</f>
        <v>Outlier</v>
      </c>
    </row>
    <row r="620" spans="1:22" x14ac:dyDescent="0.3">
      <c r="A620" s="1" t="s">
        <v>17</v>
      </c>
      <c r="B620" s="1" t="s">
        <v>9</v>
      </c>
      <c r="C620" s="1" t="s">
        <v>87</v>
      </c>
      <c r="D620" s="1" t="s">
        <v>11</v>
      </c>
      <c r="E620" s="1" t="s">
        <v>12</v>
      </c>
      <c r="F620" s="4">
        <v>60</v>
      </c>
      <c r="G620" s="4">
        <v>68</v>
      </c>
      <c r="H620" s="4">
        <v>60</v>
      </c>
      <c r="I620" s="4">
        <f>AVERAGE(Student­­Performance[[#This Row],[Math Score]],Student­­Performance[[#This Row],[Reading Score]],Student­­Performance[[#This Row],[Writing Score]])</f>
        <v>62.666666666666664</v>
      </c>
      <c r="J620" s="10" t="str">
        <f>IF(Student­­Performance[[#This Row],[Average Score]]&gt;=50,"Pass","Fail")</f>
        <v>Pass</v>
      </c>
      <c r="K62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62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-8</v>
      </c>
      <c r="M62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620" s="4">
        <f>IF(ISNUMBER(Student­­Performance[[#This Row],[Math Score]]),Student­­Performance[[#This Row],[Math Score]],0)</f>
        <v>60</v>
      </c>
      <c r="O620" s="4">
        <f>IF(ISNUMBER(Student­­Performance[[#This Row],[Reading Score]]),Student­­Performance[[#This Row],[Reading Score]],0)</f>
        <v>68</v>
      </c>
      <c r="P620" s="4">
        <f>IF(ISNUMBER(Student­­Performance[[#This Row],[Writing Score]]),Student­­Performance[[#This Row],[Writing Score]],0)</f>
        <v>60</v>
      </c>
      <c r="Q620" s="4" t="str">
        <f>IF(Student­­Performance[[#This Row],[Math Score]]&gt;=50,"Pass","Fail")</f>
        <v>Pass</v>
      </c>
      <c r="R620" s="4" t="str">
        <f>IF(Student­­Performance[[#This Row],[Reading Score]]&gt;=50,"Pass","Fail")</f>
        <v>Pass</v>
      </c>
      <c r="S620" s="4" t="str">
        <f>IF(Student­­Performance[[#This Row],[Writing Score]]&gt;=50,"Pass","Fail")</f>
        <v>Pass</v>
      </c>
      <c r="T62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188</v>
      </c>
      <c r="U620" s="4" cm="1">
        <f t="array" ref="U620">IF(COUNT(F620:H620)=0,"", MAX(IF(ISNUMBER(F620:H620),F620:H620)) - MIN(IF(ISNUMBER(F620:H620),F620:H620)))</f>
        <v>8</v>
      </c>
      <c r="V620" s="4" t="str">
        <f>IF(U620="","",IF(U620&gt;25,"Outlier","Normal"))</f>
        <v>Normal</v>
      </c>
    </row>
    <row r="621" spans="1:22" x14ac:dyDescent="0.3">
      <c r="A621" s="1" t="s">
        <v>17</v>
      </c>
      <c r="B621" s="1" t="s">
        <v>18</v>
      </c>
      <c r="C621" s="1" t="s">
        <v>87</v>
      </c>
      <c r="D621" s="1" t="s">
        <v>11</v>
      </c>
      <c r="E621" s="1" t="s">
        <v>12</v>
      </c>
      <c r="F621" s="4">
        <v>63</v>
      </c>
      <c r="G621" s="4">
        <v>63</v>
      </c>
      <c r="H621" s="4">
        <v>62</v>
      </c>
      <c r="I621" s="4">
        <f>AVERAGE(Student­­Performance[[#This Row],[Math Score]],Student­­Performance[[#This Row],[Reading Score]],Student­­Performance[[#This Row],[Writing Score]])</f>
        <v>62.666666666666664</v>
      </c>
      <c r="J621" s="10" t="str">
        <f>IF(Student­­Performance[[#This Row],[Average Score]]&gt;=50,"Pass","Fail")</f>
        <v>Pass</v>
      </c>
      <c r="K62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62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62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621" s="4">
        <f>IF(ISNUMBER(Student­­Performance[[#This Row],[Math Score]]),Student­­Performance[[#This Row],[Math Score]],0)</f>
        <v>63</v>
      </c>
      <c r="O621" s="4">
        <f>IF(ISNUMBER(Student­­Performance[[#This Row],[Reading Score]]),Student­­Performance[[#This Row],[Reading Score]],0)</f>
        <v>63</v>
      </c>
      <c r="P621" s="4">
        <f>IF(ISNUMBER(Student­­Performance[[#This Row],[Writing Score]]),Student­­Performance[[#This Row],[Writing Score]],0)</f>
        <v>62</v>
      </c>
      <c r="Q621" s="4" t="str">
        <f>IF(Student­­Performance[[#This Row],[Math Score]]&gt;=50,"Pass","Fail")</f>
        <v>Pass</v>
      </c>
      <c r="R621" s="4" t="str">
        <f>IF(Student­­Performance[[#This Row],[Reading Score]]&gt;=50,"Pass","Fail")</f>
        <v>Pass</v>
      </c>
      <c r="S621" s="4" t="str">
        <f>IF(Student­­Performance[[#This Row],[Writing Score]]&gt;=50,"Pass","Fail")</f>
        <v>Pass</v>
      </c>
      <c r="T62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188</v>
      </c>
      <c r="U621" s="4" cm="1">
        <f t="array" ref="U621">IF(COUNT(F621:H621)=0,"", MAX(IF(ISNUMBER(F621:H621),F621:H621)) - MIN(IF(ISNUMBER(F621:H621),F621:H621)))</f>
        <v>1</v>
      </c>
      <c r="V621" s="4" t="str">
        <f>IF(U621="","",IF(U621&gt;25,"Outlier","Normal"))</f>
        <v>Normal</v>
      </c>
    </row>
    <row r="622" spans="1:22" x14ac:dyDescent="0.3">
      <c r="A622" s="1" t="s">
        <v>8</v>
      </c>
      <c r="B622" s="1" t="s">
        <v>21</v>
      </c>
      <c r="C622" s="1" t="s">
        <v>84</v>
      </c>
      <c r="D622" s="1" t="s">
        <v>20</v>
      </c>
      <c r="E622" s="1" t="s">
        <v>12</v>
      </c>
      <c r="F622" s="4">
        <v>58</v>
      </c>
      <c r="G622" s="4">
        <v>67</v>
      </c>
      <c r="H622" s="4">
        <v>62</v>
      </c>
      <c r="I622" s="4">
        <f>AVERAGE(Student­­Performance[[#This Row],[Math Score]],Student­­Performance[[#This Row],[Reading Score]],Student­­Performance[[#This Row],[Writing Score]])</f>
        <v>62.333333333333336</v>
      </c>
      <c r="J622" s="10" t="str">
        <f>IF(Student­­Performance[[#This Row],[Average Score]]&gt;=50,"Pass","Fail")</f>
        <v>Pass</v>
      </c>
      <c r="K62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62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62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622" s="4">
        <f>IF(ISNUMBER(Student­­Performance[[#This Row],[Math Score]]),Student­­Performance[[#This Row],[Math Score]],0)</f>
        <v>58</v>
      </c>
      <c r="O622" s="4">
        <f>IF(ISNUMBER(Student­­Performance[[#This Row],[Reading Score]]),Student­­Performance[[#This Row],[Reading Score]],0)</f>
        <v>67</v>
      </c>
      <c r="P622" s="4">
        <f>IF(ISNUMBER(Student­­Performance[[#This Row],[Writing Score]]),Student­­Performance[[#This Row],[Writing Score]],0)</f>
        <v>62</v>
      </c>
      <c r="Q622" s="4" t="str">
        <f>IF(Student­­Performance[[#This Row],[Math Score]]&gt;=50,"Pass","Fail")</f>
        <v>Pass</v>
      </c>
      <c r="R622" s="4" t="str">
        <f>IF(Student­­Performance[[#This Row],[Reading Score]]&gt;=50,"Pass","Fail")</f>
        <v>Pass</v>
      </c>
      <c r="S622" s="4" t="str">
        <f>IF(Student­­Performance[[#This Row],[Writing Score]]&gt;=50,"Pass","Fail")</f>
        <v>Pass</v>
      </c>
      <c r="T62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187</v>
      </c>
      <c r="U622" s="4" cm="1">
        <f t="array" ref="U622">IF(COUNT(F622:H622)=0,"", MAX(IF(ISNUMBER(F622:H622),F622:H622)) - MIN(IF(ISNUMBER(F622:H622),F622:H622)))</f>
        <v>9</v>
      </c>
      <c r="V622" s="4" t="str">
        <f>IF(U622="","",IF(U622&gt;25,"Outlier","Normal"))</f>
        <v>Normal</v>
      </c>
    </row>
    <row r="623" spans="1:22" x14ac:dyDescent="0.3">
      <c r="A623" s="1" t="s">
        <v>8</v>
      </c>
      <c r="B623" s="1" t="s">
        <v>21</v>
      </c>
      <c r="C623" s="1" t="s">
        <v>87</v>
      </c>
      <c r="D623" s="1" t="s">
        <v>11</v>
      </c>
      <c r="E623" s="1" t="s">
        <v>15</v>
      </c>
      <c r="F623" s="4">
        <v>88</v>
      </c>
      <c r="G623" s="4">
        <v>99</v>
      </c>
      <c r="H623" s="4" t="s">
        <v>90</v>
      </c>
      <c r="I623" s="4">
        <f>AVERAGE(Student­­Performance[[#This Row],[Math Score]],Student­­Performance[[#This Row],[Reading Score]],Student­­Performance[[#This Row],[Writing Score]])</f>
        <v>93.5</v>
      </c>
      <c r="J623" s="10" t="str">
        <f>IF(Student­­Performance[[#This Row],[Average Score]]&gt;=50,"Pass","Fail")</f>
        <v>Pass</v>
      </c>
      <c r="K62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623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623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623" s="4">
        <f>IF(ISNUMBER(Student­­Performance[[#This Row],[Math Score]]),Student­­Performance[[#This Row],[Math Score]],0)</f>
        <v>88</v>
      </c>
      <c r="O623" s="4">
        <f>IF(ISNUMBER(Student­­Performance[[#This Row],[Reading Score]]),Student­­Performance[[#This Row],[Reading Score]],0)</f>
        <v>99</v>
      </c>
      <c r="P623" s="4">
        <f>IF(ISNUMBER(Student­­Performance[[#This Row],[Writing Score]]),Student­­Performance[[#This Row],[Writing Score]],0)</f>
        <v>0</v>
      </c>
      <c r="Q623" s="4" t="str">
        <f>IF(Student­­Performance[[#This Row],[Math Score]]&gt;=50,"Pass","Fail")</f>
        <v>Pass</v>
      </c>
      <c r="R623" s="4" t="str">
        <f>IF(Student­­Performance[[#This Row],[Reading Score]]&gt;=50,"Pass","Fail")</f>
        <v>Pass</v>
      </c>
      <c r="S623" s="4" t="str">
        <f>IF(Student­­Performance[[#This Row],[Writing Score]]&gt;=50,"Pass","Fail")</f>
        <v>Pass</v>
      </c>
      <c r="T62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187</v>
      </c>
      <c r="U623" s="4" cm="1">
        <f t="array" ref="U623">IF(COUNT(F623:H623)=0,"", MAX(IF(ISNUMBER(F623:H623),F623:H623)) - MIN(IF(ISNUMBER(F623:H623),F623:H623)))</f>
        <v>11</v>
      </c>
      <c r="V623" s="4" t="str">
        <f>IF(U623="","",IF(U623&gt;25,"Outlier","Normal"))</f>
        <v>Normal</v>
      </c>
    </row>
    <row r="624" spans="1:22" x14ac:dyDescent="0.3">
      <c r="A624" s="1" t="s">
        <v>8</v>
      </c>
      <c r="B624" s="1" t="s">
        <v>21</v>
      </c>
      <c r="C624" s="1" t="s">
        <v>88</v>
      </c>
      <c r="D624" s="1" t="s">
        <v>11</v>
      </c>
      <c r="E624" s="1" t="s">
        <v>12</v>
      </c>
      <c r="F624" s="4">
        <v>59</v>
      </c>
      <c r="G624" s="4">
        <v>67</v>
      </c>
      <c r="H624" s="4">
        <v>61</v>
      </c>
      <c r="I624" s="4">
        <f>AVERAGE(Student­­Performance[[#This Row],[Math Score]],Student­­Performance[[#This Row],[Reading Score]],Student­­Performance[[#This Row],[Writing Score]])</f>
        <v>62.333333333333336</v>
      </c>
      <c r="J624" s="10" t="str">
        <f>IF(Student­­Performance[[#This Row],[Average Score]]&gt;=50,"Pass","Fail")</f>
        <v>Pass</v>
      </c>
      <c r="K62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62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62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624" s="4">
        <f>IF(ISNUMBER(Student­­Performance[[#This Row],[Math Score]]),Student­­Performance[[#This Row],[Math Score]],0)</f>
        <v>59</v>
      </c>
      <c r="O624" s="4">
        <f>IF(ISNUMBER(Student­­Performance[[#This Row],[Reading Score]]),Student­­Performance[[#This Row],[Reading Score]],0)</f>
        <v>67</v>
      </c>
      <c r="P624" s="4">
        <f>IF(ISNUMBER(Student­­Performance[[#This Row],[Writing Score]]),Student­­Performance[[#This Row],[Writing Score]],0)</f>
        <v>61</v>
      </c>
      <c r="Q624" s="4" t="str">
        <f>IF(Student­­Performance[[#This Row],[Math Score]]&gt;=50,"Pass","Fail")</f>
        <v>Pass</v>
      </c>
      <c r="R624" s="4" t="str">
        <f>IF(Student­­Performance[[#This Row],[Reading Score]]&gt;=50,"Pass","Fail")</f>
        <v>Pass</v>
      </c>
      <c r="S624" s="4" t="str">
        <f>IF(Student­­Performance[[#This Row],[Writing Score]]&gt;=50,"Pass","Fail")</f>
        <v>Pass</v>
      </c>
      <c r="T62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187</v>
      </c>
      <c r="U624" s="4" cm="1">
        <f t="array" ref="U624">IF(COUNT(F624:H624)=0,"", MAX(IF(ISNUMBER(F624:H624),F624:H624)) - MIN(IF(ISNUMBER(F624:H624),F624:H624)))</f>
        <v>8</v>
      </c>
      <c r="V624" s="4" t="str">
        <f>IF(U624="","",IF(U624&gt;25,"Outlier","Normal"))</f>
        <v>Normal</v>
      </c>
    </row>
    <row r="625" spans="1:22" x14ac:dyDescent="0.3">
      <c r="A625" s="1" t="s">
        <v>17</v>
      </c>
      <c r="B625" s="1" t="s">
        <v>26</v>
      </c>
      <c r="C625" s="1" t="s">
        <v>84</v>
      </c>
      <c r="D625" s="1" t="s">
        <v>11</v>
      </c>
      <c r="E625" s="1" t="s">
        <v>12</v>
      </c>
      <c r="F625" s="4">
        <v>68</v>
      </c>
      <c r="G625" s="4">
        <v>60</v>
      </c>
      <c r="H625" s="4">
        <v>59</v>
      </c>
      <c r="I625" s="4">
        <f>AVERAGE(Student­­Performance[[#This Row],[Math Score]],Student­­Performance[[#This Row],[Reading Score]],Student­­Performance[[#This Row],[Writing Score]])</f>
        <v>62.333333333333336</v>
      </c>
      <c r="J625" s="10" t="str">
        <f>IF(Student­­Performance[[#This Row],[Average Score]]&gt;=50,"Pass","Fail")</f>
        <v>Pass</v>
      </c>
      <c r="K62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-8</v>
      </c>
      <c r="L62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62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-9</v>
      </c>
      <c r="N625" s="4">
        <f>IF(ISNUMBER(Student­­Performance[[#This Row],[Math Score]]),Student­­Performance[[#This Row],[Math Score]],0)</f>
        <v>68</v>
      </c>
      <c r="O625" s="4">
        <f>IF(ISNUMBER(Student­­Performance[[#This Row],[Reading Score]]),Student­­Performance[[#This Row],[Reading Score]],0)</f>
        <v>60</v>
      </c>
      <c r="P625" s="4">
        <f>IF(ISNUMBER(Student­­Performance[[#This Row],[Writing Score]]),Student­­Performance[[#This Row],[Writing Score]],0)</f>
        <v>59</v>
      </c>
      <c r="Q625" s="4" t="str">
        <f>IF(Student­­Performance[[#This Row],[Math Score]]&gt;=50,"Pass","Fail")</f>
        <v>Pass</v>
      </c>
      <c r="R625" s="4" t="str">
        <f>IF(Student­­Performance[[#This Row],[Reading Score]]&gt;=50,"Pass","Fail")</f>
        <v>Pass</v>
      </c>
      <c r="S625" s="4" t="str">
        <f>IF(Student­­Performance[[#This Row],[Writing Score]]&gt;=50,"Pass","Fail")</f>
        <v>Pass</v>
      </c>
      <c r="T62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187</v>
      </c>
      <c r="U625" s="4" cm="1">
        <f t="array" ref="U625">IF(COUNT(F625:H625)=0,"", MAX(IF(ISNUMBER(F625:H625),F625:H625)) - MIN(IF(ISNUMBER(F625:H625),F625:H625)))</f>
        <v>9</v>
      </c>
      <c r="V625" s="4" t="str">
        <f>IF(U625="","",IF(U625&gt;25,"Outlier","Normal"))</f>
        <v>Normal</v>
      </c>
    </row>
    <row r="626" spans="1:22" x14ac:dyDescent="0.3">
      <c r="A626" s="1" t="s">
        <v>8</v>
      </c>
      <c r="B626" s="1" t="s">
        <v>26</v>
      </c>
      <c r="C626" s="1" t="s">
        <v>84</v>
      </c>
      <c r="D626" s="1" t="s">
        <v>11</v>
      </c>
      <c r="E626" s="1" t="s">
        <v>12</v>
      </c>
      <c r="F626" s="4">
        <v>61</v>
      </c>
      <c r="G626" s="4">
        <v>64</v>
      </c>
      <c r="H626" s="4">
        <v>62</v>
      </c>
      <c r="I626" s="4">
        <f>AVERAGE(Student­­Performance[[#This Row],[Math Score]],Student­­Performance[[#This Row],[Reading Score]],Student­­Performance[[#This Row],[Writing Score]])</f>
        <v>62.333333333333336</v>
      </c>
      <c r="J626" s="10" t="str">
        <f>IF(Student­­Performance[[#This Row],[Average Score]]&gt;=50,"Pass","Fail")</f>
        <v>Pass</v>
      </c>
      <c r="K62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62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62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626" s="4">
        <f>IF(ISNUMBER(Student­­Performance[[#This Row],[Math Score]]),Student­­Performance[[#This Row],[Math Score]],0)</f>
        <v>61</v>
      </c>
      <c r="O626" s="4">
        <f>IF(ISNUMBER(Student­­Performance[[#This Row],[Reading Score]]),Student­­Performance[[#This Row],[Reading Score]],0)</f>
        <v>64</v>
      </c>
      <c r="P626" s="4">
        <f>IF(ISNUMBER(Student­­Performance[[#This Row],[Writing Score]]),Student­­Performance[[#This Row],[Writing Score]],0)</f>
        <v>62</v>
      </c>
      <c r="Q626" s="4" t="str">
        <f>IF(Student­­Performance[[#This Row],[Math Score]]&gt;=50,"Pass","Fail")</f>
        <v>Pass</v>
      </c>
      <c r="R626" s="4" t="str">
        <f>IF(Student­­Performance[[#This Row],[Reading Score]]&gt;=50,"Pass","Fail")</f>
        <v>Pass</v>
      </c>
      <c r="S626" s="4" t="str">
        <f>IF(Student­­Performance[[#This Row],[Writing Score]]&gt;=50,"Pass","Fail")</f>
        <v>Pass</v>
      </c>
      <c r="T62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187</v>
      </c>
      <c r="U626" s="4" cm="1">
        <f t="array" ref="U626">IF(COUNT(F626:H626)=0,"", MAX(IF(ISNUMBER(F626:H626),F626:H626)) - MIN(IF(ISNUMBER(F626:H626),F626:H626)))</f>
        <v>3</v>
      </c>
      <c r="V626" s="4" t="str">
        <f>IF(U626="","",IF(U626&gt;25,"Outlier","Normal"))</f>
        <v>Normal</v>
      </c>
    </row>
    <row r="627" spans="1:22" x14ac:dyDescent="0.3">
      <c r="A627" s="1" t="s">
        <v>8</v>
      </c>
      <c r="B627" s="1" t="s">
        <v>9</v>
      </c>
      <c r="C627" s="1" t="s">
        <v>87</v>
      </c>
      <c r="D627" s="1" t="s">
        <v>11</v>
      </c>
      <c r="E627" s="1" t="s">
        <v>12</v>
      </c>
      <c r="F627" s="4">
        <v>62</v>
      </c>
      <c r="G627" s="4">
        <v>62</v>
      </c>
      <c r="H627" s="4">
        <v>63</v>
      </c>
      <c r="I627" s="4">
        <f>AVERAGE(Student­­Performance[[#This Row],[Math Score]],Student­­Performance[[#This Row],[Reading Score]],Student­­Performance[[#This Row],[Writing Score]])</f>
        <v>62.333333333333336</v>
      </c>
      <c r="J627" s="10" t="str">
        <f>IF(Student­­Performance[[#This Row],[Average Score]]&gt;=50,"Pass","Fail")</f>
        <v>Pass</v>
      </c>
      <c r="K62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62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62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627" s="4">
        <f>IF(ISNUMBER(Student­­Performance[[#This Row],[Math Score]]),Student­­Performance[[#This Row],[Math Score]],0)</f>
        <v>62</v>
      </c>
      <c r="O627" s="4">
        <f>IF(ISNUMBER(Student­­Performance[[#This Row],[Reading Score]]),Student­­Performance[[#This Row],[Reading Score]],0)</f>
        <v>62</v>
      </c>
      <c r="P627" s="4">
        <f>IF(ISNUMBER(Student­­Performance[[#This Row],[Writing Score]]),Student­­Performance[[#This Row],[Writing Score]],0)</f>
        <v>63</v>
      </c>
      <c r="Q627" s="4" t="str">
        <f>IF(Student­­Performance[[#This Row],[Math Score]]&gt;=50,"Pass","Fail")</f>
        <v>Pass</v>
      </c>
      <c r="R627" s="4" t="str">
        <f>IF(Student­­Performance[[#This Row],[Reading Score]]&gt;=50,"Pass","Fail")</f>
        <v>Pass</v>
      </c>
      <c r="S627" s="4" t="str">
        <f>IF(Student­­Performance[[#This Row],[Writing Score]]&gt;=50,"Pass","Fail")</f>
        <v>Pass</v>
      </c>
      <c r="T62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187</v>
      </c>
      <c r="U627" s="4" cm="1">
        <f t="array" ref="U627">IF(COUNT(F627:H627)=0,"", MAX(IF(ISNUMBER(F627:H627),F627:H627)) - MIN(IF(ISNUMBER(F627:H627),F627:H627)))</f>
        <v>1</v>
      </c>
      <c r="V627" s="4" t="str">
        <f>IF(U627="","",IF(U627&gt;25,"Outlier","Normal"))</f>
        <v>Normal</v>
      </c>
    </row>
    <row r="628" spans="1:22" x14ac:dyDescent="0.3">
      <c r="A628" s="1" t="s">
        <v>17</v>
      </c>
      <c r="B628" s="1" t="s">
        <v>13</v>
      </c>
      <c r="C628" s="1" t="s">
        <v>87</v>
      </c>
      <c r="D628" s="1" t="s">
        <v>11</v>
      </c>
      <c r="E628" s="1" t="s">
        <v>12</v>
      </c>
      <c r="F628" s="4">
        <v>62</v>
      </c>
      <c r="G628" s="4">
        <v>67</v>
      </c>
      <c r="H628" s="4">
        <v>58</v>
      </c>
      <c r="I628" s="4">
        <f>AVERAGE(Student­­Performance[[#This Row],[Math Score]],Student­­Performance[[#This Row],[Reading Score]],Student­­Performance[[#This Row],[Writing Score]])</f>
        <v>62.333333333333336</v>
      </c>
      <c r="J628" s="10" t="str">
        <f>IF(Student­­Performance[[#This Row],[Average Score]]&gt;=50,"Pass","Fail")</f>
        <v>Pass</v>
      </c>
      <c r="K62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62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-9</v>
      </c>
      <c r="M62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628" s="4">
        <f>IF(ISNUMBER(Student­­Performance[[#This Row],[Math Score]]),Student­­Performance[[#This Row],[Math Score]],0)</f>
        <v>62</v>
      </c>
      <c r="O628" s="4">
        <f>IF(ISNUMBER(Student­­Performance[[#This Row],[Reading Score]]),Student­­Performance[[#This Row],[Reading Score]],0)</f>
        <v>67</v>
      </c>
      <c r="P628" s="4">
        <f>IF(ISNUMBER(Student­­Performance[[#This Row],[Writing Score]]),Student­­Performance[[#This Row],[Writing Score]],0)</f>
        <v>58</v>
      </c>
      <c r="Q628" s="4" t="str">
        <f>IF(Student­­Performance[[#This Row],[Math Score]]&gt;=50,"Pass","Fail")</f>
        <v>Pass</v>
      </c>
      <c r="R628" s="4" t="str">
        <f>IF(Student­­Performance[[#This Row],[Reading Score]]&gt;=50,"Pass","Fail")</f>
        <v>Pass</v>
      </c>
      <c r="S628" s="4" t="str">
        <f>IF(Student­­Performance[[#This Row],[Writing Score]]&gt;=50,"Pass","Fail")</f>
        <v>Pass</v>
      </c>
      <c r="T62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187</v>
      </c>
      <c r="U628" s="4" cm="1">
        <f t="array" ref="U628">IF(COUNT(F628:H628)=0,"", MAX(IF(ISNUMBER(F628:H628),F628:H628)) - MIN(IF(ISNUMBER(F628:H628),F628:H628)))</f>
        <v>9</v>
      </c>
      <c r="V628" s="4" t="str">
        <f>IF(U628="","",IF(U628&gt;25,"Outlier","Normal"))</f>
        <v>Normal</v>
      </c>
    </row>
    <row r="629" spans="1:22" x14ac:dyDescent="0.3">
      <c r="A629" s="1" t="s">
        <v>8</v>
      </c>
      <c r="B629" s="1" t="s">
        <v>9</v>
      </c>
      <c r="C629" s="1" t="s">
        <v>87</v>
      </c>
      <c r="D629" s="1" t="s">
        <v>11</v>
      </c>
      <c r="E629" s="1" t="s">
        <v>12</v>
      </c>
      <c r="F629" s="4">
        <v>58</v>
      </c>
      <c r="G629" s="4">
        <v>68</v>
      </c>
      <c r="H629" s="4">
        <v>61</v>
      </c>
      <c r="I629" s="4">
        <f>AVERAGE(Student­­Performance[[#This Row],[Math Score]],Student­­Performance[[#This Row],[Reading Score]],Student­­Performance[[#This Row],[Writing Score]])</f>
        <v>62.333333333333336</v>
      </c>
      <c r="J629" s="10" t="str">
        <f>IF(Student­­Performance[[#This Row],[Average Score]]&gt;=50,"Pass","Fail")</f>
        <v>Pass</v>
      </c>
      <c r="K62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62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62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629" s="4">
        <f>IF(ISNUMBER(Student­­Performance[[#This Row],[Math Score]]),Student­­Performance[[#This Row],[Math Score]],0)</f>
        <v>58</v>
      </c>
      <c r="O629" s="4">
        <f>IF(ISNUMBER(Student­­Performance[[#This Row],[Reading Score]]),Student­­Performance[[#This Row],[Reading Score]],0)</f>
        <v>68</v>
      </c>
      <c r="P629" s="4">
        <f>IF(ISNUMBER(Student­­Performance[[#This Row],[Writing Score]]),Student­­Performance[[#This Row],[Writing Score]],0)</f>
        <v>61</v>
      </c>
      <c r="Q629" s="4" t="str">
        <f>IF(Student­­Performance[[#This Row],[Math Score]]&gt;=50,"Pass","Fail")</f>
        <v>Pass</v>
      </c>
      <c r="R629" s="4" t="str">
        <f>IF(Student­­Performance[[#This Row],[Reading Score]]&gt;=50,"Pass","Fail")</f>
        <v>Pass</v>
      </c>
      <c r="S629" s="4" t="str">
        <f>IF(Student­­Performance[[#This Row],[Writing Score]]&gt;=50,"Pass","Fail")</f>
        <v>Pass</v>
      </c>
      <c r="T62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187</v>
      </c>
      <c r="U629" s="4" cm="1">
        <f t="array" ref="U629">IF(COUNT(F629:H629)=0,"", MAX(IF(ISNUMBER(F629:H629),F629:H629)) - MIN(IF(ISNUMBER(F629:H629),F629:H629)))</f>
        <v>10</v>
      </c>
      <c r="V629" s="4" t="str">
        <f>IF(U629="","",IF(U629&gt;25,"Outlier","Normal"))</f>
        <v>Normal</v>
      </c>
    </row>
    <row r="630" spans="1:22" x14ac:dyDescent="0.3">
      <c r="A630" s="1" t="s">
        <v>17</v>
      </c>
      <c r="B630" s="1" t="s">
        <v>21</v>
      </c>
      <c r="C630" s="1" t="s">
        <v>84</v>
      </c>
      <c r="D630" s="1" t="s">
        <v>11</v>
      </c>
      <c r="E630" s="1" t="s">
        <v>12</v>
      </c>
      <c r="F630" s="4">
        <v>72</v>
      </c>
      <c r="G630" s="4">
        <v>57</v>
      </c>
      <c r="H630" s="4">
        <v>58</v>
      </c>
      <c r="I630" s="4">
        <f>AVERAGE(Student­­Performance[[#This Row],[Math Score]],Student­­Performance[[#This Row],[Reading Score]],Student­­Performance[[#This Row],[Writing Score]])</f>
        <v>62.333333333333336</v>
      </c>
      <c r="J630" s="10" t="str">
        <f>IF(Student­­Performance[[#This Row],[Average Score]]&gt;=50,"Pass","Fail")</f>
        <v>Pass</v>
      </c>
      <c r="K63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-15</v>
      </c>
      <c r="L63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63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-14</v>
      </c>
      <c r="N630" s="4">
        <f>IF(ISNUMBER(Student­­Performance[[#This Row],[Math Score]]),Student­­Performance[[#This Row],[Math Score]],0)</f>
        <v>72</v>
      </c>
      <c r="O630" s="4">
        <f>IF(ISNUMBER(Student­­Performance[[#This Row],[Reading Score]]),Student­­Performance[[#This Row],[Reading Score]],0)</f>
        <v>57</v>
      </c>
      <c r="P630" s="4">
        <f>IF(ISNUMBER(Student­­Performance[[#This Row],[Writing Score]]),Student­­Performance[[#This Row],[Writing Score]],0)</f>
        <v>58</v>
      </c>
      <c r="Q630" s="4" t="str">
        <f>IF(Student­­Performance[[#This Row],[Math Score]]&gt;=50,"Pass","Fail")</f>
        <v>Pass</v>
      </c>
      <c r="R630" s="4" t="str">
        <f>IF(Student­­Performance[[#This Row],[Reading Score]]&gt;=50,"Pass","Fail")</f>
        <v>Pass</v>
      </c>
      <c r="S630" s="4" t="str">
        <f>IF(Student­­Performance[[#This Row],[Writing Score]]&gt;=50,"Pass","Fail")</f>
        <v>Pass</v>
      </c>
      <c r="T63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187</v>
      </c>
      <c r="U630" s="4" cm="1">
        <f t="array" ref="U630">IF(COUNT(F630:H630)=0,"", MAX(IF(ISNUMBER(F630:H630),F630:H630)) - MIN(IF(ISNUMBER(F630:H630),F630:H630)))</f>
        <v>15</v>
      </c>
      <c r="V630" s="4" t="str">
        <f>IF(U630="","",IF(U630&gt;25,"Outlier","Normal"))</f>
        <v>Normal</v>
      </c>
    </row>
    <row r="631" spans="1:22" x14ac:dyDescent="0.3">
      <c r="A631" s="1" t="s">
        <v>17</v>
      </c>
      <c r="B631" s="1" t="s">
        <v>9</v>
      </c>
      <c r="C631" s="1" t="s">
        <v>83</v>
      </c>
      <c r="D631" s="1" t="s">
        <v>20</v>
      </c>
      <c r="E631" s="1" t="s">
        <v>12</v>
      </c>
      <c r="F631" s="4">
        <v>73</v>
      </c>
      <c r="G631" s="4">
        <v>56</v>
      </c>
      <c r="H631" s="4">
        <v>57</v>
      </c>
      <c r="I631" s="4">
        <f>AVERAGE(Student­­Performance[[#This Row],[Math Score]],Student­­Performance[[#This Row],[Reading Score]],Student­­Performance[[#This Row],[Writing Score]])</f>
        <v>62</v>
      </c>
      <c r="J631" s="10" t="str">
        <f>IF(Student­­Performance[[#This Row],[Average Score]]&gt;=50,"Pass","Fail")</f>
        <v>Pass</v>
      </c>
      <c r="K63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-17</v>
      </c>
      <c r="L63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63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-16</v>
      </c>
      <c r="N631" s="4">
        <f>IF(ISNUMBER(Student­­Performance[[#This Row],[Math Score]]),Student­­Performance[[#This Row],[Math Score]],0)</f>
        <v>73</v>
      </c>
      <c r="O631" s="4">
        <f>IF(ISNUMBER(Student­­Performance[[#This Row],[Reading Score]]),Student­­Performance[[#This Row],[Reading Score]],0)</f>
        <v>56</v>
      </c>
      <c r="P631" s="4">
        <f>IF(ISNUMBER(Student­­Performance[[#This Row],[Writing Score]]),Student­­Performance[[#This Row],[Writing Score]],0)</f>
        <v>57</v>
      </c>
      <c r="Q631" s="4" t="str">
        <f>IF(Student­­Performance[[#This Row],[Math Score]]&gt;=50,"Pass","Fail")</f>
        <v>Pass</v>
      </c>
      <c r="R631" s="4" t="str">
        <f>IF(Student­­Performance[[#This Row],[Reading Score]]&gt;=50,"Pass","Fail")</f>
        <v>Pass</v>
      </c>
      <c r="S631" s="4" t="str">
        <f>IF(Student­­Performance[[#This Row],[Writing Score]]&gt;=50,"Pass","Fail")</f>
        <v>Pass</v>
      </c>
      <c r="T63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186</v>
      </c>
      <c r="U631" s="4" cm="1">
        <f t="array" ref="U631">IF(COUNT(F631:H631)=0,"", MAX(IF(ISNUMBER(F631:H631),F631:H631)) - MIN(IF(ISNUMBER(F631:H631),F631:H631)))</f>
        <v>17</v>
      </c>
      <c r="V631" s="4" t="str">
        <f>IF(U631="","",IF(U631&gt;25,"Outlier","Normal"))</f>
        <v>Normal</v>
      </c>
    </row>
    <row r="632" spans="1:22" x14ac:dyDescent="0.3">
      <c r="A632" s="1" t="s">
        <v>8</v>
      </c>
      <c r="B632" s="1" t="s">
        <v>9</v>
      </c>
      <c r="C632" s="1" t="s">
        <v>83</v>
      </c>
      <c r="D632" s="1" t="s">
        <v>11</v>
      </c>
      <c r="E632" s="1" t="s">
        <v>12</v>
      </c>
      <c r="F632" s="4">
        <v>52</v>
      </c>
      <c r="G632" s="4">
        <v>65</v>
      </c>
      <c r="H632" s="4">
        <v>69</v>
      </c>
      <c r="I632" s="4">
        <f>AVERAGE(Student­­Performance[[#This Row],[Math Score]],Student­­Performance[[#This Row],[Reading Score]],Student­­Performance[[#This Row],[Writing Score]])</f>
        <v>62</v>
      </c>
      <c r="J632" s="10" t="str">
        <f>IF(Student­­Performance[[#This Row],[Average Score]]&gt;=50,"Pass","Fail")</f>
        <v>Pass</v>
      </c>
      <c r="K63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13</v>
      </c>
      <c r="L63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63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17</v>
      </c>
      <c r="N632" s="4">
        <f>IF(ISNUMBER(Student­­Performance[[#This Row],[Math Score]]),Student­­Performance[[#This Row],[Math Score]],0)</f>
        <v>52</v>
      </c>
      <c r="O632" s="4">
        <f>IF(ISNUMBER(Student­­Performance[[#This Row],[Reading Score]]),Student­­Performance[[#This Row],[Reading Score]],0)</f>
        <v>65</v>
      </c>
      <c r="P632" s="4">
        <f>IF(ISNUMBER(Student­­Performance[[#This Row],[Writing Score]]),Student­­Performance[[#This Row],[Writing Score]],0)</f>
        <v>69</v>
      </c>
      <c r="Q632" s="4" t="str">
        <f>IF(Student­­Performance[[#This Row],[Math Score]]&gt;=50,"Pass","Fail")</f>
        <v>Pass</v>
      </c>
      <c r="R632" s="4" t="str">
        <f>IF(Student­­Performance[[#This Row],[Reading Score]]&gt;=50,"Pass","Fail")</f>
        <v>Pass</v>
      </c>
      <c r="S632" s="4" t="str">
        <f>IF(Student­­Performance[[#This Row],[Writing Score]]&gt;=50,"Pass","Fail")</f>
        <v>Pass</v>
      </c>
      <c r="T63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186</v>
      </c>
      <c r="U632" s="4" cm="1">
        <f t="array" ref="U632">IF(COUNT(F632:H632)=0,"", MAX(IF(ISNUMBER(F632:H632),F632:H632)) - MIN(IF(ISNUMBER(F632:H632),F632:H632)))</f>
        <v>17</v>
      </c>
      <c r="V632" s="4" t="str">
        <f>IF(U632="","",IF(U632&gt;25,"Outlier","Normal"))</f>
        <v>Normal</v>
      </c>
    </row>
    <row r="633" spans="1:22" x14ac:dyDescent="0.3">
      <c r="A633" s="1" t="s">
        <v>8</v>
      </c>
      <c r="B633" s="1" t="s">
        <v>9</v>
      </c>
      <c r="C633" s="1" t="s">
        <v>87</v>
      </c>
      <c r="D633" s="1" t="s">
        <v>11</v>
      </c>
      <c r="E633" s="1" t="s">
        <v>12</v>
      </c>
      <c r="F633" s="4">
        <v>54</v>
      </c>
      <c r="G633" s="4">
        <v>64</v>
      </c>
      <c r="H633" s="4">
        <v>68</v>
      </c>
      <c r="I633" s="4">
        <f>AVERAGE(Student­­Performance[[#This Row],[Math Score]],Student­­Performance[[#This Row],[Reading Score]],Student­­Performance[[#This Row],[Writing Score]])</f>
        <v>62</v>
      </c>
      <c r="J633" s="10" t="str">
        <f>IF(Student­­Performance[[#This Row],[Average Score]]&gt;=50,"Pass","Fail")</f>
        <v>Pass</v>
      </c>
      <c r="K63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63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63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14</v>
      </c>
      <c r="N633" s="4">
        <f>IF(ISNUMBER(Student­­Performance[[#This Row],[Math Score]]),Student­­Performance[[#This Row],[Math Score]],0)</f>
        <v>54</v>
      </c>
      <c r="O633" s="4">
        <f>IF(ISNUMBER(Student­­Performance[[#This Row],[Reading Score]]),Student­­Performance[[#This Row],[Reading Score]],0)</f>
        <v>64</v>
      </c>
      <c r="P633" s="4">
        <f>IF(ISNUMBER(Student­­Performance[[#This Row],[Writing Score]]),Student­­Performance[[#This Row],[Writing Score]],0)</f>
        <v>68</v>
      </c>
      <c r="Q633" s="4" t="str">
        <f>IF(Student­­Performance[[#This Row],[Math Score]]&gt;=50,"Pass","Fail")</f>
        <v>Pass</v>
      </c>
      <c r="R633" s="4" t="str">
        <f>IF(Student­­Performance[[#This Row],[Reading Score]]&gt;=50,"Pass","Fail")</f>
        <v>Pass</v>
      </c>
      <c r="S633" s="4" t="str">
        <f>IF(Student­­Performance[[#This Row],[Writing Score]]&gt;=50,"Pass","Fail")</f>
        <v>Pass</v>
      </c>
      <c r="T63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186</v>
      </c>
      <c r="U633" s="4" cm="1">
        <f t="array" ref="U633">IF(COUNT(F633:H633)=0,"", MAX(IF(ISNUMBER(F633:H633),F633:H633)) - MIN(IF(ISNUMBER(F633:H633),F633:H633)))</f>
        <v>14</v>
      </c>
      <c r="V633" s="4" t="str">
        <f>IF(U633="","",IF(U633&gt;25,"Outlier","Normal"))</f>
        <v>Normal</v>
      </c>
    </row>
    <row r="634" spans="1:22" x14ac:dyDescent="0.3">
      <c r="A634" s="1" t="s">
        <v>8</v>
      </c>
      <c r="B634" s="1" t="s">
        <v>9</v>
      </c>
      <c r="C634" s="1" t="s">
        <v>86</v>
      </c>
      <c r="D634" s="1" t="s">
        <v>11</v>
      </c>
      <c r="E634" s="1" t="s">
        <v>12</v>
      </c>
      <c r="F634" s="4">
        <v>58</v>
      </c>
      <c r="G634" s="4">
        <v>63</v>
      </c>
      <c r="H634" s="4">
        <v>65</v>
      </c>
      <c r="I634" s="4">
        <f>AVERAGE(Student­­Performance[[#This Row],[Math Score]],Student­­Performance[[#This Row],[Reading Score]],Student­­Performance[[#This Row],[Writing Score]])</f>
        <v>62</v>
      </c>
      <c r="J634" s="10" t="str">
        <f>IF(Student­­Performance[[#This Row],[Average Score]]&gt;=50,"Pass","Fail")</f>
        <v>Pass</v>
      </c>
      <c r="K63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63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63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634" s="4">
        <f>IF(ISNUMBER(Student­­Performance[[#This Row],[Math Score]]),Student­­Performance[[#This Row],[Math Score]],0)</f>
        <v>58</v>
      </c>
      <c r="O634" s="4">
        <f>IF(ISNUMBER(Student­­Performance[[#This Row],[Reading Score]]),Student­­Performance[[#This Row],[Reading Score]],0)</f>
        <v>63</v>
      </c>
      <c r="P634" s="4">
        <f>IF(ISNUMBER(Student­­Performance[[#This Row],[Writing Score]]),Student­­Performance[[#This Row],[Writing Score]],0)</f>
        <v>65</v>
      </c>
      <c r="Q634" s="4" t="str">
        <f>IF(Student­­Performance[[#This Row],[Math Score]]&gt;=50,"Pass","Fail")</f>
        <v>Pass</v>
      </c>
      <c r="R634" s="4" t="str">
        <f>IF(Student­­Performance[[#This Row],[Reading Score]]&gt;=50,"Pass","Fail")</f>
        <v>Pass</v>
      </c>
      <c r="S634" s="4" t="str">
        <f>IF(Student­­Performance[[#This Row],[Writing Score]]&gt;=50,"Pass","Fail")</f>
        <v>Pass</v>
      </c>
      <c r="T63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186</v>
      </c>
      <c r="U634" s="4" cm="1">
        <f t="array" ref="U634">IF(COUNT(F634:H634)=0,"", MAX(IF(ISNUMBER(F634:H634),F634:H634)) - MIN(IF(ISNUMBER(F634:H634),F634:H634)))</f>
        <v>7</v>
      </c>
      <c r="V634" s="4" t="str">
        <f>IF(U634="","",IF(U634&gt;25,"Outlier","Normal"))</f>
        <v>Normal</v>
      </c>
    </row>
    <row r="635" spans="1:22" x14ac:dyDescent="0.3">
      <c r="A635" s="1" t="s">
        <v>8</v>
      </c>
      <c r="B635" s="1" t="s">
        <v>9</v>
      </c>
      <c r="C635" s="1" t="s">
        <v>88</v>
      </c>
      <c r="D635" s="1" t="s">
        <v>20</v>
      </c>
      <c r="E635" s="1" t="s">
        <v>15</v>
      </c>
      <c r="F635" s="4">
        <v>59</v>
      </c>
      <c r="G635" s="4">
        <v>63</v>
      </c>
      <c r="H635" s="4">
        <v>64</v>
      </c>
      <c r="I635" s="4">
        <f>AVERAGE(Student­­Performance[[#This Row],[Math Score]],Student­­Performance[[#This Row],[Reading Score]],Student­­Performance[[#This Row],[Writing Score]])</f>
        <v>62</v>
      </c>
      <c r="J635" s="10" t="str">
        <f>IF(Student­­Performance[[#This Row],[Average Score]]&gt;=50,"Pass","Fail")</f>
        <v>Pass</v>
      </c>
      <c r="K63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63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63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635" s="4">
        <f>IF(ISNUMBER(Student­­Performance[[#This Row],[Math Score]]),Student­­Performance[[#This Row],[Math Score]],0)</f>
        <v>59</v>
      </c>
      <c r="O635" s="4">
        <f>IF(ISNUMBER(Student­­Performance[[#This Row],[Reading Score]]),Student­­Performance[[#This Row],[Reading Score]],0)</f>
        <v>63</v>
      </c>
      <c r="P635" s="4">
        <f>IF(ISNUMBER(Student­­Performance[[#This Row],[Writing Score]]),Student­­Performance[[#This Row],[Writing Score]],0)</f>
        <v>64</v>
      </c>
      <c r="Q635" s="4" t="str">
        <f>IF(Student­­Performance[[#This Row],[Math Score]]&gt;=50,"Pass","Fail")</f>
        <v>Pass</v>
      </c>
      <c r="R635" s="4" t="str">
        <f>IF(Student­­Performance[[#This Row],[Reading Score]]&gt;=50,"Pass","Fail")</f>
        <v>Pass</v>
      </c>
      <c r="S635" s="4" t="str">
        <f>IF(Student­­Performance[[#This Row],[Writing Score]]&gt;=50,"Pass","Fail")</f>
        <v>Pass</v>
      </c>
      <c r="T63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186</v>
      </c>
      <c r="U635" s="4" cm="1">
        <f t="array" ref="U635">IF(COUNT(F635:H635)=0,"", MAX(IF(ISNUMBER(F635:H635),F635:H635)) - MIN(IF(ISNUMBER(F635:H635),F635:H635)))</f>
        <v>5</v>
      </c>
      <c r="V635" s="4" t="str">
        <f>IF(U635="","",IF(U635&gt;25,"Outlier","Normal"))</f>
        <v>Normal</v>
      </c>
    </row>
    <row r="636" spans="1:22" x14ac:dyDescent="0.3">
      <c r="A636" s="1" t="s">
        <v>17</v>
      </c>
      <c r="B636" s="1" t="s">
        <v>13</v>
      </c>
      <c r="C636" s="1" t="s">
        <v>84</v>
      </c>
      <c r="D636" s="1" t="s">
        <v>11</v>
      </c>
      <c r="E636" s="1" t="s">
        <v>12</v>
      </c>
      <c r="F636" s="4">
        <v>63</v>
      </c>
      <c r="G636" s="4">
        <v>63</v>
      </c>
      <c r="H636" s="4">
        <v>60</v>
      </c>
      <c r="I636" s="4">
        <f>AVERAGE(Student­­Performance[[#This Row],[Math Score]],Student­­Performance[[#This Row],[Reading Score]],Student­­Performance[[#This Row],[Writing Score]])</f>
        <v>62</v>
      </c>
      <c r="J636" s="10" t="str">
        <f>IF(Student­­Performance[[#This Row],[Average Score]]&gt;=50,"Pass","Fail")</f>
        <v>Pass</v>
      </c>
      <c r="K63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63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63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636" s="4">
        <f>IF(ISNUMBER(Student­­Performance[[#This Row],[Math Score]]),Student­­Performance[[#This Row],[Math Score]],0)</f>
        <v>63</v>
      </c>
      <c r="O636" s="4">
        <f>IF(ISNUMBER(Student­­Performance[[#This Row],[Reading Score]]),Student­­Performance[[#This Row],[Reading Score]],0)</f>
        <v>63</v>
      </c>
      <c r="P636" s="4">
        <f>IF(ISNUMBER(Student­­Performance[[#This Row],[Writing Score]]),Student­­Performance[[#This Row],[Writing Score]],0)</f>
        <v>60</v>
      </c>
      <c r="Q636" s="4" t="str">
        <f>IF(Student­­Performance[[#This Row],[Math Score]]&gt;=50,"Pass","Fail")</f>
        <v>Pass</v>
      </c>
      <c r="R636" s="4" t="str">
        <f>IF(Student­­Performance[[#This Row],[Reading Score]]&gt;=50,"Pass","Fail")</f>
        <v>Pass</v>
      </c>
      <c r="S636" s="4" t="str">
        <f>IF(Student­­Performance[[#This Row],[Writing Score]]&gt;=50,"Pass","Fail")</f>
        <v>Pass</v>
      </c>
      <c r="T63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186</v>
      </c>
      <c r="U636" s="4" cm="1">
        <f t="array" ref="U636">IF(COUNT(F636:H636)=0,"", MAX(IF(ISNUMBER(F636:H636),F636:H636)) - MIN(IF(ISNUMBER(F636:H636),F636:H636)))</f>
        <v>3</v>
      </c>
      <c r="V636" s="4" t="str">
        <f>IF(U636="","",IF(U636&gt;25,"Outlier","Normal"))</f>
        <v>Normal</v>
      </c>
    </row>
    <row r="637" spans="1:22" x14ac:dyDescent="0.3">
      <c r="A637" s="1" t="s">
        <v>8</v>
      </c>
      <c r="B637" s="1" t="s">
        <v>13</v>
      </c>
      <c r="C637" s="1" t="s">
        <v>84</v>
      </c>
      <c r="D637" s="1" t="s">
        <v>20</v>
      </c>
      <c r="E637" s="1" t="s">
        <v>12</v>
      </c>
      <c r="F637" s="4">
        <v>59</v>
      </c>
      <c r="G637" s="4">
        <v>62</v>
      </c>
      <c r="H637" s="4">
        <v>64</v>
      </c>
      <c r="I637" s="4">
        <f>AVERAGE(Student­­Performance[[#This Row],[Math Score]],Student­­Performance[[#This Row],[Reading Score]],Student­­Performance[[#This Row],[Writing Score]])</f>
        <v>61.666666666666664</v>
      </c>
      <c r="J637" s="10" t="str">
        <f>IF(Student­­Performance[[#This Row],[Average Score]]&gt;=50,"Pass","Fail")</f>
        <v>Pass</v>
      </c>
      <c r="K63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63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63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637" s="4">
        <f>IF(ISNUMBER(Student­­Performance[[#This Row],[Math Score]]),Student­­Performance[[#This Row],[Math Score]],0)</f>
        <v>59</v>
      </c>
      <c r="O637" s="4">
        <f>IF(ISNUMBER(Student­­Performance[[#This Row],[Reading Score]]),Student­­Performance[[#This Row],[Reading Score]],0)</f>
        <v>62</v>
      </c>
      <c r="P637" s="4">
        <f>IF(ISNUMBER(Student­­Performance[[#This Row],[Writing Score]]),Student­­Performance[[#This Row],[Writing Score]],0)</f>
        <v>64</v>
      </c>
      <c r="Q637" s="4" t="str">
        <f>IF(Student­­Performance[[#This Row],[Math Score]]&gt;=50,"Pass","Fail")</f>
        <v>Pass</v>
      </c>
      <c r="R637" s="4" t="str">
        <f>IF(Student­­Performance[[#This Row],[Reading Score]]&gt;=50,"Pass","Fail")</f>
        <v>Pass</v>
      </c>
      <c r="S637" s="4" t="str">
        <f>IF(Student­­Performance[[#This Row],[Writing Score]]&gt;=50,"Pass","Fail")</f>
        <v>Pass</v>
      </c>
      <c r="T63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185</v>
      </c>
      <c r="U637" s="4" cm="1">
        <f t="array" ref="U637">IF(COUNT(F637:H637)=0,"", MAX(IF(ISNUMBER(F637:H637),F637:H637)) - MIN(IF(ISNUMBER(F637:H637),F637:H637)))</f>
        <v>5</v>
      </c>
      <c r="V637" s="4" t="str">
        <f>IF(U637="","",IF(U637&gt;25,"Outlier","Normal"))</f>
        <v>Normal</v>
      </c>
    </row>
    <row r="638" spans="1:22" x14ac:dyDescent="0.3">
      <c r="A638" s="1" t="s">
        <v>8</v>
      </c>
      <c r="B638" s="1" t="s">
        <v>9</v>
      </c>
      <c r="C638" s="1" t="s">
        <v>84</v>
      </c>
      <c r="D638" s="1" t="s">
        <v>20</v>
      </c>
      <c r="E638" s="1" t="s">
        <v>12</v>
      </c>
      <c r="F638" s="4">
        <v>58</v>
      </c>
      <c r="G638" s="4">
        <v>61</v>
      </c>
      <c r="H638" s="4">
        <v>66</v>
      </c>
      <c r="I638" s="4">
        <f>AVERAGE(Student­­Performance[[#This Row],[Math Score]],Student­­Performance[[#This Row],[Reading Score]],Student­­Performance[[#This Row],[Writing Score]])</f>
        <v>61.666666666666664</v>
      </c>
      <c r="J638" s="10" t="str">
        <f>IF(Student­­Performance[[#This Row],[Average Score]]&gt;=50,"Pass","Fail")</f>
        <v>Pass</v>
      </c>
      <c r="K63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63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63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638" s="4">
        <f>IF(ISNUMBER(Student­­Performance[[#This Row],[Math Score]]),Student­­Performance[[#This Row],[Math Score]],0)</f>
        <v>58</v>
      </c>
      <c r="O638" s="4">
        <f>IF(ISNUMBER(Student­­Performance[[#This Row],[Reading Score]]),Student­­Performance[[#This Row],[Reading Score]],0)</f>
        <v>61</v>
      </c>
      <c r="P638" s="4">
        <f>IF(ISNUMBER(Student­­Performance[[#This Row],[Writing Score]]),Student­­Performance[[#This Row],[Writing Score]],0)</f>
        <v>66</v>
      </c>
      <c r="Q638" s="4" t="str">
        <f>IF(Student­­Performance[[#This Row],[Math Score]]&gt;=50,"Pass","Fail")</f>
        <v>Pass</v>
      </c>
      <c r="R638" s="4" t="str">
        <f>IF(Student­­Performance[[#This Row],[Reading Score]]&gt;=50,"Pass","Fail")</f>
        <v>Pass</v>
      </c>
      <c r="S638" s="4" t="str">
        <f>IF(Student­­Performance[[#This Row],[Writing Score]]&gt;=50,"Pass","Fail")</f>
        <v>Pass</v>
      </c>
      <c r="T63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185</v>
      </c>
      <c r="U638" s="4" cm="1">
        <f t="array" ref="U638">IF(COUNT(F638:H638)=0,"", MAX(IF(ISNUMBER(F638:H638),F638:H638)) - MIN(IF(ISNUMBER(F638:H638),F638:H638)))</f>
        <v>8</v>
      </c>
      <c r="V638" s="4" t="str">
        <f>IF(U638="","",IF(U638&gt;25,"Outlier","Normal"))</f>
        <v>Normal</v>
      </c>
    </row>
    <row r="639" spans="1:22" x14ac:dyDescent="0.3">
      <c r="A639" s="1" t="s">
        <v>17</v>
      </c>
      <c r="B639" s="1" t="s">
        <v>18</v>
      </c>
      <c r="C639" s="1" t="s">
        <v>86</v>
      </c>
      <c r="D639" s="1" t="s">
        <v>11</v>
      </c>
      <c r="E639" s="1" t="s">
        <v>12</v>
      </c>
      <c r="F639" s="4">
        <v>63</v>
      </c>
      <c r="G639" s="4">
        <v>61</v>
      </c>
      <c r="H639" s="4">
        <v>61</v>
      </c>
      <c r="I639" s="4">
        <f>AVERAGE(Student­­Performance[[#This Row],[Math Score]],Student­­Performance[[#This Row],[Reading Score]],Student­­Performance[[#This Row],[Writing Score]])</f>
        <v>61.666666666666664</v>
      </c>
      <c r="J639" s="10" t="str">
        <f>IF(Student­­Performance[[#This Row],[Average Score]]&gt;=50,"Pass","Fail")</f>
        <v>Pass</v>
      </c>
      <c r="K63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</v>
      </c>
      <c r="L63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63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639" s="4">
        <f>IF(ISNUMBER(Student­­Performance[[#This Row],[Math Score]]),Student­­Performance[[#This Row],[Math Score]],0)</f>
        <v>63</v>
      </c>
      <c r="O639" s="4">
        <f>IF(ISNUMBER(Student­­Performance[[#This Row],[Reading Score]]),Student­­Performance[[#This Row],[Reading Score]],0)</f>
        <v>61</v>
      </c>
      <c r="P639" s="4">
        <f>IF(ISNUMBER(Student­­Performance[[#This Row],[Writing Score]]),Student­­Performance[[#This Row],[Writing Score]],0)</f>
        <v>61</v>
      </c>
      <c r="Q639" s="4" t="str">
        <f>IF(Student­­Performance[[#This Row],[Math Score]]&gt;=50,"Pass","Fail")</f>
        <v>Pass</v>
      </c>
      <c r="R639" s="4" t="str">
        <f>IF(Student­­Performance[[#This Row],[Reading Score]]&gt;=50,"Pass","Fail")</f>
        <v>Pass</v>
      </c>
      <c r="S639" s="4" t="str">
        <f>IF(Student­­Performance[[#This Row],[Writing Score]]&gt;=50,"Pass","Fail")</f>
        <v>Pass</v>
      </c>
      <c r="T63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185</v>
      </c>
      <c r="U639" s="4" cm="1">
        <f t="array" ref="U639">IF(COUNT(F639:H639)=0,"", MAX(IF(ISNUMBER(F639:H639),F639:H639)) - MIN(IF(ISNUMBER(F639:H639),F639:H639)))</f>
        <v>2</v>
      </c>
      <c r="V639" s="4" t="str">
        <f>IF(U639="","",IF(U639&gt;25,"Outlier","Normal"))</f>
        <v>Normal</v>
      </c>
    </row>
    <row r="640" spans="1:22" x14ac:dyDescent="0.3">
      <c r="A640" s="1" t="s">
        <v>17</v>
      </c>
      <c r="B640" s="1" t="s">
        <v>13</v>
      </c>
      <c r="C640" s="1" t="s">
        <v>88</v>
      </c>
      <c r="D640" s="1" t="s">
        <v>20</v>
      </c>
      <c r="E640" s="1" t="s">
        <v>12</v>
      </c>
      <c r="F640" s="4">
        <v>68</v>
      </c>
      <c r="G640" s="4">
        <v>63</v>
      </c>
      <c r="H640" s="4">
        <v>54</v>
      </c>
      <c r="I640" s="4">
        <f>AVERAGE(Student­­Performance[[#This Row],[Math Score]],Student­­Performance[[#This Row],[Reading Score]],Student­­Performance[[#This Row],[Writing Score]])</f>
        <v>61.666666666666664</v>
      </c>
      <c r="J640" s="10" t="str">
        <f>IF(Student­­Performance[[#This Row],[Average Score]]&gt;=50,"Pass","Fail")</f>
        <v>Pass</v>
      </c>
      <c r="K64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64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-9</v>
      </c>
      <c r="M64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-14</v>
      </c>
      <c r="N640" s="4">
        <f>IF(ISNUMBER(Student­­Performance[[#This Row],[Math Score]]),Student­­Performance[[#This Row],[Math Score]],0)</f>
        <v>68</v>
      </c>
      <c r="O640" s="4">
        <f>IF(ISNUMBER(Student­­Performance[[#This Row],[Reading Score]]),Student­­Performance[[#This Row],[Reading Score]],0)</f>
        <v>63</v>
      </c>
      <c r="P640" s="4">
        <f>IF(ISNUMBER(Student­­Performance[[#This Row],[Writing Score]]),Student­­Performance[[#This Row],[Writing Score]],0)</f>
        <v>54</v>
      </c>
      <c r="Q640" s="4" t="str">
        <f>IF(Student­­Performance[[#This Row],[Math Score]]&gt;=50,"Pass","Fail")</f>
        <v>Pass</v>
      </c>
      <c r="R640" s="4" t="str">
        <f>IF(Student­­Performance[[#This Row],[Reading Score]]&gt;=50,"Pass","Fail")</f>
        <v>Pass</v>
      </c>
      <c r="S640" s="4" t="str">
        <f>IF(Student­­Performance[[#This Row],[Writing Score]]&gt;=50,"Pass","Fail")</f>
        <v>Pass</v>
      </c>
      <c r="T64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185</v>
      </c>
      <c r="U640" s="4" cm="1">
        <f t="array" ref="U640">IF(COUNT(F640:H640)=0,"", MAX(IF(ISNUMBER(F640:H640),F640:H640)) - MIN(IF(ISNUMBER(F640:H640),F640:H640)))</f>
        <v>14</v>
      </c>
      <c r="V640" s="4" t="str">
        <f>IF(U640="","",IF(U640&gt;25,"Outlier","Normal"))</f>
        <v>Normal</v>
      </c>
    </row>
    <row r="641" spans="1:22" x14ac:dyDescent="0.3">
      <c r="A641" s="1" t="s">
        <v>8</v>
      </c>
      <c r="B641" s="1" t="s">
        <v>13</v>
      </c>
      <c r="C641" s="1" t="s">
        <v>85</v>
      </c>
      <c r="D641" s="1" t="s">
        <v>11</v>
      </c>
      <c r="E641" s="1" t="s">
        <v>15</v>
      </c>
      <c r="F641" s="4">
        <v>54</v>
      </c>
      <c r="G641" s="4">
        <v>64</v>
      </c>
      <c r="H641" s="4">
        <v>67</v>
      </c>
      <c r="I641" s="4">
        <f>AVERAGE(Student­­Performance[[#This Row],[Math Score]],Student­­Performance[[#This Row],[Reading Score]],Student­­Performance[[#This Row],[Writing Score]])</f>
        <v>61.666666666666664</v>
      </c>
      <c r="J641" s="10" t="str">
        <f>IF(Student­­Performance[[#This Row],[Average Score]]&gt;=50,"Pass","Fail")</f>
        <v>Pass</v>
      </c>
      <c r="K64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64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64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13</v>
      </c>
      <c r="N641" s="4">
        <f>IF(ISNUMBER(Student­­Performance[[#This Row],[Math Score]]),Student­­Performance[[#This Row],[Math Score]],0)</f>
        <v>54</v>
      </c>
      <c r="O641" s="4">
        <f>IF(ISNUMBER(Student­­Performance[[#This Row],[Reading Score]]),Student­­Performance[[#This Row],[Reading Score]],0)</f>
        <v>64</v>
      </c>
      <c r="P641" s="4">
        <f>IF(ISNUMBER(Student­­Performance[[#This Row],[Writing Score]]),Student­­Performance[[#This Row],[Writing Score]],0)</f>
        <v>67</v>
      </c>
      <c r="Q641" s="4" t="str">
        <f>IF(Student­­Performance[[#This Row],[Math Score]]&gt;=50,"Pass","Fail")</f>
        <v>Pass</v>
      </c>
      <c r="R641" s="4" t="str">
        <f>IF(Student­­Performance[[#This Row],[Reading Score]]&gt;=50,"Pass","Fail")</f>
        <v>Pass</v>
      </c>
      <c r="S641" s="4" t="str">
        <f>IF(Student­­Performance[[#This Row],[Writing Score]]&gt;=50,"Pass","Fail")</f>
        <v>Pass</v>
      </c>
      <c r="T64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185</v>
      </c>
      <c r="U641" s="4" cm="1">
        <f t="array" ref="U641">IF(COUNT(F641:H641)=0,"", MAX(IF(ISNUMBER(F641:H641),F641:H641)) - MIN(IF(ISNUMBER(F641:H641),F641:H641)))</f>
        <v>13</v>
      </c>
      <c r="V641" s="4" t="str">
        <f>IF(U641="","",IF(U641&gt;25,"Outlier","Normal"))</f>
        <v>Normal</v>
      </c>
    </row>
    <row r="642" spans="1:22" x14ac:dyDescent="0.3">
      <c r="A642" s="1" t="s">
        <v>17</v>
      </c>
      <c r="B642" s="1" t="s">
        <v>13</v>
      </c>
      <c r="C642" s="1" t="s">
        <v>87</v>
      </c>
      <c r="D642" s="1" t="s">
        <v>20</v>
      </c>
      <c r="E642" s="1" t="s">
        <v>12</v>
      </c>
      <c r="F642" s="4">
        <v>54</v>
      </c>
      <c r="G642" s="4">
        <v>72</v>
      </c>
      <c r="H642" s="4">
        <v>59</v>
      </c>
      <c r="I642" s="4">
        <f>AVERAGE(Student­­Performance[[#This Row],[Math Score]],Student­­Performance[[#This Row],[Reading Score]],Student­­Performance[[#This Row],[Writing Score]])</f>
        <v>61.666666666666664</v>
      </c>
      <c r="J642" s="10" t="str">
        <f>IF(Student­­Performance[[#This Row],[Average Score]]&gt;=50,"Pass","Fail")</f>
        <v>Pass</v>
      </c>
      <c r="K64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18</v>
      </c>
      <c r="L64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-13</v>
      </c>
      <c r="M64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642" s="4">
        <f>IF(ISNUMBER(Student­­Performance[[#This Row],[Math Score]]),Student­­Performance[[#This Row],[Math Score]],0)</f>
        <v>54</v>
      </c>
      <c r="O642" s="4">
        <f>IF(ISNUMBER(Student­­Performance[[#This Row],[Reading Score]]),Student­­Performance[[#This Row],[Reading Score]],0)</f>
        <v>72</v>
      </c>
      <c r="P642" s="4">
        <f>IF(ISNUMBER(Student­­Performance[[#This Row],[Writing Score]]),Student­­Performance[[#This Row],[Writing Score]],0)</f>
        <v>59</v>
      </c>
      <c r="Q642" s="4" t="str">
        <f>IF(Student­­Performance[[#This Row],[Math Score]]&gt;=50,"Pass","Fail")</f>
        <v>Pass</v>
      </c>
      <c r="R642" s="4" t="str">
        <f>IF(Student­­Performance[[#This Row],[Reading Score]]&gt;=50,"Pass","Fail")</f>
        <v>Pass</v>
      </c>
      <c r="S642" s="4" t="str">
        <f>IF(Student­­Performance[[#This Row],[Writing Score]]&gt;=50,"Pass","Fail")</f>
        <v>Pass</v>
      </c>
      <c r="T64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185</v>
      </c>
      <c r="U642" s="4" cm="1">
        <f t="array" ref="U642">IF(COUNT(F642:H642)=0,"", MAX(IF(ISNUMBER(F642:H642),F642:H642)) - MIN(IF(ISNUMBER(F642:H642),F642:H642)))</f>
        <v>18</v>
      </c>
      <c r="V642" s="4" t="str">
        <f>IF(U642="","",IF(U642&gt;25,"Outlier","Normal"))</f>
        <v>Normal</v>
      </c>
    </row>
    <row r="643" spans="1:22" x14ac:dyDescent="0.3">
      <c r="A643" s="1" t="s">
        <v>17</v>
      </c>
      <c r="B643" s="1" t="s">
        <v>13</v>
      </c>
      <c r="C643" s="1" t="s">
        <v>86</v>
      </c>
      <c r="D643" s="1" t="s">
        <v>11</v>
      </c>
      <c r="E643" s="1" t="s">
        <v>12</v>
      </c>
      <c r="F643" s="4">
        <v>62</v>
      </c>
      <c r="G643" s="4">
        <v>65</v>
      </c>
      <c r="H643" s="4">
        <v>58</v>
      </c>
      <c r="I643" s="4">
        <f>AVERAGE(Student­­Performance[[#This Row],[Math Score]],Student­­Performance[[#This Row],[Reading Score]],Student­­Performance[[#This Row],[Writing Score]])</f>
        <v>61.666666666666664</v>
      </c>
      <c r="J643" s="10" t="str">
        <f>IF(Student­­Performance[[#This Row],[Average Score]]&gt;=50,"Pass","Fail")</f>
        <v>Pass</v>
      </c>
      <c r="K64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64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64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643" s="4">
        <f>IF(ISNUMBER(Student­­Performance[[#This Row],[Math Score]]),Student­­Performance[[#This Row],[Math Score]],0)</f>
        <v>62</v>
      </c>
      <c r="O643" s="4">
        <f>IF(ISNUMBER(Student­­Performance[[#This Row],[Reading Score]]),Student­­Performance[[#This Row],[Reading Score]],0)</f>
        <v>65</v>
      </c>
      <c r="P643" s="4">
        <f>IF(ISNUMBER(Student­­Performance[[#This Row],[Writing Score]]),Student­­Performance[[#This Row],[Writing Score]],0)</f>
        <v>58</v>
      </c>
      <c r="Q643" s="4" t="str">
        <f>IF(Student­­Performance[[#This Row],[Math Score]]&gt;=50,"Pass","Fail")</f>
        <v>Pass</v>
      </c>
      <c r="R643" s="4" t="str">
        <f>IF(Student­­Performance[[#This Row],[Reading Score]]&gt;=50,"Pass","Fail")</f>
        <v>Pass</v>
      </c>
      <c r="S643" s="4" t="str">
        <f>IF(Student­­Performance[[#This Row],[Writing Score]]&gt;=50,"Pass","Fail")</f>
        <v>Pass</v>
      </c>
      <c r="T64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185</v>
      </c>
      <c r="U643" s="4" cm="1">
        <f t="array" ref="U643">IF(COUNT(F643:H643)=0,"", MAX(IF(ISNUMBER(F643:H643),F643:H643)) - MIN(IF(ISNUMBER(F643:H643),F643:H643)))</f>
        <v>7</v>
      </c>
      <c r="V643" s="4" t="str">
        <f>IF(U643="","",IF(U643&gt;25,"Outlier","Normal"))</f>
        <v>Normal</v>
      </c>
    </row>
    <row r="644" spans="1:22" x14ac:dyDescent="0.3">
      <c r="A644" s="1" t="s">
        <v>8</v>
      </c>
      <c r="B644" s="1" t="s">
        <v>9</v>
      </c>
      <c r="C644" s="1" t="s">
        <v>85</v>
      </c>
      <c r="D644" s="1" t="s">
        <v>20</v>
      </c>
      <c r="E644" s="1" t="s">
        <v>15</v>
      </c>
      <c r="F644" s="4">
        <v>52</v>
      </c>
      <c r="G644" s="4">
        <v>70</v>
      </c>
      <c r="H644" s="4">
        <v>62</v>
      </c>
      <c r="I644" s="4">
        <f>AVERAGE(Student­­Performance[[#This Row],[Math Score]],Student­­Performance[[#This Row],[Reading Score]],Student­­Performance[[#This Row],[Writing Score]])</f>
        <v>61.333333333333336</v>
      </c>
      <c r="J644" s="10" t="str">
        <f>IF(Student­­Performance[[#This Row],[Average Score]]&gt;=50,"Pass","Fail")</f>
        <v>Pass</v>
      </c>
      <c r="K64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18</v>
      </c>
      <c r="L64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-8</v>
      </c>
      <c r="M64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644" s="4">
        <f>IF(ISNUMBER(Student­­Performance[[#This Row],[Math Score]]),Student­­Performance[[#This Row],[Math Score]],0)</f>
        <v>52</v>
      </c>
      <c r="O644" s="4">
        <f>IF(ISNUMBER(Student­­Performance[[#This Row],[Reading Score]]),Student­­Performance[[#This Row],[Reading Score]],0)</f>
        <v>70</v>
      </c>
      <c r="P644" s="4">
        <f>IF(ISNUMBER(Student­­Performance[[#This Row],[Writing Score]]),Student­­Performance[[#This Row],[Writing Score]],0)</f>
        <v>62</v>
      </c>
      <c r="Q644" s="4" t="str">
        <f>IF(Student­­Performance[[#This Row],[Math Score]]&gt;=50,"Pass","Fail")</f>
        <v>Pass</v>
      </c>
      <c r="R644" s="4" t="str">
        <f>IF(Student­­Performance[[#This Row],[Reading Score]]&gt;=50,"Pass","Fail")</f>
        <v>Pass</v>
      </c>
      <c r="S644" s="4" t="str">
        <f>IF(Student­­Performance[[#This Row],[Writing Score]]&gt;=50,"Pass","Fail")</f>
        <v>Pass</v>
      </c>
      <c r="T64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184</v>
      </c>
      <c r="U644" s="4" cm="1">
        <f t="array" ref="U644">IF(COUNT(F644:H644)=0,"", MAX(IF(ISNUMBER(F644:H644),F644:H644)) - MIN(IF(ISNUMBER(F644:H644),F644:H644)))</f>
        <v>18</v>
      </c>
      <c r="V644" s="4" t="str">
        <f>IF(U644="","",IF(U644&gt;25,"Outlier","Normal"))</f>
        <v>Normal</v>
      </c>
    </row>
    <row r="645" spans="1:22" x14ac:dyDescent="0.3">
      <c r="A645" s="1" t="s">
        <v>8</v>
      </c>
      <c r="B645" s="1" t="s">
        <v>21</v>
      </c>
      <c r="C645" s="1" t="s">
        <v>86</v>
      </c>
      <c r="D645" s="1" t="s">
        <v>20</v>
      </c>
      <c r="E645" s="1" t="s">
        <v>12</v>
      </c>
      <c r="F645" s="4">
        <v>56</v>
      </c>
      <c r="G645" s="4">
        <v>65</v>
      </c>
      <c r="H645" s="4">
        <v>63</v>
      </c>
      <c r="I645" s="4">
        <f>AVERAGE(Student­­Performance[[#This Row],[Math Score]],Student­­Performance[[#This Row],[Reading Score]],Student­­Performance[[#This Row],[Writing Score]])</f>
        <v>61.333333333333336</v>
      </c>
      <c r="J645" s="10" t="str">
        <f>IF(Student­­Performance[[#This Row],[Average Score]]&gt;=50,"Pass","Fail")</f>
        <v>Pass</v>
      </c>
      <c r="K64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64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64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645" s="4">
        <f>IF(ISNUMBER(Student­­Performance[[#This Row],[Math Score]]),Student­­Performance[[#This Row],[Math Score]],0)</f>
        <v>56</v>
      </c>
      <c r="O645" s="4">
        <f>IF(ISNUMBER(Student­­Performance[[#This Row],[Reading Score]]),Student­­Performance[[#This Row],[Reading Score]],0)</f>
        <v>65</v>
      </c>
      <c r="P645" s="4">
        <f>IF(ISNUMBER(Student­­Performance[[#This Row],[Writing Score]]),Student­­Performance[[#This Row],[Writing Score]],0)</f>
        <v>63</v>
      </c>
      <c r="Q645" s="4" t="str">
        <f>IF(Student­­Performance[[#This Row],[Math Score]]&gt;=50,"Pass","Fail")</f>
        <v>Pass</v>
      </c>
      <c r="R645" s="4" t="str">
        <f>IF(Student­­Performance[[#This Row],[Reading Score]]&gt;=50,"Pass","Fail")</f>
        <v>Pass</v>
      </c>
      <c r="S645" s="4" t="str">
        <f>IF(Student­­Performance[[#This Row],[Writing Score]]&gt;=50,"Pass","Fail")</f>
        <v>Pass</v>
      </c>
      <c r="T64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184</v>
      </c>
      <c r="U645" s="4" cm="1">
        <f t="array" ref="U645">IF(COUNT(F645:H645)=0,"", MAX(IF(ISNUMBER(F645:H645),F645:H645)) - MIN(IF(ISNUMBER(F645:H645),F645:H645)))</f>
        <v>9</v>
      </c>
      <c r="V645" s="4" t="str">
        <f>IF(U645="","",IF(U645&gt;25,"Outlier","Normal"))</f>
        <v>Normal</v>
      </c>
    </row>
    <row r="646" spans="1:22" x14ac:dyDescent="0.3">
      <c r="A646" s="1" t="s">
        <v>17</v>
      </c>
      <c r="B646" s="1" t="s">
        <v>13</v>
      </c>
      <c r="C646" s="1" t="s">
        <v>84</v>
      </c>
      <c r="D646" s="1" t="s">
        <v>11</v>
      </c>
      <c r="E646" s="1" t="s">
        <v>12</v>
      </c>
      <c r="F646" s="4">
        <v>61</v>
      </c>
      <c r="G646" s="4">
        <v>61</v>
      </c>
      <c r="H646" s="4">
        <v>62</v>
      </c>
      <c r="I646" s="4">
        <f>AVERAGE(Student­­Performance[[#This Row],[Math Score]],Student­­Performance[[#This Row],[Reading Score]],Student­­Performance[[#This Row],[Writing Score]])</f>
        <v>61.333333333333336</v>
      </c>
      <c r="J646" s="10" t="str">
        <f>IF(Student­­Performance[[#This Row],[Average Score]]&gt;=50,"Pass","Fail")</f>
        <v>Pass</v>
      </c>
      <c r="K64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64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64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646" s="4">
        <f>IF(ISNUMBER(Student­­Performance[[#This Row],[Math Score]]),Student­­Performance[[#This Row],[Math Score]],0)</f>
        <v>61</v>
      </c>
      <c r="O646" s="4">
        <f>IF(ISNUMBER(Student­­Performance[[#This Row],[Reading Score]]),Student­­Performance[[#This Row],[Reading Score]],0)</f>
        <v>61</v>
      </c>
      <c r="P646" s="4">
        <f>IF(ISNUMBER(Student­­Performance[[#This Row],[Writing Score]]),Student­­Performance[[#This Row],[Writing Score]],0)</f>
        <v>62</v>
      </c>
      <c r="Q646" s="4" t="str">
        <f>IF(Student­­Performance[[#This Row],[Math Score]]&gt;=50,"Pass","Fail")</f>
        <v>Pass</v>
      </c>
      <c r="R646" s="4" t="str">
        <f>IF(Student­­Performance[[#This Row],[Reading Score]]&gt;=50,"Pass","Fail")</f>
        <v>Pass</v>
      </c>
      <c r="S646" s="4" t="str">
        <f>IF(Student­­Performance[[#This Row],[Writing Score]]&gt;=50,"Pass","Fail")</f>
        <v>Pass</v>
      </c>
      <c r="T64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184</v>
      </c>
      <c r="U646" s="4" cm="1">
        <f t="array" ref="U646">IF(COUNT(F646:H646)=0,"", MAX(IF(ISNUMBER(F646:H646),F646:H646)) - MIN(IF(ISNUMBER(F646:H646),F646:H646)))</f>
        <v>1</v>
      </c>
      <c r="V646" s="4" t="str">
        <f>IF(U646="","",IF(U646&gt;25,"Outlier","Normal"))</f>
        <v>Normal</v>
      </c>
    </row>
    <row r="647" spans="1:22" x14ac:dyDescent="0.3">
      <c r="A647" s="1" t="s">
        <v>17</v>
      </c>
      <c r="B647" s="1" t="s">
        <v>21</v>
      </c>
      <c r="C647" s="1" t="s">
        <v>83</v>
      </c>
      <c r="D647" s="1" t="s">
        <v>11</v>
      </c>
      <c r="E647" s="1" t="s">
        <v>12</v>
      </c>
      <c r="F647" s="4">
        <v>69</v>
      </c>
      <c r="G647" s="4">
        <v>58</v>
      </c>
      <c r="H647" s="4">
        <v>57</v>
      </c>
      <c r="I647" s="4">
        <f>AVERAGE(Student­­Performance[[#This Row],[Math Score]],Student­­Performance[[#This Row],[Reading Score]],Student­­Performance[[#This Row],[Writing Score]])</f>
        <v>61.333333333333336</v>
      </c>
      <c r="J647" s="10" t="str">
        <f>IF(Student­­Performance[[#This Row],[Average Score]]&gt;=50,"Pass","Fail")</f>
        <v>Pass</v>
      </c>
      <c r="K64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-11</v>
      </c>
      <c r="L64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64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-12</v>
      </c>
      <c r="N647" s="4">
        <f>IF(ISNUMBER(Student­­Performance[[#This Row],[Math Score]]),Student­­Performance[[#This Row],[Math Score]],0)</f>
        <v>69</v>
      </c>
      <c r="O647" s="4">
        <f>IF(ISNUMBER(Student­­Performance[[#This Row],[Reading Score]]),Student­­Performance[[#This Row],[Reading Score]],0)</f>
        <v>58</v>
      </c>
      <c r="P647" s="4">
        <f>IF(ISNUMBER(Student­­Performance[[#This Row],[Writing Score]]),Student­­Performance[[#This Row],[Writing Score]],0)</f>
        <v>57</v>
      </c>
      <c r="Q647" s="4" t="str">
        <f>IF(Student­­Performance[[#This Row],[Math Score]]&gt;=50,"Pass","Fail")</f>
        <v>Pass</v>
      </c>
      <c r="R647" s="4" t="str">
        <f>IF(Student­­Performance[[#This Row],[Reading Score]]&gt;=50,"Pass","Fail")</f>
        <v>Pass</v>
      </c>
      <c r="S647" s="4" t="str">
        <f>IF(Student­­Performance[[#This Row],[Writing Score]]&gt;=50,"Pass","Fail")</f>
        <v>Pass</v>
      </c>
      <c r="T64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184</v>
      </c>
      <c r="U647" s="4" cm="1">
        <f t="array" ref="U647">IF(COUNT(F647:H647)=0,"", MAX(IF(ISNUMBER(F647:H647),F647:H647)) - MIN(IF(ISNUMBER(F647:H647),F647:H647)))</f>
        <v>12</v>
      </c>
      <c r="V647" s="4" t="str">
        <f>IF(U647="","",IF(U647&gt;25,"Outlier","Normal"))</f>
        <v>Normal</v>
      </c>
    </row>
    <row r="648" spans="1:22" x14ac:dyDescent="0.3">
      <c r="A648" s="1" t="s">
        <v>17</v>
      </c>
      <c r="B648" s="1" t="s">
        <v>21</v>
      </c>
      <c r="C648" s="1" t="s">
        <v>84</v>
      </c>
      <c r="D648" s="1" t="s">
        <v>20</v>
      </c>
      <c r="E648" s="1" t="s">
        <v>12</v>
      </c>
      <c r="F648" s="4">
        <v>63</v>
      </c>
      <c r="G648" s="4">
        <v>61</v>
      </c>
      <c r="H648" s="4">
        <v>60</v>
      </c>
      <c r="I648" s="4">
        <f>AVERAGE(Student­­Performance[[#This Row],[Math Score]],Student­­Performance[[#This Row],[Reading Score]],Student­­Performance[[#This Row],[Writing Score]])</f>
        <v>61.333333333333336</v>
      </c>
      <c r="J648" s="10" t="str">
        <f>IF(Student­­Performance[[#This Row],[Average Score]]&gt;=50,"Pass","Fail")</f>
        <v>Pass</v>
      </c>
      <c r="K64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</v>
      </c>
      <c r="L64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64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648" s="4">
        <f>IF(ISNUMBER(Student­­Performance[[#This Row],[Math Score]]),Student­­Performance[[#This Row],[Math Score]],0)</f>
        <v>63</v>
      </c>
      <c r="O648" s="4">
        <f>IF(ISNUMBER(Student­­Performance[[#This Row],[Reading Score]]),Student­­Performance[[#This Row],[Reading Score]],0)</f>
        <v>61</v>
      </c>
      <c r="P648" s="4">
        <f>IF(ISNUMBER(Student­­Performance[[#This Row],[Writing Score]]),Student­­Performance[[#This Row],[Writing Score]],0)</f>
        <v>60</v>
      </c>
      <c r="Q648" s="4" t="str">
        <f>IF(Student­­Performance[[#This Row],[Math Score]]&gt;=50,"Pass","Fail")</f>
        <v>Pass</v>
      </c>
      <c r="R648" s="4" t="str">
        <f>IF(Student­­Performance[[#This Row],[Reading Score]]&gt;=50,"Pass","Fail")</f>
        <v>Pass</v>
      </c>
      <c r="S648" s="4" t="str">
        <f>IF(Student­­Performance[[#This Row],[Writing Score]]&gt;=50,"Pass","Fail")</f>
        <v>Pass</v>
      </c>
      <c r="T64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184</v>
      </c>
      <c r="U648" s="4" cm="1">
        <f t="array" ref="U648">IF(COUNT(F648:H648)=0,"", MAX(IF(ISNUMBER(F648:H648),F648:H648)) - MIN(IF(ISNUMBER(F648:H648),F648:H648)))</f>
        <v>3</v>
      </c>
      <c r="V648" s="4" t="str">
        <f>IF(U648="","",IF(U648&gt;25,"Outlier","Normal"))</f>
        <v>Normal</v>
      </c>
    </row>
    <row r="649" spans="1:22" x14ac:dyDescent="0.3">
      <c r="A649" s="1" t="s">
        <v>17</v>
      </c>
      <c r="B649" s="1" t="s">
        <v>21</v>
      </c>
      <c r="C649" s="1" t="s">
        <v>86</v>
      </c>
      <c r="D649" s="1" t="s">
        <v>11</v>
      </c>
      <c r="E649" s="1" t="s">
        <v>15</v>
      </c>
      <c r="F649" s="4">
        <v>67</v>
      </c>
      <c r="G649" s="4">
        <v>54</v>
      </c>
      <c r="H649" s="4">
        <v>63</v>
      </c>
      <c r="I649" s="4">
        <f>AVERAGE(Student­­Performance[[#This Row],[Math Score]],Student­­Performance[[#This Row],[Reading Score]],Student­­Performance[[#This Row],[Writing Score]])</f>
        <v>61.333333333333336</v>
      </c>
      <c r="J649" s="10" t="str">
        <f>IF(Student­­Performance[[#This Row],[Average Score]]&gt;=50,"Pass","Fail")</f>
        <v>Pass</v>
      </c>
      <c r="K64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-13</v>
      </c>
      <c r="L64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9</v>
      </c>
      <c r="M64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649" s="4">
        <f>IF(ISNUMBER(Student­­Performance[[#This Row],[Math Score]]),Student­­Performance[[#This Row],[Math Score]],0)</f>
        <v>67</v>
      </c>
      <c r="O649" s="4">
        <f>IF(ISNUMBER(Student­­Performance[[#This Row],[Reading Score]]),Student­­Performance[[#This Row],[Reading Score]],0)</f>
        <v>54</v>
      </c>
      <c r="P649" s="4">
        <f>IF(ISNUMBER(Student­­Performance[[#This Row],[Writing Score]]),Student­­Performance[[#This Row],[Writing Score]],0)</f>
        <v>63</v>
      </c>
      <c r="Q649" s="4" t="str">
        <f>IF(Student­­Performance[[#This Row],[Math Score]]&gt;=50,"Pass","Fail")</f>
        <v>Pass</v>
      </c>
      <c r="R649" s="4" t="str">
        <f>IF(Student­­Performance[[#This Row],[Reading Score]]&gt;=50,"Pass","Fail")</f>
        <v>Pass</v>
      </c>
      <c r="S649" s="4" t="str">
        <f>IF(Student­­Performance[[#This Row],[Writing Score]]&gt;=50,"Pass","Fail")</f>
        <v>Pass</v>
      </c>
      <c r="T64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184</v>
      </c>
      <c r="U649" s="4" cm="1">
        <f t="array" ref="U649">IF(COUNT(F649:H649)=0,"", MAX(IF(ISNUMBER(F649:H649),F649:H649)) - MIN(IF(ISNUMBER(F649:H649),F649:H649)))</f>
        <v>13</v>
      </c>
      <c r="V649" s="4" t="str">
        <f>IF(U649="","",IF(U649&gt;25,"Outlier","Normal"))</f>
        <v>Normal</v>
      </c>
    </row>
    <row r="650" spans="1:22" x14ac:dyDescent="0.3">
      <c r="A650" s="1" t="s">
        <v>8</v>
      </c>
      <c r="B650" s="1" t="s">
        <v>9</v>
      </c>
      <c r="C650" s="1" t="s">
        <v>86</v>
      </c>
      <c r="D650" s="1" t="s">
        <v>20</v>
      </c>
      <c r="E650" s="1" t="s">
        <v>12</v>
      </c>
      <c r="F650" s="4">
        <v>54</v>
      </c>
      <c r="G650" s="4">
        <v>65</v>
      </c>
      <c r="H650" s="4">
        <v>65</v>
      </c>
      <c r="I650" s="4">
        <f>AVERAGE(Student­­Performance[[#This Row],[Math Score]],Student­­Performance[[#This Row],[Reading Score]],Student­­Performance[[#This Row],[Writing Score]])</f>
        <v>61.333333333333336</v>
      </c>
      <c r="J650" s="10" t="str">
        <f>IF(Student­­Performance[[#This Row],[Average Score]]&gt;=50,"Pass","Fail")</f>
        <v>Pass</v>
      </c>
      <c r="K65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65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65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650" s="4">
        <f>IF(ISNUMBER(Student­­Performance[[#This Row],[Math Score]]),Student­­Performance[[#This Row],[Math Score]],0)</f>
        <v>54</v>
      </c>
      <c r="O650" s="4">
        <f>IF(ISNUMBER(Student­­Performance[[#This Row],[Reading Score]]),Student­­Performance[[#This Row],[Reading Score]],0)</f>
        <v>65</v>
      </c>
      <c r="P650" s="4">
        <f>IF(ISNUMBER(Student­­Performance[[#This Row],[Writing Score]]),Student­­Performance[[#This Row],[Writing Score]],0)</f>
        <v>65</v>
      </c>
      <c r="Q650" s="4" t="str">
        <f>IF(Student­­Performance[[#This Row],[Math Score]]&gt;=50,"Pass","Fail")</f>
        <v>Pass</v>
      </c>
      <c r="R650" s="4" t="str">
        <f>IF(Student­­Performance[[#This Row],[Reading Score]]&gt;=50,"Pass","Fail")</f>
        <v>Pass</v>
      </c>
      <c r="S650" s="4" t="str">
        <f>IF(Student­­Performance[[#This Row],[Writing Score]]&gt;=50,"Pass","Fail")</f>
        <v>Pass</v>
      </c>
      <c r="T65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184</v>
      </c>
      <c r="U650" s="4" cm="1">
        <f t="array" ref="U650">IF(COUNT(F650:H650)=0,"", MAX(IF(ISNUMBER(F650:H650),F650:H650)) - MIN(IF(ISNUMBER(F650:H650),F650:H650)))</f>
        <v>11</v>
      </c>
      <c r="V650" s="4" t="str">
        <f>IF(U650="","",IF(U650&gt;25,"Outlier","Normal"))</f>
        <v>Normal</v>
      </c>
    </row>
    <row r="651" spans="1:22" x14ac:dyDescent="0.3">
      <c r="A651" s="1" t="s">
        <v>17</v>
      </c>
      <c r="B651" s="1" t="s">
        <v>18</v>
      </c>
      <c r="C651" s="1" t="s">
        <v>88</v>
      </c>
      <c r="D651" s="1" t="s">
        <v>20</v>
      </c>
      <c r="E651" s="1" t="s">
        <v>15</v>
      </c>
      <c r="F651" s="4">
        <v>61</v>
      </c>
      <c r="G651" s="4">
        <v>62</v>
      </c>
      <c r="H651" s="4">
        <v>61</v>
      </c>
      <c r="I651" s="4">
        <f>AVERAGE(Student­­Performance[[#This Row],[Math Score]],Student­­Performance[[#This Row],[Reading Score]],Student­­Performance[[#This Row],[Writing Score]])</f>
        <v>61.333333333333336</v>
      </c>
      <c r="J651" s="10" t="str">
        <f>IF(Student­­Performance[[#This Row],[Average Score]]&gt;=50,"Pass","Fail")</f>
        <v>Pass</v>
      </c>
      <c r="K65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65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65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651" s="4">
        <f>IF(ISNUMBER(Student­­Performance[[#This Row],[Math Score]]),Student­­Performance[[#This Row],[Math Score]],0)</f>
        <v>61</v>
      </c>
      <c r="O651" s="4">
        <f>IF(ISNUMBER(Student­­Performance[[#This Row],[Reading Score]]),Student­­Performance[[#This Row],[Reading Score]],0)</f>
        <v>62</v>
      </c>
      <c r="P651" s="4">
        <f>IF(ISNUMBER(Student­­Performance[[#This Row],[Writing Score]]),Student­­Performance[[#This Row],[Writing Score]],0)</f>
        <v>61</v>
      </c>
      <c r="Q651" s="4" t="str">
        <f>IF(Student­­Performance[[#This Row],[Math Score]]&gt;=50,"Pass","Fail")</f>
        <v>Pass</v>
      </c>
      <c r="R651" s="4" t="str">
        <f>IF(Student­­Performance[[#This Row],[Reading Score]]&gt;=50,"Pass","Fail")</f>
        <v>Pass</v>
      </c>
      <c r="S651" s="4" t="str">
        <f>IF(Student­­Performance[[#This Row],[Writing Score]]&gt;=50,"Pass","Fail")</f>
        <v>Pass</v>
      </c>
      <c r="T65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184</v>
      </c>
      <c r="U651" s="4" cm="1">
        <f t="array" ref="U651">IF(COUNT(F651:H651)=0,"", MAX(IF(ISNUMBER(F651:H651),F651:H651)) - MIN(IF(ISNUMBER(F651:H651),F651:H651)))</f>
        <v>1</v>
      </c>
      <c r="V651" s="4" t="str">
        <f>IF(U651="","",IF(U651&gt;25,"Outlier","Normal"))</f>
        <v>Normal</v>
      </c>
    </row>
    <row r="652" spans="1:22" x14ac:dyDescent="0.3">
      <c r="A652" s="1" t="s">
        <v>8</v>
      </c>
      <c r="B652" s="1" t="s">
        <v>18</v>
      </c>
      <c r="C652" s="1" t="s">
        <v>84</v>
      </c>
      <c r="D652" s="1" t="s">
        <v>11</v>
      </c>
      <c r="E652" s="1" t="s">
        <v>12</v>
      </c>
      <c r="F652" s="4">
        <v>54</v>
      </c>
      <c r="G652" s="4">
        <v>63</v>
      </c>
      <c r="H652" s="4">
        <v>67</v>
      </c>
      <c r="I652" s="4">
        <f>AVERAGE(Student­­Performance[[#This Row],[Math Score]],Student­­Performance[[#This Row],[Reading Score]],Student­­Performance[[#This Row],[Writing Score]])</f>
        <v>61.333333333333336</v>
      </c>
      <c r="J652" s="10" t="str">
        <f>IF(Student­­Performance[[#This Row],[Average Score]]&gt;=50,"Pass","Fail")</f>
        <v>Pass</v>
      </c>
      <c r="K65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65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65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13</v>
      </c>
      <c r="N652" s="4">
        <f>IF(ISNUMBER(Student­­Performance[[#This Row],[Math Score]]),Student­­Performance[[#This Row],[Math Score]],0)</f>
        <v>54</v>
      </c>
      <c r="O652" s="4">
        <f>IF(ISNUMBER(Student­­Performance[[#This Row],[Reading Score]]),Student­­Performance[[#This Row],[Reading Score]],0)</f>
        <v>63</v>
      </c>
      <c r="P652" s="4">
        <f>IF(ISNUMBER(Student­­Performance[[#This Row],[Writing Score]]),Student­­Performance[[#This Row],[Writing Score]],0)</f>
        <v>67</v>
      </c>
      <c r="Q652" s="4" t="str">
        <f>IF(Student­­Performance[[#This Row],[Math Score]]&gt;=50,"Pass","Fail")</f>
        <v>Pass</v>
      </c>
      <c r="R652" s="4" t="str">
        <f>IF(Student­­Performance[[#This Row],[Reading Score]]&gt;=50,"Pass","Fail")</f>
        <v>Pass</v>
      </c>
      <c r="S652" s="4" t="str">
        <f>IF(Student­­Performance[[#This Row],[Writing Score]]&gt;=50,"Pass","Fail")</f>
        <v>Pass</v>
      </c>
      <c r="T65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184</v>
      </c>
      <c r="U652" s="4" cm="1">
        <f t="array" ref="U652">IF(COUNT(F652:H652)=0,"", MAX(IF(ISNUMBER(F652:H652),F652:H652)) - MIN(IF(ISNUMBER(F652:H652),F652:H652)))</f>
        <v>13</v>
      </c>
      <c r="V652" s="4" t="str">
        <f>IF(U652="","",IF(U652&gt;25,"Outlier","Normal"))</f>
        <v>Normal</v>
      </c>
    </row>
    <row r="653" spans="1:22" x14ac:dyDescent="0.3">
      <c r="A653" s="1" t="s">
        <v>17</v>
      </c>
      <c r="B653" s="1" t="s">
        <v>9</v>
      </c>
      <c r="C653" s="1" t="s">
        <v>83</v>
      </c>
      <c r="D653" s="1" t="s">
        <v>11</v>
      </c>
      <c r="E653" s="1" t="s">
        <v>12</v>
      </c>
      <c r="F653" s="4">
        <v>66</v>
      </c>
      <c r="G653" s="4">
        <v>60</v>
      </c>
      <c r="H653" s="4">
        <v>57</v>
      </c>
      <c r="I653" s="4">
        <f>AVERAGE(Student­­Performance[[#This Row],[Math Score]],Student­­Performance[[#This Row],[Reading Score]],Student­­Performance[[#This Row],[Writing Score]])</f>
        <v>61</v>
      </c>
      <c r="J653" s="10" t="str">
        <f>IF(Student­­Performance[[#This Row],[Average Score]]&gt;=50,"Pass","Fail")</f>
        <v>Pass</v>
      </c>
      <c r="K65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65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65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-9</v>
      </c>
      <c r="N653" s="4">
        <f>IF(ISNUMBER(Student­­Performance[[#This Row],[Math Score]]),Student­­Performance[[#This Row],[Math Score]],0)</f>
        <v>66</v>
      </c>
      <c r="O653" s="4">
        <f>IF(ISNUMBER(Student­­Performance[[#This Row],[Reading Score]]),Student­­Performance[[#This Row],[Reading Score]],0)</f>
        <v>60</v>
      </c>
      <c r="P653" s="4">
        <f>IF(ISNUMBER(Student­­Performance[[#This Row],[Writing Score]]),Student­­Performance[[#This Row],[Writing Score]],0)</f>
        <v>57</v>
      </c>
      <c r="Q653" s="4" t="str">
        <f>IF(Student­­Performance[[#This Row],[Math Score]]&gt;=50,"Pass","Fail")</f>
        <v>Pass</v>
      </c>
      <c r="R653" s="4" t="str">
        <f>IF(Student­­Performance[[#This Row],[Reading Score]]&gt;=50,"Pass","Fail")</f>
        <v>Pass</v>
      </c>
      <c r="S653" s="4" t="str">
        <f>IF(Student­­Performance[[#This Row],[Writing Score]]&gt;=50,"Pass","Fail")</f>
        <v>Pass</v>
      </c>
      <c r="T65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183</v>
      </c>
      <c r="U653" s="4" cm="1">
        <f t="array" ref="U653">IF(COUNT(F653:H653)=0,"", MAX(IF(ISNUMBER(F653:H653),F653:H653)) - MIN(IF(ISNUMBER(F653:H653),F653:H653)))</f>
        <v>9</v>
      </c>
      <c r="V653" s="4" t="str">
        <f>IF(U653="","",IF(U653&gt;25,"Outlier","Normal"))</f>
        <v>Normal</v>
      </c>
    </row>
    <row r="654" spans="1:22" x14ac:dyDescent="0.3">
      <c r="A654" s="1" t="s">
        <v>8</v>
      </c>
      <c r="B654" s="1" t="s">
        <v>13</v>
      </c>
      <c r="C654" s="1" t="s">
        <v>84</v>
      </c>
      <c r="D654" s="1" t="s">
        <v>11</v>
      </c>
      <c r="E654" s="1" t="s">
        <v>12</v>
      </c>
      <c r="F654" s="4">
        <v>54</v>
      </c>
      <c r="G654" s="4">
        <v>64</v>
      </c>
      <c r="H654" s="4">
        <v>65</v>
      </c>
      <c r="I654" s="4">
        <f>AVERAGE(Student­­Performance[[#This Row],[Math Score]],Student­­Performance[[#This Row],[Reading Score]],Student­­Performance[[#This Row],[Writing Score]])</f>
        <v>61</v>
      </c>
      <c r="J654" s="10" t="str">
        <f>IF(Student­­Performance[[#This Row],[Average Score]]&gt;=50,"Pass","Fail")</f>
        <v>Pass</v>
      </c>
      <c r="K65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65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65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654" s="4">
        <f>IF(ISNUMBER(Student­­Performance[[#This Row],[Math Score]]),Student­­Performance[[#This Row],[Math Score]],0)</f>
        <v>54</v>
      </c>
      <c r="O654" s="4">
        <f>IF(ISNUMBER(Student­­Performance[[#This Row],[Reading Score]]),Student­­Performance[[#This Row],[Reading Score]],0)</f>
        <v>64</v>
      </c>
      <c r="P654" s="4">
        <f>IF(ISNUMBER(Student­­Performance[[#This Row],[Writing Score]]),Student­­Performance[[#This Row],[Writing Score]],0)</f>
        <v>65</v>
      </c>
      <c r="Q654" s="4" t="str">
        <f>IF(Student­­Performance[[#This Row],[Math Score]]&gt;=50,"Pass","Fail")</f>
        <v>Pass</v>
      </c>
      <c r="R654" s="4" t="str">
        <f>IF(Student­­Performance[[#This Row],[Reading Score]]&gt;=50,"Pass","Fail")</f>
        <v>Pass</v>
      </c>
      <c r="S654" s="4" t="str">
        <f>IF(Student­­Performance[[#This Row],[Writing Score]]&gt;=50,"Pass","Fail")</f>
        <v>Pass</v>
      </c>
      <c r="T65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183</v>
      </c>
      <c r="U654" s="4" cm="1">
        <f t="array" ref="U654">IF(COUNT(F654:H654)=0,"", MAX(IF(ISNUMBER(F654:H654),F654:H654)) - MIN(IF(ISNUMBER(F654:H654),F654:H654)))</f>
        <v>11</v>
      </c>
      <c r="V654" s="4" t="str">
        <f>IF(U654="","",IF(U654&gt;25,"Outlier","Normal"))</f>
        <v>Normal</v>
      </c>
    </row>
    <row r="655" spans="1:22" x14ac:dyDescent="0.3">
      <c r="A655" s="1" t="s">
        <v>17</v>
      </c>
      <c r="B655" s="1" t="s">
        <v>18</v>
      </c>
      <c r="C655" s="1" t="s">
        <v>88</v>
      </c>
      <c r="D655" s="1" t="s">
        <v>11</v>
      </c>
      <c r="E655" s="1" t="s">
        <v>12</v>
      </c>
      <c r="F655" s="4">
        <v>71</v>
      </c>
      <c r="G655" s="4">
        <v>62</v>
      </c>
      <c r="H655" s="4">
        <v>50</v>
      </c>
      <c r="I655" s="4">
        <f>AVERAGE(Student­­Performance[[#This Row],[Math Score]],Student­­Performance[[#This Row],[Reading Score]],Student­­Performance[[#This Row],[Writing Score]])</f>
        <v>61</v>
      </c>
      <c r="J655" s="10" t="str">
        <f>IF(Student­­Performance[[#This Row],[Average Score]]&gt;=50,"Pass","Fail")</f>
        <v>Pass</v>
      </c>
      <c r="K65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-9</v>
      </c>
      <c r="L65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-12</v>
      </c>
      <c r="M65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-21</v>
      </c>
      <c r="N655" s="4">
        <f>IF(ISNUMBER(Student­­Performance[[#This Row],[Math Score]]),Student­­Performance[[#This Row],[Math Score]],0)</f>
        <v>71</v>
      </c>
      <c r="O655" s="4">
        <f>IF(ISNUMBER(Student­­Performance[[#This Row],[Reading Score]]),Student­­Performance[[#This Row],[Reading Score]],0)</f>
        <v>62</v>
      </c>
      <c r="P655" s="4">
        <f>IF(ISNUMBER(Student­­Performance[[#This Row],[Writing Score]]),Student­­Performance[[#This Row],[Writing Score]],0)</f>
        <v>50</v>
      </c>
      <c r="Q655" s="4" t="str">
        <f>IF(Student­­Performance[[#This Row],[Math Score]]&gt;=50,"Pass","Fail")</f>
        <v>Pass</v>
      </c>
      <c r="R655" s="4" t="str">
        <f>IF(Student­­Performance[[#This Row],[Reading Score]]&gt;=50,"Pass","Fail")</f>
        <v>Pass</v>
      </c>
      <c r="S655" s="4" t="str">
        <f>IF(Student­­Performance[[#This Row],[Writing Score]]&gt;=50,"Pass","Fail")</f>
        <v>Pass</v>
      </c>
      <c r="T65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183</v>
      </c>
      <c r="U655" s="4" cm="1">
        <f t="array" ref="U655">IF(COUNT(F655:H655)=0,"", MAX(IF(ISNUMBER(F655:H655),F655:H655)) - MIN(IF(ISNUMBER(F655:H655),F655:H655)))</f>
        <v>21</v>
      </c>
      <c r="V655" s="4" t="str">
        <f>IF(U655="","",IF(U655&gt;25,"Outlier","Normal"))</f>
        <v>Normal</v>
      </c>
    </row>
    <row r="656" spans="1:22" x14ac:dyDescent="0.3">
      <c r="A656" s="1" t="s">
        <v>8</v>
      </c>
      <c r="B656" s="1" t="s">
        <v>13</v>
      </c>
      <c r="C656" s="1" t="s">
        <v>84</v>
      </c>
      <c r="D656" s="1" t="s">
        <v>11</v>
      </c>
      <c r="E656" s="1" t="s">
        <v>12</v>
      </c>
      <c r="F656" s="4">
        <v>58</v>
      </c>
      <c r="G656" s="4">
        <v>59</v>
      </c>
      <c r="H656" s="4">
        <v>66</v>
      </c>
      <c r="I656" s="4">
        <f>AVERAGE(Student­­Performance[[#This Row],[Math Score]],Student­­Performance[[#This Row],[Reading Score]],Student­­Performance[[#This Row],[Writing Score]])</f>
        <v>61</v>
      </c>
      <c r="J656" s="10" t="str">
        <f>IF(Student­­Performance[[#This Row],[Average Score]]&gt;=50,"Pass","Fail")</f>
        <v>Pass</v>
      </c>
      <c r="K65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65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7</v>
      </c>
      <c r="M65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656" s="4">
        <f>IF(ISNUMBER(Student­­Performance[[#This Row],[Math Score]]),Student­­Performance[[#This Row],[Math Score]],0)</f>
        <v>58</v>
      </c>
      <c r="O656" s="4">
        <f>IF(ISNUMBER(Student­­Performance[[#This Row],[Reading Score]]),Student­­Performance[[#This Row],[Reading Score]],0)</f>
        <v>59</v>
      </c>
      <c r="P656" s="4">
        <f>IF(ISNUMBER(Student­­Performance[[#This Row],[Writing Score]]),Student­­Performance[[#This Row],[Writing Score]],0)</f>
        <v>66</v>
      </c>
      <c r="Q656" s="4" t="str">
        <f>IF(Student­­Performance[[#This Row],[Math Score]]&gt;=50,"Pass","Fail")</f>
        <v>Pass</v>
      </c>
      <c r="R656" s="4" t="str">
        <f>IF(Student­­Performance[[#This Row],[Reading Score]]&gt;=50,"Pass","Fail")</f>
        <v>Pass</v>
      </c>
      <c r="S656" s="4" t="str">
        <f>IF(Student­­Performance[[#This Row],[Writing Score]]&gt;=50,"Pass","Fail")</f>
        <v>Pass</v>
      </c>
      <c r="T65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183</v>
      </c>
      <c r="U656" s="4" cm="1">
        <f t="array" ref="U656">IF(COUNT(F656:H656)=0,"", MAX(IF(ISNUMBER(F656:H656),F656:H656)) - MIN(IF(ISNUMBER(F656:H656),F656:H656)))</f>
        <v>8</v>
      </c>
      <c r="V656" s="4" t="str">
        <f>IF(U656="","",IF(U656&gt;25,"Outlier","Normal"))</f>
        <v>Normal</v>
      </c>
    </row>
    <row r="657" spans="1:22" x14ac:dyDescent="0.3">
      <c r="A657" s="1" t="s">
        <v>17</v>
      </c>
      <c r="B657" s="1" t="s">
        <v>13</v>
      </c>
      <c r="C657" s="1" t="s">
        <v>85</v>
      </c>
      <c r="D657" s="1" t="s">
        <v>11</v>
      </c>
      <c r="E657" s="1" t="s">
        <v>12</v>
      </c>
      <c r="F657" s="4">
        <v>67</v>
      </c>
      <c r="G657" s="4">
        <v>57</v>
      </c>
      <c r="H657" s="4">
        <v>59</v>
      </c>
      <c r="I657" s="4">
        <f>AVERAGE(Student­­Performance[[#This Row],[Math Score]],Student­­Performance[[#This Row],[Reading Score]],Student­­Performance[[#This Row],[Writing Score]])</f>
        <v>61</v>
      </c>
      <c r="J657" s="10" t="str">
        <f>IF(Student­­Performance[[#This Row],[Average Score]]&gt;=50,"Pass","Fail")</f>
        <v>Pass</v>
      </c>
      <c r="K65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-10</v>
      </c>
      <c r="L65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65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657" s="4">
        <f>IF(ISNUMBER(Student­­Performance[[#This Row],[Math Score]]),Student­­Performance[[#This Row],[Math Score]],0)</f>
        <v>67</v>
      </c>
      <c r="O657" s="4">
        <f>IF(ISNUMBER(Student­­Performance[[#This Row],[Reading Score]]),Student­­Performance[[#This Row],[Reading Score]],0)</f>
        <v>57</v>
      </c>
      <c r="P657" s="4">
        <f>IF(ISNUMBER(Student­­Performance[[#This Row],[Writing Score]]),Student­­Performance[[#This Row],[Writing Score]],0)</f>
        <v>59</v>
      </c>
      <c r="Q657" s="4" t="str">
        <f>IF(Student­­Performance[[#This Row],[Math Score]]&gt;=50,"Pass","Fail")</f>
        <v>Pass</v>
      </c>
      <c r="R657" s="4" t="str">
        <f>IF(Student­­Performance[[#This Row],[Reading Score]]&gt;=50,"Pass","Fail")</f>
        <v>Pass</v>
      </c>
      <c r="S657" s="4" t="str">
        <f>IF(Student­­Performance[[#This Row],[Writing Score]]&gt;=50,"Pass","Fail")</f>
        <v>Pass</v>
      </c>
      <c r="T65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183</v>
      </c>
      <c r="U657" s="4" cm="1">
        <f t="array" ref="U657">IF(COUNT(F657:H657)=0,"", MAX(IF(ISNUMBER(F657:H657),F657:H657)) - MIN(IF(ISNUMBER(F657:H657),F657:H657)))</f>
        <v>10</v>
      </c>
      <c r="V657" s="4" t="str">
        <f>IF(U657="","",IF(U657&gt;25,"Outlier","Normal"))</f>
        <v>Normal</v>
      </c>
    </row>
    <row r="658" spans="1:22" x14ac:dyDescent="0.3">
      <c r="A658" s="1" t="s">
        <v>17</v>
      </c>
      <c r="B658" s="1" t="s">
        <v>26</v>
      </c>
      <c r="C658" s="1" t="s">
        <v>84</v>
      </c>
      <c r="D658" s="1" t="s">
        <v>11</v>
      </c>
      <c r="E658" s="1" t="s">
        <v>12</v>
      </c>
      <c r="F658" s="4">
        <v>69</v>
      </c>
      <c r="G658" s="4">
        <v>60</v>
      </c>
      <c r="H658" s="4">
        <v>54</v>
      </c>
      <c r="I658" s="4">
        <f>AVERAGE(Student­­Performance[[#This Row],[Math Score]],Student­­Performance[[#This Row],[Reading Score]],Student­­Performance[[#This Row],[Writing Score]])</f>
        <v>61</v>
      </c>
      <c r="J658" s="10" t="str">
        <f>IF(Student­­Performance[[#This Row],[Average Score]]&gt;=50,"Pass","Fail")</f>
        <v>Pass</v>
      </c>
      <c r="K65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-9</v>
      </c>
      <c r="L65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65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-15</v>
      </c>
      <c r="N658" s="4">
        <f>IF(ISNUMBER(Student­­Performance[[#This Row],[Math Score]]),Student­­Performance[[#This Row],[Math Score]],0)</f>
        <v>69</v>
      </c>
      <c r="O658" s="4">
        <f>IF(ISNUMBER(Student­­Performance[[#This Row],[Reading Score]]),Student­­Performance[[#This Row],[Reading Score]],0)</f>
        <v>60</v>
      </c>
      <c r="P658" s="4">
        <f>IF(ISNUMBER(Student­­Performance[[#This Row],[Writing Score]]),Student­­Performance[[#This Row],[Writing Score]],0)</f>
        <v>54</v>
      </c>
      <c r="Q658" s="4" t="str">
        <f>IF(Student­­Performance[[#This Row],[Math Score]]&gt;=50,"Pass","Fail")</f>
        <v>Pass</v>
      </c>
      <c r="R658" s="4" t="str">
        <f>IF(Student­­Performance[[#This Row],[Reading Score]]&gt;=50,"Pass","Fail")</f>
        <v>Pass</v>
      </c>
      <c r="S658" s="4" t="str">
        <f>IF(Student­­Performance[[#This Row],[Writing Score]]&gt;=50,"Pass","Fail")</f>
        <v>Pass</v>
      </c>
      <c r="T65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183</v>
      </c>
      <c r="U658" s="4" cm="1">
        <f t="array" ref="U658">IF(COUNT(F658:H658)=0,"", MAX(IF(ISNUMBER(F658:H658),F658:H658)) - MIN(IF(ISNUMBER(F658:H658),F658:H658)))</f>
        <v>15</v>
      </c>
      <c r="V658" s="4" t="str">
        <f>IF(U658="","",IF(U658&gt;25,"Outlier","Normal"))</f>
        <v>Normal</v>
      </c>
    </row>
    <row r="659" spans="1:22" x14ac:dyDescent="0.3">
      <c r="A659" s="1" t="s">
        <v>8</v>
      </c>
      <c r="B659" s="1" t="s">
        <v>18</v>
      </c>
      <c r="C659" s="1" t="s">
        <v>86</v>
      </c>
      <c r="D659" s="1" t="s">
        <v>11</v>
      </c>
      <c r="E659" s="1" t="s">
        <v>15</v>
      </c>
      <c r="F659" s="4">
        <v>55</v>
      </c>
      <c r="G659" s="4">
        <v>65</v>
      </c>
      <c r="H659" s="4">
        <v>62</v>
      </c>
      <c r="I659" s="4">
        <f>AVERAGE(Student­­Performance[[#This Row],[Math Score]],Student­­Performance[[#This Row],[Reading Score]],Student­­Performance[[#This Row],[Writing Score]])</f>
        <v>60.666666666666664</v>
      </c>
      <c r="J659" s="10" t="str">
        <f>IF(Student­­Performance[[#This Row],[Average Score]]&gt;=50,"Pass","Fail")</f>
        <v>Pass</v>
      </c>
      <c r="K65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65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65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659" s="4">
        <f>IF(ISNUMBER(Student­­Performance[[#This Row],[Math Score]]),Student­­Performance[[#This Row],[Math Score]],0)</f>
        <v>55</v>
      </c>
      <c r="O659" s="4">
        <f>IF(ISNUMBER(Student­­Performance[[#This Row],[Reading Score]]),Student­­Performance[[#This Row],[Reading Score]],0)</f>
        <v>65</v>
      </c>
      <c r="P659" s="4">
        <f>IF(ISNUMBER(Student­­Performance[[#This Row],[Writing Score]]),Student­­Performance[[#This Row],[Writing Score]],0)</f>
        <v>62</v>
      </c>
      <c r="Q659" s="4" t="str">
        <f>IF(Student­­Performance[[#This Row],[Math Score]]&gt;=50,"Pass","Fail")</f>
        <v>Pass</v>
      </c>
      <c r="R659" s="4" t="str">
        <f>IF(Student­­Performance[[#This Row],[Reading Score]]&gt;=50,"Pass","Fail")</f>
        <v>Pass</v>
      </c>
      <c r="S659" s="4" t="str">
        <f>IF(Student­­Performance[[#This Row],[Writing Score]]&gt;=50,"Pass","Fail")</f>
        <v>Pass</v>
      </c>
      <c r="T65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182</v>
      </c>
      <c r="U659" s="4" cm="1">
        <f t="array" ref="U659">IF(COUNT(F659:H659)=0,"", MAX(IF(ISNUMBER(F659:H659),F659:H659)) - MIN(IF(ISNUMBER(F659:H659),F659:H659)))</f>
        <v>10</v>
      </c>
      <c r="V659" s="4" t="str">
        <f>IF(U659="","",IF(U659&gt;25,"Outlier","Normal"))</f>
        <v>Normal</v>
      </c>
    </row>
    <row r="660" spans="1:22" x14ac:dyDescent="0.3">
      <c r="A660" s="1" t="s">
        <v>8</v>
      </c>
      <c r="B660" s="1" t="s">
        <v>13</v>
      </c>
      <c r="C660" s="1" t="s">
        <v>88</v>
      </c>
      <c r="D660" s="1" t="s">
        <v>20</v>
      </c>
      <c r="E660" s="1" t="s">
        <v>12</v>
      </c>
      <c r="F660" s="4">
        <v>55</v>
      </c>
      <c r="G660" s="4">
        <v>65</v>
      </c>
      <c r="H660" s="4">
        <v>62</v>
      </c>
      <c r="I660" s="4">
        <f>AVERAGE(Student­­Performance[[#This Row],[Math Score]],Student­­Performance[[#This Row],[Reading Score]],Student­­Performance[[#This Row],[Writing Score]])</f>
        <v>60.666666666666664</v>
      </c>
      <c r="J660" s="10" t="str">
        <f>IF(Student­­Performance[[#This Row],[Average Score]]&gt;=50,"Pass","Fail")</f>
        <v>Pass</v>
      </c>
      <c r="K66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66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66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660" s="4">
        <f>IF(ISNUMBER(Student­­Performance[[#This Row],[Math Score]]),Student­­Performance[[#This Row],[Math Score]],0)</f>
        <v>55</v>
      </c>
      <c r="O660" s="4">
        <f>IF(ISNUMBER(Student­­Performance[[#This Row],[Reading Score]]),Student­­Performance[[#This Row],[Reading Score]],0)</f>
        <v>65</v>
      </c>
      <c r="P660" s="4">
        <f>IF(ISNUMBER(Student­­Performance[[#This Row],[Writing Score]]),Student­­Performance[[#This Row],[Writing Score]],0)</f>
        <v>62</v>
      </c>
      <c r="Q660" s="4" t="str">
        <f>IF(Student­­Performance[[#This Row],[Math Score]]&gt;=50,"Pass","Fail")</f>
        <v>Pass</v>
      </c>
      <c r="R660" s="4" t="str">
        <f>IF(Student­­Performance[[#This Row],[Reading Score]]&gt;=50,"Pass","Fail")</f>
        <v>Pass</v>
      </c>
      <c r="S660" s="4" t="str">
        <f>IF(Student­­Performance[[#This Row],[Writing Score]]&gt;=50,"Pass","Fail")</f>
        <v>Pass</v>
      </c>
      <c r="T66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182</v>
      </c>
      <c r="U660" s="4" cm="1">
        <f t="array" ref="U660">IF(COUNT(F660:H660)=0,"", MAX(IF(ISNUMBER(F660:H660),F660:H660)) - MIN(IF(ISNUMBER(F660:H660),F660:H660)))</f>
        <v>10</v>
      </c>
      <c r="V660" s="4" t="str">
        <f>IF(U660="","",IF(U660&gt;25,"Outlier","Normal"))</f>
        <v>Normal</v>
      </c>
    </row>
    <row r="661" spans="1:22" x14ac:dyDescent="0.3">
      <c r="A661" s="1" t="s">
        <v>17</v>
      </c>
      <c r="B661" s="1" t="s">
        <v>21</v>
      </c>
      <c r="C661" s="1" t="s">
        <v>84</v>
      </c>
      <c r="D661" s="1" t="s">
        <v>20</v>
      </c>
      <c r="E661" s="1" t="s">
        <v>12</v>
      </c>
      <c r="F661" s="4">
        <v>59</v>
      </c>
      <c r="G661" s="4">
        <v>62</v>
      </c>
      <c r="H661" s="4">
        <v>61</v>
      </c>
      <c r="I661" s="4">
        <f>AVERAGE(Student­­Performance[[#This Row],[Math Score]],Student­­Performance[[#This Row],[Reading Score]],Student­­Performance[[#This Row],[Writing Score]])</f>
        <v>60.666666666666664</v>
      </c>
      <c r="J661" s="10" t="str">
        <f>IF(Student­­Performance[[#This Row],[Average Score]]&gt;=50,"Pass","Fail")</f>
        <v>Pass</v>
      </c>
      <c r="K66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66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66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661" s="4">
        <f>IF(ISNUMBER(Student­­Performance[[#This Row],[Math Score]]),Student­­Performance[[#This Row],[Math Score]],0)</f>
        <v>59</v>
      </c>
      <c r="O661" s="4">
        <f>IF(ISNUMBER(Student­­Performance[[#This Row],[Reading Score]]),Student­­Performance[[#This Row],[Reading Score]],0)</f>
        <v>62</v>
      </c>
      <c r="P661" s="4">
        <f>IF(ISNUMBER(Student­­Performance[[#This Row],[Writing Score]]),Student­­Performance[[#This Row],[Writing Score]],0)</f>
        <v>61</v>
      </c>
      <c r="Q661" s="4" t="str">
        <f>IF(Student­­Performance[[#This Row],[Math Score]]&gt;=50,"Pass","Fail")</f>
        <v>Pass</v>
      </c>
      <c r="R661" s="4" t="str">
        <f>IF(Student­­Performance[[#This Row],[Reading Score]]&gt;=50,"Pass","Fail")</f>
        <v>Pass</v>
      </c>
      <c r="S661" s="4" t="str">
        <f>IF(Student­­Performance[[#This Row],[Writing Score]]&gt;=50,"Pass","Fail")</f>
        <v>Pass</v>
      </c>
      <c r="T66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182</v>
      </c>
      <c r="U661" s="4" cm="1">
        <f t="array" ref="U661">IF(COUNT(F661:H661)=0,"", MAX(IF(ISNUMBER(F661:H661),F661:H661)) - MIN(IF(ISNUMBER(F661:H661),F661:H661)))</f>
        <v>3</v>
      </c>
      <c r="V661" s="4" t="str">
        <f>IF(U661="","",IF(U661&gt;25,"Outlier","Normal"))</f>
        <v>Normal</v>
      </c>
    </row>
    <row r="662" spans="1:22" x14ac:dyDescent="0.3">
      <c r="A662" s="1" t="s">
        <v>8</v>
      </c>
      <c r="B662" s="1" t="s">
        <v>21</v>
      </c>
      <c r="C662" s="1" t="s">
        <v>85</v>
      </c>
      <c r="D662" s="1" t="s">
        <v>11</v>
      </c>
      <c r="E662" s="1" t="s">
        <v>12</v>
      </c>
      <c r="F662" s="4">
        <v>53</v>
      </c>
      <c r="G662" s="4">
        <v>61</v>
      </c>
      <c r="H662" s="4">
        <v>68</v>
      </c>
      <c r="I662" s="4">
        <f>AVERAGE(Student­­Performance[[#This Row],[Math Score]],Student­­Performance[[#This Row],[Reading Score]],Student­­Performance[[#This Row],[Writing Score]])</f>
        <v>60.666666666666664</v>
      </c>
      <c r="J662" s="10" t="str">
        <f>IF(Student­­Performance[[#This Row],[Average Score]]&gt;=50,"Pass","Fail")</f>
        <v>Pass</v>
      </c>
      <c r="K66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66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7</v>
      </c>
      <c r="M66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15</v>
      </c>
      <c r="N662" s="4">
        <f>IF(ISNUMBER(Student­­Performance[[#This Row],[Math Score]]),Student­­Performance[[#This Row],[Math Score]],0)</f>
        <v>53</v>
      </c>
      <c r="O662" s="4">
        <f>IF(ISNUMBER(Student­­Performance[[#This Row],[Reading Score]]),Student­­Performance[[#This Row],[Reading Score]],0)</f>
        <v>61</v>
      </c>
      <c r="P662" s="4">
        <f>IF(ISNUMBER(Student­­Performance[[#This Row],[Writing Score]]),Student­­Performance[[#This Row],[Writing Score]],0)</f>
        <v>68</v>
      </c>
      <c r="Q662" s="4" t="str">
        <f>IF(Student­­Performance[[#This Row],[Math Score]]&gt;=50,"Pass","Fail")</f>
        <v>Pass</v>
      </c>
      <c r="R662" s="4" t="str">
        <f>IF(Student­­Performance[[#This Row],[Reading Score]]&gt;=50,"Pass","Fail")</f>
        <v>Pass</v>
      </c>
      <c r="S662" s="4" t="str">
        <f>IF(Student­­Performance[[#This Row],[Writing Score]]&gt;=50,"Pass","Fail")</f>
        <v>Pass</v>
      </c>
      <c r="T66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182</v>
      </c>
      <c r="U662" s="4" cm="1">
        <f t="array" ref="U662">IF(COUNT(F662:H662)=0,"", MAX(IF(ISNUMBER(F662:H662),F662:H662)) - MIN(IF(ISNUMBER(F662:H662),F662:H662)))</f>
        <v>15</v>
      </c>
      <c r="V662" s="4" t="str">
        <f>IF(U662="","",IF(U662&gt;25,"Outlier","Normal"))</f>
        <v>Normal</v>
      </c>
    </row>
    <row r="663" spans="1:22" x14ac:dyDescent="0.3">
      <c r="A663" s="1" t="s">
        <v>17</v>
      </c>
      <c r="B663" s="1" t="s">
        <v>21</v>
      </c>
      <c r="C663" s="1" t="s">
        <v>84</v>
      </c>
      <c r="D663" s="1" t="s">
        <v>11</v>
      </c>
      <c r="E663" s="1" t="s">
        <v>12</v>
      </c>
      <c r="F663" s="4">
        <v>60</v>
      </c>
      <c r="G663" s="4">
        <v>63</v>
      </c>
      <c r="H663" s="4">
        <v>59</v>
      </c>
      <c r="I663" s="4">
        <f>AVERAGE(Student­­Performance[[#This Row],[Math Score]],Student­­Performance[[#This Row],[Reading Score]],Student­­Performance[[#This Row],[Writing Score]])</f>
        <v>60.666666666666664</v>
      </c>
      <c r="J663" s="10" t="str">
        <f>IF(Student­­Performance[[#This Row],[Average Score]]&gt;=50,"Pass","Fail")</f>
        <v>Pass</v>
      </c>
      <c r="K66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66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66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663" s="4">
        <f>IF(ISNUMBER(Student­­Performance[[#This Row],[Math Score]]),Student­­Performance[[#This Row],[Math Score]],0)</f>
        <v>60</v>
      </c>
      <c r="O663" s="4">
        <f>IF(ISNUMBER(Student­­Performance[[#This Row],[Reading Score]]),Student­­Performance[[#This Row],[Reading Score]],0)</f>
        <v>63</v>
      </c>
      <c r="P663" s="4">
        <f>IF(ISNUMBER(Student­­Performance[[#This Row],[Writing Score]]),Student­­Performance[[#This Row],[Writing Score]],0)</f>
        <v>59</v>
      </c>
      <c r="Q663" s="4" t="str">
        <f>IF(Student­­Performance[[#This Row],[Math Score]]&gt;=50,"Pass","Fail")</f>
        <v>Pass</v>
      </c>
      <c r="R663" s="4" t="str">
        <f>IF(Student­­Performance[[#This Row],[Reading Score]]&gt;=50,"Pass","Fail")</f>
        <v>Pass</v>
      </c>
      <c r="S663" s="4" t="str">
        <f>IF(Student­­Performance[[#This Row],[Writing Score]]&gt;=50,"Pass","Fail")</f>
        <v>Pass</v>
      </c>
      <c r="T66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182</v>
      </c>
      <c r="U663" s="4" cm="1">
        <f t="array" ref="U663">IF(COUNT(F663:H663)=0,"", MAX(IF(ISNUMBER(F663:H663),F663:H663)) - MIN(IF(ISNUMBER(F663:H663),F663:H663)))</f>
        <v>4</v>
      </c>
      <c r="V663" s="4" t="str">
        <f>IF(U663="","",IF(U663&gt;25,"Outlier","Normal"))</f>
        <v>Normal</v>
      </c>
    </row>
    <row r="664" spans="1:22" x14ac:dyDescent="0.3">
      <c r="A664" s="1" t="s">
        <v>8</v>
      </c>
      <c r="B664" s="1" t="s">
        <v>18</v>
      </c>
      <c r="C664" s="1" t="s">
        <v>88</v>
      </c>
      <c r="D664" s="1" t="s">
        <v>11</v>
      </c>
      <c r="E664" s="1" t="s">
        <v>15</v>
      </c>
      <c r="F664" s="4" t="s">
        <v>90</v>
      </c>
      <c r="G664" s="4">
        <v>90</v>
      </c>
      <c r="H664" s="4">
        <v>92</v>
      </c>
      <c r="I664" s="4">
        <f>AVERAGE(Student­­Performance[[#This Row],[Math Score]],Student­­Performance[[#This Row],[Reading Score]],Student­­Performance[[#This Row],[Writing Score]])</f>
        <v>91</v>
      </c>
      <c r="J664" s="10" t="str">
        <f>IF(Student­­Performance[[#This Row],[Average Score]]&gt;=50,"Pass","Fail")</f>
        <v>Pass</v>
      </c>
      <c r="K664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66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664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664" s="4">
        <f>IF(ISNUMBER(Student­­Performance[[#This Row],[Math Score]]),Student­­Performance[[#This Row],[Math Score]],0)</f>
        <v>0</v>
      </c>
      <c r="O664" s="4">
        <f>IF(ISNUMBER(Student­­Performance[[#This Row],[Reading Score]]),Student­­Performance[[#This Row],[Reading Score]],0)</f>
        <v>90</v>
      </c>
      <c r="P664" s="4">
        <f>IF(ISNUMBER(Student­­Performance[[#This Row],[Writing Score]]),Student­­Performance[[#This Row],[Writing Score]],0)</f>
        <v>92</v>
      </c>
      <c r="Q664" s="4" t="str">
        <f>IF(Student­­Performance[[#This Row],[Math Score]]&gt;=50,"Pass","Fail")</f>
        <v>Pass</v>
      </c>
      <c r="R664" s="4" t="str">
        <f>IF(Student­­Performance[[#This Row],[Reading Score]]&gt;=50,"Pass","Fail")</f>
        <v>Pass</v>
      </c>
      <c r="S664" s="4" t="str">
        <f>IF(Student­­Performance[[#This Row],[Writing Score]]&gt;=50,"Pass","Fail")</f>
        <v>Pass</v>
      </c>
      <c r="T66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182</v>
      </c>
      <c r="U664" s="4" cm="1">
        <f t="array" ref="U664">IF(COUNT(F664:H664)=0,"", MAX(IF(ISNUMBER(F664:H664),F664:H664)) - MIN(IF(ISNUMBER(F664:H664),F664:H664)))</f>
        <v>2</v>
      </c>
      <c r="V664" s="4" t="str">
        <f>IF(U664="","",IF(U664&gt;25,"Outlier","Normal"))</f>
        <v>Normal</v>
      </c>
    </row>
    <row r="665" spans="1:22" x14ac:dyDescent="0.3">
      <c r="A665" s="1" t="s">
        <v>17</v>
      </c>
      <c r="B665" s="1" t="s">
        <v>9</v>
      </c>
      <c r="C665" s="1" t="s">
        <v>84</v>
      </c>
      <c r="D665" s="1" t="s">
        <v>20</v>
      </c>
      <c r="E665" s="1" t="s">
        <v>15</v>
      </c>
      <c r="F665" s="4">
        <v>60</v>
      </c>
      <c r="G665" s="4">
        <v>62</v>
      </c>
      <c r="H665" s="4">
        <v>60</v>
      </c>
      <c r="I665" s="4">
        <f>AVERAGE(Student­­Performance[[#This Row],[Math Score]],Student­­Performance[[#This Row],[Reading Score]],Student­­Performance[[#This Row],[Writing Score]])</f>
        <v>60.666666666666664</v>
      </c>
      <c r="J665" s="10" t="str">
        <f>IF(Student­­Performance[[#This Row],[Average Score]]&gt;=50,"Pass","Fail")</f>
        <v>Pass</v>
      </c>
      <c r="K66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66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66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665" s="4">
        <f>IF(ISNUMBER(Student­­Performance[[#This Row],[Math Score]]),Student­­Performance[[#This Row],[Math Score]],0)</f>
        <v>60</v>
      </c>
      <c r="O665" s="4">
        <f>IF(ISNUMBER(Student­­Performance[[#This Row],[Reading Score]]),Student­­Performance[[#This Row],[Reading Score]],0)</f>
        <v>62</v>
      </c>
      <c r="P665" s="4">
        <f>IF(ISNUMBER(Student­­Performance[[#This Row],[Writing Score]]),Student­­Performance[[#This Row],[Writing Score]],0)</f>
        <v>60</v>
      </c>
      <c r="Q665" s="4" t="str">
        <f>IF(Student­­Performance[[#This Row],[Math Score]]&gt;=50,"Pass","Fail")</f>
        <v>Pass</v>
      </c>
      <c r="R665" s="4" t="str">
        <f>IF(Student­­Performance[[#This Row],[Reading Score]]&gt;=50,"Pass","Fail")</f>
        <v>Pass</v>
      </c>
      <c r="S665" s="4" t="str">
        <f>IF(Student­­Performance[[#This Row],[Writing Score]]&gt;=50,"Pass","Fail")</f>
        <v>Pass</v>
      </c>
      <c r="T66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182</v>
      </c>
      <c r="U665" s="4" cm="1">
        <f t="array" ref="U665">IF(COUNT(F665:H665)=0,"", MAX(IF(ISNUMBER(F665:H665),F665:H665)) - MIN(IF(ISNUMBER(F665:H665),F665:H665)))</f>
        <v>2</v>
      </c>
      <c r="V665" s="4" t="str">
        <f>IF(U665="","",IF(U665&gt;25,"Outlier","Normal"))</f>
        <v>Normal</v>
      </c>
    </row>
    <row r="666" spans="1:22" x14ac:dyDescent="0.3">
      <c r="A666" s="1" t="s">
        <v>17</v>
      </c>
      <c r="B666" s="1" t="s">
        <v>21</v>
      </c>
      <c r="C666" s="1" t="s">
        <v>84</v>
      </c>
      <c r="D666" s="1" t="s">
        <v>11</v>
      </c>
      <c r="E666" s="1" t="s">
        <v>15</v>
      </c>
      <c r="F666" s="4">
        <v>63</v>
      </c>
      <c r="G666" s="4">
        <v>55</v>
      </c>
      <c r="H666" s="4">
        <v>63</v>
      </c>
      <c r="I666" s="4">
        <f>AVERAGE(Student­­Performance[[#This Row],[Math Score]],Student­­Performance[[#This Row],[Reading Score]],Student­­Performance[[#This Row],[Writing Score]])</f>
        <v>60.333333333333336</v>
      </c>
      <c r="J666" s="10" t="str">
        <f>IF(Student­­Performance[[#This Row],[Average Score]]&gt;=50,"Pass","Fail")</f>
        <v>Pass</v>
      </c>
      <c r="K66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-8</v>
      </c>
      <c r="L66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8</v>
      </c>
      <c r="M66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666" s="4">
        <f>IF(ISNUMBER(Student­­Performance[[#This Row],[Math Score]]),Student­­Performance[[#This Row],[Math Score]],0)</f>
        <v>63</v>
      </c>
      <c r="O666" s="4">
        <f>IF(ISNUMBER(Student­­Performance[[#This Row],[Reading Score]]),Student­­Performance[[#This Row],[Reading Score]],0)</f>
        <v>55</v>
      </c>
      <c r="P666" s="4">
        <f>IF(ISNUMBER(Student­­Performance[[#This Row],[Writing Score]]),Student­­Performance[[#This Row],[Writing Score]],0)</f>
        <v>63</v>
      </c>
      <c r="Q666" s="4" t="str">
        <f>IF(Student­­Performance[[#This Row],[Math Score]]&gt;=50,"Pass","Fail")</f>
        <v>Pass</v>
      </c>
      <c r="R666" s="4" t="str">
        <f>IF(Student­­Performance[[#This Row],[Reading Score]]&gt;=50,"Pass","Fail")</f>
        <v>Pass</v>
      </c>
      <c r="S666" s="4" t="str">
        <f>IF(Student­­Performance[[#This Row],[Writing Score]]&gt;=50,"Pass","Fail")</f>
        <v>Pass</v>
      </c>
      <c r="T66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181</v>
      </c>
      <c r="U666" s="4" cm="1">
        <f t="array" ref="U666">IF(COUNT(F666:H666)=0,"", MAX(IF(ISNUMBER(F666:H666),F666:H666)) - MIN(IF(ISNUMBER(F666:H666),F666:H666)))</f>
        <v>8</v>
      </c>
      <c r="V666" s="4" t="str">
        <f>IF(U666="","",IF(U666&gt;25,"Outlier","Normal"))</f>
        <v>Normal</v>
      </c>
    </row>
    <row r="667" spans="1:22" x14ac:dyDescent="0.3">
      <c r="A667" s="1" t="s">
        <v>17</v>
      </c>
      <c r="B667" s="1" t="s">
        <v>26</v>
      </c>
      <c r="C667" s="1" t="s">
        <v>87</v>
      </c>
      <c r="D667" s="1" t="s">
        <v>11</v>
      </c>
      <c r="E667" s="1" t="s">
        <v>12</v>
      </c>
      <c r="F667" s="4">
        <v>70</v>
      </c>
      <c r="G667" s="4">
        <v>55</v>
      </c>
      <c r="H667" s="4">
        <v>56</v>
      </c>
      <c r="I667" s="4">
        <f>AVERAGE(Student­­Performance[[#This Row],[Math Score]],Student­­Performance[[#This Row],[Reading Score]],Student­­Performance[[#This Row],[Writing Score]])</f>
        <v>60.333333333333336</v>
      </c>
      <c r="J667" s="10" t="str">
        <f>IF(Student­­Performance[[#This Row],[Average Score]]&gt;=50,"Pass","Fail")</f>
        <v>Pass</v>
      </c>
      <c r="K66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-15</v>
      </c>
      <c r="L66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66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-14</v>
      </c>
      <c r="N667" s="4">
        <f>IF(ISNUMBER(Student­­Performance[[#This Row],[Math Score]]),Student­­Performance[[#This Row],[Math Score]],0)</f>
        <v>70</v>
      </c>
      <c r="O667" s="4">
        <f>IF(ISNUMBER(Student­­Performance[[#This Row],[Reading Score]]),Student­­Performance[[#This Row],[Reading Score]],0)</f>
        <v>55</v>
      </c>
      <c r="P667" s="4">
        <f>IF(ISNUMBER(Student­­Performance[[#This Row],[Writing Score]]),Student­­Performance[[#This Row],[Writing Score]],0)</f>
        <v>56</v>
      </c>
      <c r="Q667" s="4" t="str">
        <f>IF(Student­­Performance[[#This Row],[Math Score]]&gt;=50,"Pass","Fail")</f>
        <v>Pass</v>
      </c>
      <c r="R667" s="4" t="str">
        <f>IF(Student­­Performance[[#This Row],[Reading Score]]&gt;=50,"Pass","Fail")</f>
        <v>Pass</v>
      </c>
      <c r="S667" s="4" t="str">
        <f>IF(Student­­Performance[[#This Row],[Writing Score]]&gt;=50,"Pass","Fail")</f>
        <v>Pass</v>
      </c>
      <c r="T66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181</v>
      </c>
      <c r="U667" s="4" cm="1">
        <f t="array" ref="U667">IF(COUNT(F667:H667)=0,"", MAX(IF(ISNUMBER(F667:H667),F667:H667)) - MIN(IF(ISNUMBER(F667:H667),F667:H667)))</f>
        <v>15</v>
      </c>
      <c r="V667" s="4" t="str">
        <f>IF(U667="","",IF(U667&gt;25,"Outlier","Normal"))</f>
        <v>Normal</v>
      </c>
    </row>
    <row r="668" spans="1:22" x14ac:dyDescent="0.3">
      <c r="A668" s="1" t="s">
        <v>17</v>
      </c>
      <c r="B668" s="1" t="s">
        <v>13</v>
      </c>
      <c r="C668" s="1" t="s">
        <v>87</v>
      </c>
      <c r="D668" s="1" t="s">
        <v>11</v>
      </c>
      <c r="E668" s="1" t="s">
        <v>12</v>
      </c>
      <c r="F668" s="4">
        <v>68</v>
      </c>
      <c r="G668" s="4">
        <v>60</v>
      </c>
      <c r="H668" s="4">
        <v>53</v>
      </c>
      <c r="I668" s="4">
        <f>AVERAGE(Student­­Performance[[#This Row],[Math Score]],Student­­Performance[[#This Row],[Reading Score]],Student­­Performance[[#This Row],[Writing Score]])</f>
        <v>60.333333333333336</v>
      </c>
      <c r="J668" s="10" t="str">
        <f>IF(Student­­Performance[[#This Row],[Average Score]]&gt;=50,"Pass","Fail")</f>
        <v>Pass</v>
      </c>
      <c r="K66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-8</v>
      </c>
      <c r="L66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66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-15</v>
      </c>
      <c r="N668" s="4">
        <f>IF(ISNUMBER(Student­­Performance[[#This Row],[Math Score]]),Student­­Performance[[#This Row],[Math Score]],0)</f>
        <v>68</v>
      </c>
      <c r="O668" s="4">
        <f>IF(ISNUMBER(Student­­Performance[[#This Row],[Reading Score]]),Student­­Performance[[#This Row],[Reading Score]],0)</f>
        <v>60</v>
      </c>
      <c r="P668" s="4">
        <f>IF(ISNUMBER(Student­­Performance[[#This Row],[Writing Score]]),Student­­Performance[[#This Row],[Writing Score]],0)</f>
        <v>53</v>
      </c>
      <c r="Q668" s="4" t="str">
        <f>IF(Student­­Performance[[#This Row],[Math Score]]&gt;=50,"Pass","Fail")</f>
        <v>Pass</v>
      </c>
      <c r="R668" s="4" t="str">
        <f>IF(Student­­Performance[[#This Row],[Reading Score]]&gt;=50,"Pass","Fail")</f>
        <v>Pass</v>
      </c>
      <c r="S668" s="4" t="str">
        <f>IF(Student­­Performance[[#This Row],[Writing Score]]&gt;=50,"Pass","Fail")</f>
        <v>Pass</v>
      </c>
      <c r="T66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181</v>
      </c>
      <c r="U668" s="4" cm="1">
        <f t="array" ref="U668">IF(COUNT(F668:H668)=0,"", MAX(IF(ISNUMBER(F668:H668),F668:H668)) - MIN(IF(ISNUMBER(F668:H668),F668:H668)))</f>
        <v>15</v>
      </c>
      <c r="V668" s="4" t="str">
        <f>IF(U668="","",IF(U668&gt;25,"Outlier","Normal"))</f>
        <v>Normal</v>
      </c>
    </row>
    <row r="669" spans="1:22" x14ac:dyDescent="0.3">
      <c r="A669" s="1" t="s">
        <v>17</v>
      </c>
      <c r="B669" s="1" t="s">
        <v>9</v>
      </c>
      <c r="C669" s="1" t="s">
        <v>83</v>
      </c>
      <c r="D669" s="1" t="s">
        <v>20</v>
      </c>
      <c r="E669" s="1" t="s">
        <v>12</v>
      </c>
      <c r="F669" s="4">
        <v>62</v>
      </c>
      <c r="G669" s="4">
        <v>63</v>
      </c>
      <c r="H669" s="4">
        <v>56</v>
      </c>
      <c r="I669" s="4">
        <f>AVERAGE(Student­­Performance[[#This Row],[Math Score]],Student­­Performance[[#This Row],[Reading Score]],Student­­Performance[[#This Row],[Writing Score]])</f>
        <v>60.333333333333336</v>
      </c>
      <c r="J669" s="10" t="str">
        <f>IF(Student­­Performance[[#This Row],[Average Score]]&gt;=50,"Pass","Fail")</f>
        <v>Pass</v>
      </c>
      <c r="K66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66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66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669" s="4">
        <f>IF(ISNUMBER(Student­­Performance[[#This Row],[Math Score]]),Student­­Performance[[#This Row],[Math Score]],0)</f>
        <v>62</v>
      </c>
      <c r="O669" s="4">
        <f>IF(ISNUMBER(Student­­Performance[[#This Row],[Reading Score]]),Student­­Performance[[#This Row],[Reading Score]],0)</f>
        <v>63</v>
      </c>
      <c r="P669" s="4">
        <f>IF(ISNUMBER(Student­­Performance[[#This Row],[Writing Score]]),Student­­Performance[[#This Row],[Writing Score]],0)</f>
        <v>56</v>
      </c>
      <c r="Q669" s="4" t="str">
        <f>IF(Student­­Performance[[#This Row],[Math Score]]&gt;=50,"Pass","Fail")</f>
        <v>Pass</v>
      </c>
      <c r="R669" s="4" t="str">
        <f>IF(Student­­Performance[[#This Row],[Reading Score]]&gt;=50,"Pass","Fail")</f>
        <v>Pass</v>
      </c>
      <c r="S669" s="4" t="str">
        <f>IF(Student­­Performance[[#This Row],[Writing Score]]&gt;=50,"Pass","Fail")</f>
        <v>Pass</v>
      </c>
      <c r="T66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181</v>
      </c>
      <c r="U669" s="4" cm="1">
        <f t="array" ref="U669">IF(COUNT(F669:H669)=0,"", MAX(IF(ISNUMBER(F669:H669),F669:H669)) - MIN(IF(ISNUMBER(F669:H669),F669:H669)))</f>
        <v>7</v>
      </c>
      <c r="V669" s="4" t="str">
        <f>IF(U669="","",IF(U669&gt;25,"Outlier","Normal"))</f>
        <v>Normal</v>
      </c>
    </row>
    <row r="670" spans="1:22" x14ac:dyDescent="0.3">
      <c r="A670" s="1" t="s">
        <v>8</v>
      </c>
      <c r="B670" s="1" t="s">
        <v>26</v>
      </c>
      <c r="C670" s="1" t="s">
        <v>83</v>
      </c>
      <c r="D670" s="1" t="s">
        <v>20</v>
      </c>
      <c r="E670" s="1" t="s">
        <v>12</v>
      </c>
      <c r="F670" s="4">
        <v>61</v>
      </c>
      <c r="G670" s="4">
        <v>58</v>
      </c>
      <c r="H670" s="4">
        <v>62</v>
      </c>
      <c r="I670" s="4">
        <f>AVERAGE(Student­­Performance[[#This Row],[Math Score]],Student­­Performance[[#This Row],[Reading Score]],Student­­Performance[[#This Row],[Writing Score]])</f>
        <v>60.333333333333336</v>
      </c>
      <c r="J670" s="10" t="str">
        <f>IF(Student­­Performance[[#This Row],[Average Score]]&gt;=50,"Pass","Fail")</f>
        <v>Pass</v>
      </c>
      <c r="K67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67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67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670" s="4">
        <f>IF(ISNUMBER(Student­­Performance[[#This Row],[Math Score]]),Student­­Performance[[#This Row],[Math Score]],0)</f>
        <v>61</v>
      </c>
      <c r="O670" s="4">
        <f>IF(ISNUMBER(Student­­Performance[[#This Row],[Reading Score]]),Student­­Performance[[#This Row],[Reading Score]],0)</f>
        <v>58</v>
      </c>
      <c r="P670" s="4">
        <f>IF(ISNUMBER(Student­­Performance[[#This Row],[Writing Score]]),Student­­Performance[[#This Row],[Writing Score]],0)</f>
        <v>62</v>
      </c>
      <c r="Q670" s="4" t="str">
        <f>IF(Student­­Performance[[#This Row],[Math Score]]&gt;=50,"Pass","Fail")</f>
        <v>Pass</v>
      </c>
      <c r="R670" s="4" t="str">
        <f>IF(Student­­Performance[[#This Row],[Reading Score]]&gt;=50,"Pass","Fail")</f>
        <v>Pass</v>
      </c>
      <c r="S670" s="4" t="str">
        <f>IF(Student­­Performance[[#This Row],[Writing Score]]&gt;=50,"Pass","Fail")</f>
        <v>Pass</v>
      </c>
      <c r="T67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181</v>
      </c>
      <c r="U670" s="4" cm="1">
        <f t="array" ref="U670">IF(COUNT(F670:H670)=0,"", MAX(IF(ISNUMBER(F670:H670),F670:H670)) - MIN(IF(ISNUMBER(F670:H670),F670:H670)))</f>
        <v>4</v>
      </c>
      <c r="V670" s="4" t="str">
        <f>IF(U670="","",IF(U670&gt;25,"Outlier","Normal"))</f>
        <v>Normal</v>
      </c>
    </row>
    <row r="671" spans="1:22" x14ac:dyDescent="0.3">
      <c r="A671" s="1" t="s">
        <v>17</v>
      </c>
      <c r="B671" s="1" t="s">
        <v>13</v>
      </c>
      <c r="C671" s="1" t="s">
        <v>88</v>
      </c>
      <c r="D671" s="1" t="s">
        <v>11</v>
      </c>
      <c r="E671" s="1" t="s">
        <v>12</v>
      </c>
      <c r="F671" s="4">
        <v>62</v>
      </c>
      <c r="G671" s="4">
        <v>64</v>
      </c>
      <c r="H671" s="4">
        <v>55</v>
      </c>
      <c r="I671" s="4">
        <f>AVERAGE(Student­­Performance[[#This Row],[Math Score]],Student­­Performance[[#This Row],[Reading Score]],Student­­Performance[[#This Row],[Writing Score]])</f>
        <v>60.333333333333336</v>
      </c>
      <c r="J671" s="10" t="str">
        <f>IF(Student­­Performance[[#This Row],[Average Score]]&gt;=50,"Pass","Fail")</f>
        <v>Pass</v>
      </c>
      <c r="K67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67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-9</v>
      </c>
      <c r="M67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671" s="4">
        <f>IF(ISNUMBER(Student­­Performance[[#This Row],[Math Score]]),Student­­Performance[[#This Row],[Math Score]],0)</f>
        <v>62</v>
      </c>
      <c r="O671" s="4">
        <f>IF(ISNUMBER(Student­­Performance[[#This Row],[Reading Score]]),Student­­Performance[[#This Row],[Reading Score]],0)</f>
        <v>64</v>
      </c>
      <c r="P671" s="4">
        <f>IF(ISNUMBER(Student­­Performance[[#This Row],[Writing Score]]),Student­­Performance[[#This Row],[Writing Score]],0)</f>
        <v>55</v>
      </c>
      <c r="Q671" s="4" t="str">
        <f>IF(Student­­Performance[[#This Row],[Math Score]]&gt;=50,"Pass","Fail")</f>
        <v>Pass</v>
      </c>
      <c r="R671" s="4" t="str">
        <f>IF(Student­­Performance[[#This Row],[Reading Score]]&gt;=50,"Pass","Fail")</f>
        <v>Pass</v>
      </c>
      <c r="S671" s="4" t="str">
        <f>IF(Student­­Performance[[#This Row],[Writing Score]]&gt;=50,"Pass","Fail")</f>
        <v>Pass</v>
      </c>
      <c r="T67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181</v>
      </c>
      <c r="U671" s="4" cm="1">
        <f t="array" ref="U671">IF(COUNT(F671:H671)=0,"", MAX(IF(ISNUMBER(F671:H671),F671:H671)) - MIN(IF(ISNUMBER(F671:H671),F671:H671)))</f>
        <v>9</v>
      </c>
      <c r="V671" s="4" t="str">
        <f>IF(U671="","",IF(U671&gt;25,"Outlier","Normal"))</f>
        <v>Normal</v>
      </c>
    </row>
    <row r="672" spans="1:22" x14ac:dyDescent="0.3">
      <c r="A672" s="1" t="s">
        <v>17</v>
      </c>
      <c r="B672" s="1" t="s">
        <v>21</v>
      </c>
      <c r="C672" s="1" t="s">
        <v>84</v>
      </c>
      <c r="D672" s="1" t="s">
        <v>20</v>
      </c>
      <c r="E672" s="1" t="s">
        <v>12</v>
      </c>
      <c r="F672" s="4">
        <v>62</v>
      </c>
      <c r="G672" s="4">
        <v>57</v>
      </c>
      <c r="H672" s="4">
        <v>62</v>
      </c>
      <c r="I672" s="4">
        <f>AVERAGE(Student­­Performance[[#This Row],[Math Score]],Student­­Performance[[#This Row],[Reading Score]],Student­­Performance[[#This Row],[Writing Score]])</f>
        <v>60.333333333333336</v>
      </c>
      <c r="J672" s="10" t="str">
        <f>IF(Student­­Performance[[#This Row],[Average Score]]&gt;=50,"Pass","Fail")</f>
        <v>Pass</v>
      </c>
      <c r="K67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67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67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672" s="4">
        <f>IF(ISNUMBER(Student­­Performance[[#This Row],[Math Score]]),Student­­Performance[[#This Row],[Math Score]],0)</f>
        <v>62</v>
      </c>
      <c r="O672" s="4">
        <f>IF(ISNUMBER(Student­­Performance[[#This Row],[Reading Score]]),Student­­Performance[[#This Row],[Reading Score]],0)</f>
        <v>57</v>
      </c>
      <c r="P672" s="4">
        <f>IF(ISNUMBER(Student­­Performance[[#This Row],[Writing Score]]),Student­­Performance[[#This Row],[Writing Score]],0)</f>
        <v>62</v>
      </c>
      <c r="Q672" s="4" t="str">
        <f>IF(Student­­Performance[[#This Row],[Math Score]]&gt;=50,"Pass","Fail")</f>
        <v>Pass</v>
      </c>
      <c r="R672" s="4" t="str">
        <f>IF(Student­­Performance[[#This Row],[Reading Score]]&gt;=50,"Pass","Fail")</f>
        <v>Pass</v>
      </c>
      <c r="S672" s="4" t="str">
        <f>IF(Student­­Performance[[#This Row],[Writing Score]]&gt;=50,"Pass","Fail")</f>
        <v>Pass</v>
      </c>
      <c r="T67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181</v>
      </c>
      <c r="U672" s="4" cm="1">
        <f t="array" ref="U672">IF(COUNT(F672:H672)=0,"", MAX(IF(ISNUMBER(F672:H672),F672:H672)) - MIN(IF(ISNUMBER(F672:H672),F672:H672)))</f>
        <v>5</v>
      </c>
      <c r="V672" s="4" t="str">
        <f>IF(U672="","",IF(U672&gt;25,"Outlier","Normal"))</f>
        <v>Normal</v>
      </c>
    </row>
    <row r="673" spans="1:22" x14ac:dyDescent="0.3">
      <c r="A673" s="1" t="s">
        <v>17</v>
      </c>
      <c r="B673" s="1" t="s">
        <v>9</v>
      </c>
      <c r="C673" s="1" t="s">
        <v>84</v>
      </c>
      <c r="D673" s="1" t="s">
        <v>20</v>
      </c>
      <c r="E673" s="1" t="s">
        <v>12</v>
      </c>
      <c r="F673" s="4">
        <v>60</v>
      </c>
      <c r="G673" s="4">
        <v>60</v>
      </c>
      <c r="H673" s="4">
        <v>60</v>
      </c>
      <c r="I673" s="4">
        <f>AVERAGE(Student­­Performance[[#This Row],[Math Score]],Student­­Performance[[#This Row],[Reading Score]],Student­­Performance[[#This Row],[Writing Score]])</f>
        <v>60</v>
      </c>
      <c r="J673" s="10" t="str">
        <f>IF(Student­­Performance[[#This Row],[Average Score]]&gt;=50,"Pass","Fail")</f>
        <v>Pass</v>
      </c>
      <c r="K67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67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67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673" s="4">
        <f>IF(ISNUMBER(Student­­Performance[[#This Row],[Math Score]]),Student­­Performance[[#This Row],[Math Score]],0)</f>
        <v>60</v>
      </c>
      <c r="O673" s="4">
        <f>IF(ISNUMBER(Student­­Performance[[#This Row],[Reading Score]]),Student­­Performance[[#This Row],[Reading Score]],0)</f>
        <v>60</v>
      </c>
      <c r="P673" s="4">
        <f>IF(ISNUMBER(Student­­Performance[[#This Row],[Writing Score]]),Student­­Performance[[#This Row],[Writing Score]],0)</f>
        <v>60</v>
      </c>
      <c r="Q673" s="4" t="str">
        <f>IF(Student­­Performance[[#This Row],[Math Score]]&gt;=50,"Pass","Fail")</f>
        <v>Pass</v>
      </c>
      <c r="R673" s="4" t="str">
        <f>IF(Student­­Performance[[#This Row],[Reading Score]]&gt;=50,"Pass","Fail")</f>
        <v>Pass</v>
      </c>
      <c r="S673" s="4" t="str">
        <f>IF(Student­­Performance[[#This Row],[Writing Score]]&gt;=50,"Pass","Fail")</f>
        <v>Pass</v>
      </c>
      <c r="T67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180</v>
      </c>
      <c r="U673" s="4" cm="1">
        <f t="array" ref="U673">IF(COUNT(F673:H673)=0,"", MAX(IF(ISNUMBER(F673:H673),F673:H673)) - MIN(IF(ISNUMBER(F673:H673),F673:H673)))</f>
        <v>0</v>
      </c>
      <c r="V673" s="4" t="str">
        <f>IF(U673="","",IF(U673&gt;25,"Outlier","Normal"))</f>
        <v>Normal</v>
      </c>
    </row>
    <row r="674" spans="1:22" x14ac:dyDescent="0.3">
      <c r="A674" s="1" t="s">
        <v>17</v>
      </c>
      <c r="B674" s="1" t="s">
        <v>13</v>
      </c>
      <c r="C674" s="1" t="s">
        <v>88</v>
      </c>
      <c r="D674" s="1" t="s">
        <v>11</v>
      </c>
      <c r="E674" s="1" t="s">
        <v>15</v>
      </c>
      <c r="F674" s="4">
        <v>63</v>
      </c>
      <c r="G674" s="4">
        <v>60</v>
      </c>
      <c r="H674" s="4">
        <v>57</v>
      </c>
      <c r="I674" s="4">
        <f>AVERAGE(Student­­Performance[[#This Row],[Math Score]],Student­­Performance[[#This Row],[Reading Score]],Student­­Performance[[#This Row],[Writing Score]])</f>
        <v>60</v>
      </c>
      <c r="J674" s="10" t="str">
        <f>IF(Student­­Performance[[#This Row],[Average Score]]&gt;=50,"Pass","Fail")</f>
        <v>Pass</v>
      </c>
      <c r="K67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67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67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674" s="4">
        <f>IF(ISNUMBER(Student­­Performance[[#This Row],[Math Score]]),Student­­Performance[[#This Row],[Math Score]],0)</f>
        <v>63</v>
      </c>
      <c r="O674" s="4">
        <f>IF(ISNUMBER(Student­­Performance[[#This Row],[Reading Score]]),Student­­Performance[[#This Row],[Reading Score]],0)</f>
        <v>60</v>
      </c>
      <c r="P674" s="4">
        <f>IF(ISNUMBER(Student­­Performance[[#This Row],[Writing Score]]),Student­­Performance[[#This Row],[Writing Score]],0)</f>
        <v>57</v>
      </c>
      <c r="Q674" s="4" t="str">
        <f>IF(Student­­Performance[[#This Row],[Math Score]]&gt;=50,"Pass","Fail")</f>
        <v>Pass</v>
      </c>
      <c r="R674" s="4" t="str">
        <f>IF(Student­­Performance[[#This Row],[Reading Score]]&gt;=50,"Pass","Fail")</f>
        <v>Pass</v>
      </c>
      <c r="S674" s="4" t="str">
        <f>IF(Student­­Performance[[#This Row],[Writing Score]]&gt;=50,"Pass","Fail")</f>
        <v>Pass</v>
      </c>
      <c r="T67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180</v>
      </c>
      <c r="U674" s="4" cm="1">
        <f t="array" ref="U674">IF(COUNT(F674:H674)=0,"", MAX(IF(ISNUMBER(F674:H674),F674:H674)) - MIN(IF(ISNUMBER(F674:H674),F674:H674)))</f>
        <v>6</v>
      </c>
      <c r="V674" s="4" t="str">
        <f>IF(U674="","",IF(U674&gt;25,"Outlier","Normal"))</f>
        <v>Normal</v>
      </c>
    </row>
    <row r="675" spans="1:22" x14ac:dyDescent="0.3">
      <c r="A675" s="1" t="s">
        <v>17</v>
      </c>
      <c r="B675" s="1" t="s">
        <v>9</v>
      </c>
      <c r="C675" s="1" t="s">
        <v>84</v>
      </c>
      <c r="D675" s="1" t="s">
        <v>11</v>
      </c>
      <c r="E675" s="1" t="s">
        <v>12</v>
      </c>
      <c r="F675" s="4">
        <v>62</v>
      </c>
      <c r="G675" s="4">
        <v>61</v>
      </c>
      <c r="H675" s="4">
        <v>57</v>
      </c>
      <c r="I675" s="4">
        <f>AVERAGE(Student­­Performance[[#This Row],[Math Score]],Student­­Performance[[#This Row],[Reading Score]],Student­­Performance[[#This Row],[Writing Score]])</f>
        <v>60</v>
      </c>
      <c r="J675" s="10" t="str">
        <f>IF(Student­­Performance[[#This Row],[Average Score]]&gt;=50,"Pass","Fail")</f>
        <v>Pass</v>
      </c>
      <c r="K67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67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67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-5</v>
      </c>
      <c r="N675" s="4">
        <f>IF(ISNUMBER(Student­­Performance[[#This Row],[Math Score]]),Student­­Performance[[#This Row],[Math Score]],0)</f>
        <v>62</v>
      </c>
      <c r="O675" s="4">
        <f>IF(ISNUMBER(Student­­Performance[[#This Row],[Reading Score]]),Student­­Performance[[#This Row],[Reading Score]],0)</f>
        <v>61</v>
      </c>
      <c r="P675" s="4">
        <f>IF(ISNUMBER(Student­­Performance[[#This Row],[Writing Score]]),Student­­Performance[[#This Row],[Writing Score]],0)</f>
        <v>57</v>
      </c>
      <c r="Q675" s="4" t="str">
        <f>IF(Student­­Performance[[#This Row],[Math Score]]&gt;=50,"Pass","Fail")</f>
        <v>Pass</v>
      </c>
      <c r="R675" s="4" t="str">
        <f>IF(Student­­Performance[[#This Row],[Reading Score]]&gt;=50,"Pass","Fail")</f>
        <v>Pass</v>
      </c>
      <c r="S675" s="4" t="str">
        <f>IF(Student­­Performance[[#This Row],[Writing Score]]&gt;=50,"Pass","Fail")</f>
        <v>Pass</v>
      </c>
      <c r="T67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180</v>
      </c>
      <c r="U675" s="4" cm="1">
        <f t="array" ref="U675">IF(COUNT(F675:H675)=0,"", MAX(IF(ISNUMBER(F675:H675),F675:H675)) - MIN(IF(ISNUMBER(F675:H675),F675:H675)))</f>
        <v>5</v>
      </c>
      <c r="V675" s="4" t="str">
        <f>IF(U675="","",IF(U675&gt;25,"Outlier","Normal"))</f>
        <v>Normal</v>
      </c>
    </row>
    <row r="676" spans="1:22" x14ac:dyDescent="0.3">
      <c r="A676" s="1" t="s">
        <v>17</v>
      </c>
      <c r="B676" s="1" t="s">
        <v>13</v>
      </c>
      <c r="C676" s="1" t="s">
        <v>87</v>
      </c>
      <c r="D676" s="1" t="s">
        <v>11</v>
      </c>
      <c r="E676" s="1" t="s">
        <v>15</v>
      </c>
      <c r="F676" s="4">
        <v>69</v>
      </c>
      <c r="G676" s="4">
        <v>58</v>
      </c>
      <c r="H676" s="4">
        <v>53</v>
      </c>
      <c r="I676" s="4">
        <f>AVERAGE(Student­­Performance[[#This Row],[Math Score]],Student­­Performance[[#This Row],[Reading Score]],Student­­Performance[[#This Row],[Writing Score]])</f>
        <v>60</v>
      </c>
      <c r="J676" s="10" t="str">
        <f>IF(Student­­Performance[[#This Row],[Average Score]]&gt;=50,"Pass","Fail")</f>
        <v>Pass</v>
      </c>
      <c r="K67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-11</v>
      </c>
      <c r="L67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67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-16</v>
      </c>
      <c r="N676" s="4">
        <f>IF(ISNUMBER(Student­­Performance[[#This Row],[Math Score]]),Student­­Performance[[#This Row],[Math Score]],0)</f>
        <v>69</v>
      </c>
      <c r="O676" s="4">
        <f>IF(ISNUMBER(Student­­Performance[[#This Row],[Reading Score]]),Student­­Performance[[#This Row],[Reading Score]],0)</f>
        <v>58</v>
      </c>
      <c r="P676" s="4">
        <f>IF(ISNUMBER(Student­­Performance[[#This Row],[Writing Score]]),Student­­Performance[[#This Row],[Writing Score]],0)</f>
        <v>53</v>
      </c>
      <c r="Q676" s="4" t="str">
        <f>IF(Student­­Performance[[#This Row],[Math Score]]&gt;=50,"Pass","Fail")</f>
        <v>Pass</v>
      </c>
      <c r="R676" s="4" t="str">
        <f>IF(Student­­Performance[[#This Row],[Reading Score]]&gt;=50,"Pass","Fail")</f>
        <v>Pass</v>
      </c>
      <c r="S676" s="4" t="str">
        <f>IF(Student­­Performance[[#This Row],[Writing Score]]&gt;=50,"Pass","Fail")</f>
        <v>Pass</v>
      </c>
      <c r="T67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180</v>
      </c>
      <c r="U676" s="4" cm="1">
        <f t="array" ref="U676">IF(COUNT(F676:H676)=0,"", MAX(IF(ISNUMBER(F676:H676),F676:H676)) - MIN(IF(ISNUMBER(F676:H676),F676:H676)))</f>
        <v>16</v>
      </c>
      <c r="V676" s="4" t="str">
        <f>IF(U676="","",IF(U676&gt;25,"Outlier","Normal"))</f>
        <v>Normal</v>
      </c>
    </row>
    <row r="677" spans="1:22" x14ac:dyDescent="0.3">
      <c r="A677" s="1" t="s">
        <v>8</v>
      </c>
      <c r="B677" s="1" t="s">
        <v>21</v>
      </c>
      <c r="C677" s="1" t="s">
        <v>85</v>
      </c>
      <c r="D677" s="1" t="s">
        <v>20</v>
      </c>
      <c r="E677" s="1" t="s">
        <v>15</v>
      </c>
      <c r="F677" s="4">
        <v>85</v>
      </c>
      <c r="G677" s="4">
        <v>95</v>
      </c>
      <c r="H677" s="4" t="s">
        <v>90</v>
      </c>
      <c r="I677" s="4">
        <f>AVERAGE(Student­­Performance[[#This Row],[Math Score]],Student­­Performance[[#This Row],[Reading Score]],Student­­Performance[[#This Row],[Writing Score]])</f>
        <v>90</v>
      </c>
      <c r="J677" s="10" t="str">
        <f>IF(Student­­Performance[[#This Row],[Average Score]]&gt;=50,"Pass","Fail")</f>
        <v>Pass</v>
      </c>
      <c r="K67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677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677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677" s="4">
        <f>IF(ISNUMBER(Student­­Performance[[#This Row],[Math Score]]),Student­­Performance[[#This Row],[Math Score]],0)</f>
        <v>85</v>
      </c>
      <c r="O677" s="4">
        <f>IF(ISNUMBER(Student­­Performance[[#This Row],[Reading Score]]),Student­­Performance[[#This Row],[Reading Score]],0)</f>
        <v>95</v>
      </c>
      <c r="P677" s="4">
        <f>IF(ISNUMBER(Student­­Performance[[#This Row],[Writing Score]]),Student­­Performance[[#This Row],[Writing Score]],0)</f>
        <v>0</v>
      </c>
      <c r="Q677" s="4" t="str">
        <f>IF(Student­­Performance[[#This Row],[Math Score]]&gt;=50,"Pass","Fail")</f>
        <v>Pass</v>
      </c>
      <c r="R677" s="4" t="str">
        <f>IF(Student­­Performance[[#This Row],[Reading Score]]&gt;=50,"Pass","Fail")</f>
        <v>Pass</v>
      </c>
      <c r="S677" s="4" t="str">
        <f>IF(Student­­Performance[[#This Row],[Writing Score]]&gt;=50,"Pass","Fail")</f>
        <v>Pass</v>
      </c>
      <c r="T67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180</v>
      </c>
      <c r="U677" s="4" cm="1">
        <f t="array" ref="U677">IF(COUNT(F677:H677)=0,"", MAX(IF(ISNUMBER(F677:H677),F677:H677)) - MIN(IF(ISNUMBER(F677:H677),F677:H677)))</f>
        <v>10</v>
      </c>
      <c r="V677" s="4" t="str">
        <f>IF(U677="","",IF(U677&gt;25,"Outlier","Normal"))</f>
        <v>Normal</v>
      </c>
    </row>
    <row r="678" spans="1:22" x14ac:dyDescent="0.3">
      <c r="A678" s="1" t="s">
        <v>8</v>
      </c>
      <c r="B678" s="1" t="s">
        <v>9</v>
      </c>
      <c r="C678" s="1" t="s">
        <v>87</v>
      </c>
      <c r="D678" s="1" t="s">
        <v>20</v>
      </c>
      <c r="E678" s="1" t="s">
        <v>12</v>
      </c>
      <c r="F678" s="4">
        <v>50</v>
      </c>
      <c r="G678" s="4">
        <v>67</v>
      </c>
      <c r="H678" s="4">
        <v>63</v>
      </c>
      <c r="I678" s="4">
        <f>AVERAGE(Student­­Performance[[#This Row],[Math Score]],Student­­Performance[[#This Row],[Reading Score]],Student­­Performance[[#This Row],[Writing Score]])</f>
        <v>60</v>
      </c>
      <c r="J678" s="10" t="str">
        <f>IF(Student­­Performance[[#This Row],[Average Score]]&gt;=50,"Pass","Fail")</f>
        <v>Pass</v>
      </c>
      <c r="K67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17</v>
      </c>
      <c r="L67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67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13</v>
      </c>
      <c r="N678" s="4">
        <f>IF(ISNUMBER(Student­­Performance[[#This Row],[Math Score]]),Student­­Performance[[#This Row],[Math Score]],0)</f>
        <v>50</v>
      </c>
      <c r="O678" s="4">
        <f>IF(ISNUMBER(Student­­Performance[[#This Row],[Reading Score]]),Student­­Performance[[#This Row],[Reading Score]],0)</f>
        <v>67</v>
      </c>
      <c r="P678" s="4">
        <f>IF(ISNUMBER(Student­­Performance[[#This Row],[Writing Score]]),Student­­Performance[[#This Row],[Writing Score]],0)</f>
        <v>63</v>
      </c>
      <c r="Q678" s="4" t="str">
        <f>IF(Student­­Performance[[#This Row],[Math Score]]&gt;=50,"Pass","Fail")</f>
        <v>Pass</v>
      </c>
      <c r="R678" s="4" t="str">
        <f>IF(Student­­Performance[[#This Row],[Reading Score]]&gt;=50,"Pass","Fail")</f>
        <v>Pass</v>
      </c>
      <c r="S678" s="4" t="str">
        <f>IF(Student­­Performance[[#This Row],[Writing Score]]&gt;=50,"Pass","Fail")</f>
        <v>Pass</v>
      </c>
      <c r="T67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180</v>
      </c>
      <c r="U678" s="4" cm="1">
        <f t="array" ref="U678">IF(COUNT(F678:H678)=0,"", MAX(IF(ISNUMBER(F678:H678),F678:H678)) - MIN(IF(ISNUMBER(F678:H678),F678:H678)))</f>
        <v>17</v>
      </c>
      <c r="V678" s="4" t="str">
        <f>IF(U678="","",IF(U678&gt;25,"Outlier","Normal"))</f>
        <v>Normal</v>
      </c>
    </row>
    <row r="679" spans="1:22" x14ac:dyDescent="0.3">
      <c r="A679" s="1" t="s">
        <v>8</v>
      </c>
      <c r="B679" s="1" t="s">
        <v>13</v>
      </c>
      <c r="C679" s="1" t="s">
        <v>88</v>
      </c>
      <c r="D679" s="1" t="s">
        <v>11</v>
      </c>
      <c r="E679" s="1" t="s">
        <v>15</v>
      </c>
      <c r="F679" s="4">
        <v>59</v>
      </c>
      <c r="G679" s="4">
        <v>54</v>
      </c>
      <c r="H679" s="4">
        <v>67</v>
      </c>
      <c r="I679" s="4">
        <f>AVERAGE(Student­­Performance[[#This Row],[Math Score]],Student­­Performance[[#This Row],[Reading Score]],Student­­Performance[[#This Row],[Writing Score]])</f>
        <v>60</v>
      </c>
      <c r="J679" s="10" t="str">
        <f>IF(Student­­Performance[[#This Row],[Average Score]]&gt;=50,"Pass","Fail")</f>
        <v>Pass</v>
      </c>
      <c r="K67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67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13</v>
      </c>
      <c r="M67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679" s="4">
        <f>IF(ISNUMBER(Student­­Performance[[#This Row],[Math Score]]),Student­­Performance[[#This Row],[Math Score]],0)</f>
        <v>59</v>
      </c>
      <c r="O679" s="4">
        <f>IF(ISNUMBER(Student­­Performance[[#This Row],[Reading Score]]),Student­­Performance[[#This Row],[Reading Score]],0)</f>
        <v>54</v>
      </c>
      <c r="P679" s="4">
        <f>IF(ISNUMBER(Student­­Performance[[#This Row],[Writing Score]]),Student­­Performance[[#This Row],[Writing Score]],0)</f>
        <v>67</v>
      </c>
      <c r="Q679" s="4" t="str">
        <f>IF(Student­­Performance[[#This Row],[Math Score]]&gt;=50,"Pass","Fail")</f>
        <v>Pass</v>
      </c>
      <c r="R679" s="4" t="str">
        <f>IF(Student­­Performance[[#This Row],[Reading Score]]&gt;=50,"Pass","Fail")</f>
        <v>Pass</v>
      </c>
      <c r="S679" s="4" t="str">
        <f>IF(Student­­Performance[[#This Row],[Writing Score]]&gt;=50,"Pass","Fail")</f>
        <v>Pass</v>
      </c>
      <c r="T67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180</v>
      </c>
      <c r="U679" s="4" cm="1">
        <f t="array" ref="U679">IF(COUNT(F679:H679)=0,"", MAX(IF(ISNUMBER(F679:H679),F679:H679)) - MIN(IF(ISNUMBER(F679:H679),F679:H679)))</f>
        <v>13</v>
      </c>
      <c r="V679" s="4" t="str">
        <f>IF(U679="","",IF(U679&gt;25,"Outlier","Normal"))</f>
        <v>Normal</v>
      </c>
    </row>
    <row r="680" spans="1:22" x14ac:dyDescent="0.3">
      <c r="A680" s="1" t="s">
        <v>8</v>
      </c>
      <c r="B680" s="1" t="s">
        <v>13</v>
      </c>
      <c r="C680" s="1" t="s">
        <v>87</v>
      </c>
      <c r="D680" s="1" t="s">
        <v>20</v>
      </c>
      <c r="E680" s="1" t="s">
        <v>15</v>
      </c>
      <c r="F680" s="4">
        <v>50</v>
      </c>
      <c r="G680" s="4">
        <v>66</v>
      </c>
      <c r="H680" s="4">
        <v>64</v>
      </c>
      <c r="I680" s="4">
        <f>AVERAGE(Student­­Performance[[#This Row],[Math Score]],Student­­Performance[[#This Row],[Reading Score]],Student­­Performance[[#This Row],[Writing Score]])</f>
        <v>60</v>
      </c>
      <c r="J680" s="10" t="str">
        <f>IF(Student­­Performance[[#This Row],[Average Score]]&gt;=50,"Pass","Fail")</f>
        <v>Pass</v>
      </c>
      <c r="K68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16</v>
      </c>
      <c r="L68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68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14</v>
      </c>
      <c r="N680" s="4">
        <f>IF(ISNUMBER(Student­­Performance[[#This Row],[Math Score]]),Student­­Performance[[#This Row],[Math Score]],0)</f>
        <v>50</v>
      </c>
      <c r="O680" s="4">
        <f>IF(ISNUMBER(Student­­Performance[[#This Row],[Reading Score]]),Student­­Performance[[#This Row],[Reading Score]],0)</f>
        <v>66</v>
      </c>
      <c r="P680" s="4">
        <f>IF(ISNUMBER(Student­­Performance[[#This Row],[Writing Score]]),Student­­Performance[[#This Row],[Writing Score]],0)</f>
        <v>64</v>
      </c>
      <c r="Q680" s="4" t="str">
        <f>IF(Student­­Performance[[#This Row],[Math Score]]&gt;=50,"Pass","Fail")</f>
        <v>Pass</v>
      </c>
      <c r="R680" s="4" t="str">
        <f>IF(Student­­Performance[[#This Row],[Reading Score]]&gt;=50,"Pass","Fail")</f>
        <v>Pass</v>
      </c>
      <c r="S680" s="4" t="str">
        <f>IF(Student­­Performance[[#This Row],[Writing Score]]&gt;=50,"Pass","Fail")</f>
        <v>Pass</v>
      </c>
      <c r="T68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180</v>
      </c>
      <c r="U680" s="4" cm="1">
        <f t="array" ref="U680">IF(COUNT(F680:H680)=0,"", MAX(IF(ISNUMBER(F680:H680),F680:H680)) - MIN(IF(ISNUMBER(F680:H680),F680:H680)))</f>
        <v>16</v>
      </c>
      <c r="V680" s="4" t="str">
        <f>IF(U680="","",IF(U680&gt;25,"Outlier","Normal"))</f>
        <v>Normal</v>
      </c>
    </row>
    <row r="681" spans="1:22" x14ac:dyDescent="0.3">
      <c r="A681" s="1" t="s">
        <v>8</v>
      </c>
      <c r="B681" s="1" t="s">
        <v>9</v>
      </c>
      <c r="C681" s="1" t="s">
        <v>84</v>
      </c>
      <c r="D681" s="1" t="s">
        <v>11</v>
      </c>
      <c r="E681" s="1" t="s">
        <v>15</v>
      </c>
      <c r="F681" s="4">
        <v>50</v>
      </c>
      <c r="G681" s="4">
        <v>64</v>
      </c>
      <c r="H681" s="4">
        <v>66</v>
      </c>
      <c r="I681" s="4">
        <f>AVERAGE(Student­­Performance[[#This Row],[Math Score]],Student­­Performance[[#This Row],[Reading Score]],Student­­Performance[[#This Row],[Writing Score]])</f>
        <v>60</v>
      </c>
      <c r="J681" s="10" t="str">
        <f>IF(Student­­Performance[[#This Row],[Average Score]]&gt;=50,"Pass","Fail")</f>
        <v>Pass</v>
      </c>
      <c r="K68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14</v>
      </c>
      <c r="L68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68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16</v>
      </c>
      <c r="N681" s="4">
        <f>IF(ISNUMBER(Student­­Performance[[#This Row],[Math Score]]),Student­­Performance[[#This Row],[Math Score]],0)</f>
        <v>50</v>
      </c>
      <c r="O681" s="4">
        <f>IF(ISNUMBER(Student­­Performance[[#This Row],[Reading Score]]),Student­­Performance[[#This Row],[Reading Score]],0)</f>
        <v>64</v>
      </c>
      <c r="P681" s="4">
        <f>IF(ISNUMBER(Student­­Performance[[#This Row],[Writing Score]]),Student­­Performance[[#This Row],[Writing Score]],0)</f>
        <v>66</v>
      </c>
      <c r="Q681" s="4" t="str">
        <f>IF(Student­­Performance[[#This Row],[Math Score]]&gt;=50,"Pass","Fail")</f>
        <v>Pass</v>
      </c>
      <c r="R681" s="4" t="str">
        <f>IF(Student­­Performance[[#This Row],[Reading Score]]&gt;=50,"Pass","Fail")</f>
        <v>Pass</v>
      </c>
      <c r="S681" s="4" t="str">
        <f>IF(Student­­Performance[[#This Row],[Writing Score]]&gt;=50,"Pass","Fail")</f>
        <v>Pass</v>
      </c>
      <c r="T68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180</v>
      </c>
      <c r="U681" s="4" cm="1">
        <f t="array" ref="U681">IF(COUNT(F681:H681)=0,"", MAX(IF(ISNUMBER(F681:H681),F681:H681)) - MIN(IF(ISNUMBER(F681:H681),F681:H681)))</f>
        <v>16</v>
      </c>
      <c r="V681" s="4" t="str">
        <f>IF(U681="","",IF(U681&gt;25,"Outlier","Normal"))</f>
        <v>Normal</v>
      </c>
    </row>
    <row r="682" spans="1:22" x14ac:dyDescent="0.3">
      <c r="A682" s="1" t="s">
        <v>8</v>
      </c>
      <c r="B682" s="1" t="s">
        <v>9</v>
      </c>
      <c r="C682" s="1" t="s">
        <v>87</v>
      </c>
      <c r="D682" s="1" t="s">
        <v>11</v>
      </c>
      <c r="E682" s="1" t="s">
        <v>12</v>
      </c>
      <c r="F682" s="4">
        <v>58</v>
      </c>
      <c r="G682" s="4">
        <v>62</v>
      </c>
      <c r="H682" s="4">
        <v>59</v>
      </c>
      <c r="I682" s="4">
        <f>AVERAGE(Student­­Performance[[#This Row],[Math Score]],Student­­Performance[[#This Row],[Reading Score]],Student­­Performance[[#This Row],[Writing Score]])</f>
        <v>59.666666666666664</v>
      </c>
      <c r="J682" s="10" t="str">
        <f>IF(Student­­Performance[[#This Row],[Average Score]]&gt;=50,"Pass","Fail")</f>
        <v>Pass</v>
      </c>
      <c r="K68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68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68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682" s="4">
        <f>IF(ISNUMBER(Student­­Performance[[#This Row],[Math Score]]),Student­­Performance[[#This Row],[Math Score]],0)</f>
        <v>58</v>
      </c>
      <c r="O682" s="4">
        <f>IF(ISNUMBER(Student­­Performance[[#This Row],[Reading Score]]),Student­­Performance[[#This Row],[Reading Score]],0)</f>
        <v>62</v>
      </c>
      <c r="P682" s="4">
        <f>IF(ISNUMBER(Student­­Performance[[#This Row],[Writing Score]]),Student­­Performance[[#This Row],[Writing Score]],0)</f>
        <v>59</v>
      </c>
      <c r="Q682" s="4" t="str">
        <f>IF(Student­­Performance[[#This Row],[Math Score]]&gt;=50,"Pass","Fail")</f>
        <v>Pass</v>
      </c>
      <c r="R682" s="4" t="str">
        <f>IF(Student­­Performance[[#This Row],[Reading Score]]&gt;=50,"Pass","Fail")</f>
        <v>Pass</v>
      </c>
      <c r="S682" s="4" t="str">
        <f>IF(Student­­Performance[[#This Row],[Writing Score]]&gt;=50,"Pass","Fail")</f>
        <v>Pass</v>
      </c>
      <c r="T68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179</v>
      </c>
      <c r="U682" s="4" cm="1">
        <f t="array" ref="U682">IF(COUNT(F682:H682)=0,"", MAX(IF(ISNUMBER(F682:H682),F682:H682)) - MIN(IF(ISNUMBER(F682:H682),F682:H682)))</f>
        <v>4</v>
      </c>
      <c r="V682" s="4" t="str">
        <f>IF(U682="","",IF(U682&gt;25,"Outlier","Normal"))</f>
        <v>Normal</v>
      </c>
    </row>
    <row r="683" spans="1:22" x14ac:dyDescent="0.3">
      <c r="A683" s="1" t="s">
        <v>8</v>
      </c>
      <c r="B683" s="1" t="s">
        <v>21</v>
      </c>
      <c r="C683" s="1" t="s">
        <v>87</v>
      </c>
      <c r="D683" s="1" t="s">
        <v>11</v>
      </c>
      <c r="E683" s="1" t="s">
        <v>15</v>
      </c>
      <c r="F683" s="4">
        <v>57</v>
      </c>
      <c r="G683" s="4">
        <v>58</v>
      </c>
      <c r="H683" s="4">
        <v>64</v>
      </c>
      <c r="I683" s="4">
        <f>AVERAGE(Student­­Performance[[#This Row],[Math Score]],Student­­Performance[[#This Row],[Reading Score]],Student­­Performance[[#This Row],[Writing Score]])</f>
        <v>59.666666666666664</v>
      </c>
      <c r="J683" s="10" t="str">
        <f>IF(Student­­Performance[[#This Row],[Average Score]]&gt;=50,"Pass","Fail")</f>
        <v>Pass</v>
      </c>
      <c r="K68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68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68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683" s="4">
        <f>IF(ISNUMBER(Student­­Performance[[#This Row],[Math Score]]),Student­­Performance[[#This Row],[Math Score]],0)</f>
        <v>57</v>
      </c>
      <c r="O683" s="4">
        <f>IF(ISNUMBER(Student­­Performance[[#This Row],[Reading Score]]),Student­­Performance[[#This Row],[Reading Score]],0)</f>
        <v>58</v>
      </c>
      <c r="P683" s="4">
        <f>IF(ISNUMBER(Student­­Performance[[#This Row],[Writing Score]]),Student­­Performance[[#This Row],[Writing Score]],0)</f>
        <v>64</v>
      </c>
      <c r="Q683" s="4" t="str">
        <f>IF(Student­­Performance[[#This Row],[Math Score]]&gt;=50,"Pass","Fail")</f>
        <v>Pass</v>
      </c>
      <c r="R683" s="4" t="str">
        <f>IF(Student­­Performance[[#This Row],[Reading Score]]&gt;=50,"Pass","Fail")</f>
        <v>Pass</v>
      </c>
      <c r="S683" s="4" t="str">
        <f>IF(Student­­Performance[[#This Row],[Writing Score]]&gt;=50,"Pass","Fail")</f>
        <v>Pass</v>
      </c>
      <c r="T68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179</v>
      </c>
      <c r="U683" s="4" cm="1">
        <f t="array" ref="U683">IF(COUNT(F683:H683)=0,"", MAX(IF(ISNUMBER(F683:H683),F683:H683)) - MIN(IF(ISNUMBER(F683:H683),F683:H683)))</f>
        <v>7</v>
      </c>
      <c r="V683" s="4" t="str">
        <f>IF(U683="","",IF(U683&gt;25,"Outlier","Normal"))</f>
        <v>Normal</v>
      </c>
    </row>
    <row r="684" spans="1:22" x14ac:dyDescent="0.3">
      <c r="A684" s="1" t="s">
        <v>8</v>
      </c>
      <c r="B684" s="1" t="s">
        <v>21</v>
      </c>
      <c r="C684" s="1" t="s">
        <v>87</v>
      </c>
      <c r="D684" s="1" t="s">
        <v>11</v>
      </c>
      <c r="E684" s="1" t="s">
        <v>12</v>
      </c>
      <c r="F684" s="4">
        <v>51</v>
      </c>
      <c r="G684" s="4">
        <v>66</v>
      </c>
      <c r="H684" s="4">
        <v>62</v>
      </c>
      <c r="I684" s="4">
        <f>AVERAGE(Student­­Performance[[#This Row],[Math Score]],Student­­Performance[[#This Row],[Reading Score]],Student­­Performance[[#This Row],[Writing Score]])</f>
        <v>59.666666666666664</v>
      </c>
      <c r="J684" s="10" t="str">
        <f>IF(Student­­Performance[[#This Row],[Average Score]]&gt;=50,"Pass","Fail")</f>
        <v>Pass</v>
      </c>
      <c r="K68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15</v>
      </c>
      <c r="L68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68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684" s="4">
        <f>IF(ISNUMBER(Student­­Performance[[#This Row],[Math Score]]),Student­­Performance[[#This Row],[Math Score]],0)</f>
        <v>51</v>
      </c>
      <c r="O684" s="4">
        <f>IF(ISNUMBER(Student­­Performance[[#This Row],[Reading Score]]),Student­­Performance[[#This Row],[Reading Score]],0)</f>
        <v>66</v>
      </c>
      <c r="P684" s="4">
        <f>IF(ISNUMBER(Student­­Performance[[#This Row],[Writing Score]]),Student­­Performance[[#This Row],[Writing Score]],0)</f>
        <v>62</v>
      </c>
      <c r="Q684" s="4" t="str">
        <f>IF(Student­­Performance[[#This Row],[Math Score]]&gt;=50,"Pass","Fail")</f>
        <v>Pass</v>
      </c>
      <c r="R684" s="4" t="str">
        <f>IF(Student­­Performance[[#This Row],[Reading Score]]&gt;=50,"Pass","Fail")</f>
        <v>Pass</v>
      </c>
      <c r="S684" s="4" t="str">
        <f>IF(Student­­Performance[[#This Row],[Writing Score]]&gt;=50,"Pass","Fail")</f>
        <v>Pass</v>
      </c>
      <c r="T68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179</v>
      </c>
      <c r="U684" s="4" cm="1">
        <f t="array" ref="U684">IF(COUNT(F684:H684)=0,"", MAX(IF(ISNUMBER(F684:H684),F684:H684)) - MIN(IF(ISNUMBER(F684:H684),F684:H684)))</f>
        <v>15</v>
      </c>
      <c r="V684" s="4" t="str">
        <f>IF(U684="","",IF(U684&gt;25,"Outlier","Normal"))</f>
        <v>Normal</v>
      </c>
    </row>
    <row r="685" spans="1:22" x14ac:dyDescent="0.3">
      <c r="A685" s="1" t="s">
        <v>8</v>
      </c>
      <c r="B685" s="1" t="s">
        <v>18</v>
      </c>
      <c r="C685" s="1" t="s">
        <v>88</v>
      </c>
      <c r="D685" s="1" t="s">
        <v>11</v>
      </c>
      <c r="E685" s="1" t="s">
        <v>12</v>
      </c>
      <c r="F685" s="4">
        <v>48</v>
      </c>
      <c r="G685" s="4">
        <v>66</v>
      </c>
      <c r="H685" s="4">
        <v>65</v>
      </c>
      <c r="I685" s="4">
        <f>AVERAGE(Student­­Performance[[#This Row],[Math Score]],Student­­Performance[[#This Row],[Reading Score]],Student­­Performance[[#This Row],[Writing Score]])</f>
        <v>59.666666666666664</v>
      </c>
      <c r="J685" s="10" t="str">
        <f>IF(Student­­Performance[[#This Row],[Average Score]]&gt;=50,"Pass","Fail")</f>
        <v>Pass</v>
      </c>
      <c r="K68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18</v>
      </c>
      <c r="L68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68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17</v>
      </c>
      <c r="N685" s="4">
        <f>IF(ISNUMBER(Student­­Performance[[#This Row],[Math Score]]),Student­­Performance[[#This Row],[Math Score]],0)</f>
        <v>48</v>
      </c>
      <c r="O685" s="4">
        <f>IF(ISNUMBER(Student­­Performance[[#This Row],[Reading Score]]),Student­­Performance[[#This Row],[Reading Score]],0)</f>
        <v>66</v>
      </c>
      <c r="P685" s="4">
        <f>IF(ISNUMBER(Student­­Performance[[#This Row],[Writing Score]]),Student­­Performance[[#This Row],[Writing Score]],0)</f>
        <v>65</v>
      </c>
      <c r="Q685" s="4" t="str">
        <f>IF(Student­­Performance[[#This Row],[Math Score]]&gt;=50,"Pass","Fail")</f>
        <v>Fail</v>
      </c>
      <c r="R685" s="4" t="str">
        <f>IF(Student­­Performance[[#This Row],[Reading Score]]&gt;=50,"Pass","Fail")</f>
        <v>Pass</v>
      </c>
      <c r="S685" s="4" t="str">
        <f>IF(Student­­Performance[[#This Row],[Writing Score]]&gt;=50,"Pass","Fail")</f>
        <v>Pass</v>
      </c>
      <c r="T68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179</v>
      </c>
      <c r="U685" s="4" cm="1">
        <f t="array" ref="U685">IF(COUNT(F685:H685)=0,"", MAX(IF(ISNUMBER(F685:H685),F685:H685)) - MIN(IF(ISNUMBER(F685:H685),F685:H685)))</f>
        <v>18</v>
      </c>
      <c r="V685" s="4" t="str">
        <f>IF(U685="","",IF(U685&gt;25,"Outlier","Normal"))</f>
        <v>Normal</v>
      </c>
    </row>
    <row r="686" spans="1:22" x14ac:dyDescent="0.3">
      <c r="A686" s="1" t="s">
        <v>8</v>
      </c>
      <c r="B686" s="1" t="s">
        <v>13</v>
      </c>
      <c r="C686" s="1" t="s">
        <v>83</v>
      </c>
      <c r="D686" s="1" t="s">
        <v>11</v>
      </c>
      <c r="E686" s="1" t="s">
        <v>15</v>
      </c>
      <c r="F686" s="4">
        <v>52</v>
      </c>
      <c r="G686" s="4">
        <v>61</v>
      </c>
      <c r="H686" s="4">
        <v>66</v>
      </c>
      <c r="I686" s="4">
        <f>AVERAGE(Student­­Performance[[#This Row],[Math Score]],Student­­Performance[[#This Row],[Reading Score]],Student­­Performance[[#This Row],[Writing Score]])</f>
        <v>59.666666666666664</v>
      </c>
      <c r="J686" s="10" t="str">
        <f>IF(Student­­Performance[[#This Row],[Average Score]]&gt;=50,"Pass","Fail")</f>
        <v>Pass</v>
      </c>
      <c r="K68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68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68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14</v>
      </c>
      <c r="N686" s="4">
        <f>IF(ISNUMBER(Student­­Performance[[#This Row],[Math Score]]),Student­­Performance[[#This Row],[Math Score]],0)</f>
        <v>52</v>
      </c>
      <c r="O686" s="4">
        <f>IF(ISNUMBER(Student­­Performance[[#This Row],[Reading Score]]),Student­­Performance[[#This Row],[Reading Score]],0)</f>
        <v>61</v>
      </c>
      <c r="P686" s="4">
        <f>IF(ISNUMBER(Student­­Performance[[#This Row],[Writing Score]]),Student­­Performance[[#This Row],[Writing Score]],0)</f>
        <v>66</v>
      </c>
      <c r="Q686" s="4" t="str">
        <f>IF(Student­­Performance[[#This Row],[Math Score]]&gt;=50,"Pass","Fail")</f>
        <v>Pass</v>
      </c>
      <c r="R686" s="4" t="str">
        <f>IF(Student­­Performance[[#This Row],[Reading Score]]&gt;=50,"Pass","Fail")</f>
        <v>Pass</v>
      </c>
      <c r="S686" s="4" t="str">
        <f>IF(Student­­Performance[[#This Row],[Writing Score]]&gt;=50,"Pass","Fail")</f>
        <v>Pass</v>
      </c>
      <c r="T68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179</v>
      </c>
      <c r="U686" s="4" cm="1">
        <f t="array" ref="U686">IF(COUNT(F686:H686)=0,"", MAX(IF(ISNUMBER(F686:H686),F686:H686)) - MIN(IF(ISNUMBER(F686:H686),F686:H686)))</f>
        <v>14</v>
      </c>
      <c r="V686" s="4" t="str">
        <f>IF(U686="","",IF(U686&gt;25,"Outlier","Normal"))</f>
        <v>Normal</v>
      </c>
    </row>
    <row r="687" spans="1:22" x14ac:dyDescent="0.3">
      <c r="A687" s="1" t="s">
        <v>17</v>
      </c>
      <c r="B687" s="1" t="s">
        <v>9</v>
      </c>
      <c r="C687" s="1" t="s">
        <v>84</v>
      </c>
      <c r="D687" s="1" t="s">
        <v>11</v>
      </c>
      <c r="E687" s="1" t="s">
        <v>12</v>
      </c>
      <c r="F687" s="4">
        <v>69</v>
      </c>
      <c r="G687" s="4">
        <v>54</v>
      </c>
      <c r="H687" s="4">
        <v>55</v>
      </c>
      <c r="I687" s="4">
        <f>AVERAGE(Student­­Performance[[#This Row],[Math Score]],Student­­Performance[[#This Row],[Reading Score]],Student­­Performance[[#This Row],[Writing Score]])</f>
        <v>59.333333333333336</v>
      </c>
      <c r="J687" s="10" t="str">
        <f>IF(Student­­Performance[[#This Row],[Average Score]]&gt;=50,"Pass","Fail")</f>
        <v>Pass</v>
      </c>
      <c r="K68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-15</v>
      </c>
      <c r="L68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68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-14</v>
      </c>
      <c r="N687" s="4">
        <f>IF(ISNUMBER(Student­­Performance[[#This Row],[Math Score]]),Student­­Performance[[#This Row],[Math Score]],0)</f>
        <v>69</v>
      </c>
      <c r="O687" s="4">
        <f>IF(ISNUMBER(Student­­Performance[[#This Row],[Reading Score]]),Student­­Performance[[#This Row],[Reading Score]],0)</f>
        <v>54</v>
      </c>
      <c r="P687" s="4">
        <f>IF(ISNUMBER(Student­­Performance[[#This Row],[Writing Score]]),Student­­Performance[[#This Row],[Writing Score]],0)</f>
        <v>55</v>
      </c>
      <c r="Q687" s="4" t="str">
        <f>IF(Student­­Performance[[#This Row],[Math Score]]&gt;=50,"Pass","Fail")</f>
        <v>Pass</v>
      </c>
      <c r="R687" s="4" t="str">
        <f>IF(Student­­Performance[[#This Row],[Reading Score]]&gt;=50,"Pass","Fail")</f>
        <v>Pass</v>
      </c>
      <c r="S687" s="4" t="str">
        <f>IF(Student­­Performance[[#This Row],[Writing Score]]&gt;=50,"Pass","Fail")</f>
        <v>Pass</v>
      </c>
      <c r="T68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178</v>
      </c>
      <c r="U687" s="4" cm="1">
        <f t="array" ref="U687">IF(COUNT(F687:H687)=0,"", MAX(IF(ISNUMBER(F687:H687),F687:H687)) - MIN(IF(ISNUMBER(F687:H687),F687:H687)))</f>
        <v>15</v>
      </c>
      <c r="V687" s="4" t="str">
        <f>IF(U687="","",IF(U687&gt;25,"Outlier","Normal"))</f>
        <v>Normal</v>
      </c>
    </row>
    <row r="688" spans="1:22" x14ac:dyDescent="0.3">
      <c r="A688" s="1" t="s">
        <v>17</v>
      </c>
      <c r="B688" s="1" t="s">
        <v>18</v>
      </c>
      <c r="C688" s="1" t="s">
        <v>86</v>
      </c>
      <c r="D688" s="1" t="s">
        <v>20</v>
      </c>
      <c r="E688" s="1" t="s">
        <v>12</v>
      </c>
      <c r="F688" s="4">
        <v>62</v>
      </c>
      <c r="G688" s="4">
        <v>61</v>
      </c>
      <c r="H688" s="4">
        <v>55</v>
      </c>
      <c r="I688" s="4">
        <f>AVERAGE(Student­­Performance[[#This Row],[Math Score]],Student­­Performance[[#This Row],[Reading Score]],Student­­Performance[[#This Row],[Writing Score]])</f>
        <v>59.333333333333336</v>
      </c>
      <c r="J688" s="10" t="str">
        <f>IF(Student­­Performance[[#This Row],[Average Score]]&gt;=50,"Pass","Fail")</f>
        <v>Pass</v>
      </c>
      <c r="K68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68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68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688" s="4">
        <f>IF(ISNUMBER(Student­­Performance[[#This Row],[Math Score]]),Student­­Performance[[#This Row],[Math Score]],0)</f>
        <v>62</v>
      </c>
      <c r="O688" s="4">
        <f>IF(ISNUMBER(Student­­Performance[[#This Row],[Reading Score]]),Student­­Performance[[#This Row],[Reading Score]],0)</f>
        <v>61</v>
      </c>
      <c r="P688" s="4">
        <f>IF(ISNUMBER(Student­­Performance[[#This Row],[Writing Score]]),Student­­Performance[[#This Row],[Writing Score]],0)</f>
        <v>55</v>
      </c>
      <c r="Q688" s="4" t="str">
        <f>IF(Student­­Performance[[#This Row],[Math Score]]&gt;=50,"Pass","Fail")</f>
        <v>Pass</v>
      </c>
      <c r="R688" s="4" t="str">
        <f>IF(Student­­Performance[[#This Row],[Reading Score]]&gt;=50,"Pass","Fail")</f>
        <v>Pass</v>
      </c>
      <c r="S688" s="4" t="str">
        <f>IF(Student­­Performance[[#This Row],[Writing Score]]&gt;=50,"Pass","Fail")</f>
        <v>Pass</v>
      </c>
      <c r="T68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178</v>
      </c>
      <c r="U688" s="4" cm="1">
        <f t="array" ref="U688">IF(COUNT(F688:H688)=0,"", MAX(IF(ISNUMBER(F688:H688),F688:H688)) - MIN(IF(ISNUMBER(F688:H688),F688:H688)))</f>
        <v>7</v>
      </c>
      <c r="V688" s="4" t="str">
        <f>IF(U688="","",IF(U688&gt;25,"Outlier","Normal"))</f>
        <v>Normal</v>
      </c>
    </row>
    <row r="689" spans="1:22" x14ac:dyDescent="0.3">
      <c r="A689" s="1" t="s">
        <v>17</v>
      </c>
      <c r="B689" s="1" t="s">
        <v>13</v>
      </c>
      <c r="C689" s="1" t="s">
        <v>84</v>
      </c>
      <c r="D689" s="1" t="s">
        <v>20</v>
      </c>
      <c r="E689" s="1" t="s">
        <v>12</v>
      </c>
      <c r="F689" s="4">
        <v>63</v>
      </c>
      <c r="G689" s="4">
        <v>61</v>
      </c>
      <c r="H689" s="4">
        <v>54</v>
      </c>
      <c r="I689" s="4">
        <f>AVERAGE(Student­­Performance[[#This Row],[Math Score]],Student­­Performance[[#This Row],[Reading Score]],Student­­Performance[[#This Row],[Writing Score]])</f>
        <v>59.333333333333336</v>
      </c>
      <c r="J689" s="10" t="str">
        <f>IF(Student­­Performance[[#This Row],[Average Score]]&gt;=50,"Pass","Fail")</f>
        <v>Pass</v>
      </c>
      <c r="K68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</v>
      </c>
      <c r="L68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68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-9</v>
      </c>
      <c r="N689" s="4">
        <f>IF(ISNUMBER(Student­­Performance[[#This Row],[Math Score]]),Student­­Performance[[#This Row],[Math Score]],0)</f>
        <v>63</v>
      </c>
      <c r="O689" s="4">
        <f>IF(ISNUMBER(Student­­Performance[[#This Row],[Reading Score]]),Student­­Performance[[#This Row],[Reading Score]],0)</f>
        <v>61</v>
      </c>
      <c r="P689" s="4">
        <f>IF(ISNUMBER(Student­­Performance[[#This Row],[Writing Score]]),Student­­Performance[[#This Row],[Writing Score]],0)</f>
        <v>54</v>
      </c>
      <c r="Q689" s="4" t="str">
        <f>IF(Student­­Performance[[#This Row],[Math Score]]&gt;=50,"Pass","Fail")</f>
        <v>Pass</v>
      </c>
      <c r="R689" s="4" t="str">
        <f>IF(Student­­Performance[[#This Row],[Reading Score]]&gt;=50,"Pass","Fail")</f>
        <v>Pass</v>
      </c>
      <c r="S689" s="4" t="str">
        <f>IF(Student­­Performance[[#This Row],[Writing Score]]&gt;=50,"Pass","Fail")</f>
        <v>Pass</v>
      </c>
      <c r="T68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178</v>
      </c>
      <c r="U689" s="4" cm="1">
        <f t="array" ref="U689">IF(COUNT(F689:H689)=0,"", MAX(IF(ISNUMBER(F689:H689),F689:H689)) - MIN(IF(ISNUMBER(F689:H689),F689:H689)))</f>
        <v>9</v>
      </c>
      <c r="V689" s="4" t="str">
        <f>IF(U689="","",IF(U689&gt;25,"Outlier","Normal"))</f>
        <v>Normal</v>
      </c>
    </row>
    <row r="690" spans="1:22" x14ac:dyDescent="0.3">
      <c r="A690" s="1" t="s">
        <v>8</v>
      </c>
      <c r="B690" s="1" t="s">
        <v>13</v>
      </c>
      <c r="C690" s="1" t="s">
        <v>85</v>
      </c>
      <c r="D690" s="1" t="s">
        <v>20</v>
      </c>
      <c r="E690" s="1" t="s">
        <v>12</v>
      </c>
      <c r="F690" s="4">
        <v>52</v>
      </c>
      <c r="G690" s="4">
        <v>65</v>
      </c>
      <c r="H690" s="4">
        <v>61</v>
      </c>
      <c r="I690" s="4">
        <f>AVERAGE(Student­­Performance[[#This Row],[Math Score]],Student­­Performance[[#This Row],[Reading Score]],Student­­Performance[[#This Row],[Writing Score]])</f>
        <v>59.333333333333336</v>
      </c>
      <c r="J690" s="10" t="str">
        <f>IF(Student­­Performance[[#This Row],[Average Score]]&gt;=50,"Pass","Fail")</f>
        <v>Pass</v>
      </c>
      <c r="K69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13</v>
      </c>
      <c r="L69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69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690" s="4">
        <f>IF(ISNUMBER(Student­­Performance[[#This Row],[Math Score]]),Student­­Performance[[#This Row],[Math Score]],0)</f>
        <v>52</v>
      </c>
      <c r="O690" s="4">
        <f>IF(ISNUMBER(Student­­Performance[[#This Row],[Reading Score]]),Student­­Performance[[#This Row],[Reading Score]],0)</f>
        <v>65</v>
      </c>
      <c r="P690" s="4">
        <f>IF(ISNUMBER(Student­­Performance[[#This Row],[Writing Score]]),Student­­Performance[[#This Row],[Writing Score]],0)</f>
        <v>61</v>
      </c>
      <c r="Q690" s="4" t="str">
        <f>IF(Student­­Performance[[#This Row],[Math Score]]&gt;=50,"Pass","Fail")</f>
        <v>Pass</v>
      </c>
      <c r="R690" s="4" t="str">
        <f>IF(Student­­Performance[[#This Row],[Reading Score]]&gt;=50,"Pass","Fail")</f>
        <v>Pass</v>
      </c>
      <c r="S690" s="4" t="str">
        <f>IF(Student­­Performance[[#This Row],[Writing Score]]&gt;=50,"Pass","Fail")</f>
        <v>Pass</v>
      </c>
      <c r="T69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178</v>
      </c>
      <c r="U690" s="4" cm="1">
        <f t="array" ref="U690">IF(COUNT(F690:H690)=0,"", MAX(IF(ISNUMBER(F690:H690),F690:H690)) - MIN(IF(ISNUMBER(F690:H690),F690:H690)))</f>
        <v>13</v>
      </c>
      <c r="V690" s="4" t="str">
        <f>IF(U690="","",IF(U690&gt;25,"Outlier","Normal"))</f>
        <v>Normal</v>
      </c>
    </row>
    <row r="691" spans="1:22" x14ac:dyDescent="0.3">
      <c r="A691" s="1" t="s">
        <v>8</v>
      </c>
      <c r="B691" s="1" t="s">
        <v>18</v>
      </c>
      <c r="C691" s="1" t="s">
        <v>84</v>
      </c>
      <c r="D691" s="1" t="s">
        <v>20</v>
      </c>
      <c r="E691" s="1" t="s">
        <v>12</v>
      </c>
      <c r="F691" s="4">
        <v>61</v>
      </c>
      <c r="G691" s="4">
        <v>60</v>
      </c>
      <c r="H691" s="4">
        <v>57</v>
      </c>
      <c r="I691" s="4">
        <f>AVERAGE(Student­­Performance[[#This Row],[Math Score]],Student­­Performance[[#This Row],[Reading Score]],Student­­Performance[[#This Row],[Writing Score]])</f>
        <v>59.333333333333336</v>
      </c>
      <c r="J691" s="10" t="str">
        <f>IF(Student­­Performance[[#This Row],[Average Score]]&gt;=50,"Pass","Fail")</f>
        <v>Pass</v>
      </c>
      <c r="K69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69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69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691" s="4">
        <f>IF(ISNUMBER(Student­­Performance[[#This Row],[Math Score]]),Student­­Performance[[#This Row],[Math Score]],0)</f>
        <v>61</v>
      </c>
      <c r="O691" s="4">
        <f>IF(ISNUMBER(Student­­Performance[[#This Row],[Reading Score]]),Student­­Performance[[#This Row],[Reading Score]],0)</f>
        <v>60</v>
      </c>
      <c r="P691" s="4">
        <f>IF(ISNUMBER(Student­­Performance[[#This Row],[Writing Score]]),Student­­Performance[[#This Row],[Writing Score]],0)</f>
        <v>57</v>
      </c>
      <c r="Q691" s="4" t="str">
        <f>IF(Student­­Performance[[#This Row],[Math Score]]&gt;=50,"Pass","Fail")</f>
        <v>Pass</v>
      </c>
      <c r="R691" s="4" t="str">
        <f>IF(Student­­Performance[[#This Row],[Reading Score]]&gt;=50,"Pass","Fail")</f>
        <v>Pass</v>
      </c>
      <c r="S691" s="4" t="str">
        <f>IF(Student­­Performance[[#This Row],[Writing Score]]&gt;=50,"Pass","Fail")</f>
        <v>Pass</v>
      </c>
      <c r="T69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178</v>
      </c>
      <c r="U691" s="4" cm="1">
        <f t="array" ref="U691">IF(COUNT(F691:H691)=0,"", MAX(IF(ISNUMBER(F691:H691),F691:H691)) - MIN(IF(ISNUMBER(F691:H691),F691:H691)))</f>
        <v>4</v>
      </c>
      <c r="V691" s="4" t="str">
        <f>IF(U691="","",IF(U691&gt;25,"Outlier","Normal"))</f>
        <v>Normal</v>
      </c>
    </row>
    <row r="692" spans="1:22" x14ac:dyDescent="0.3">
      <c r="A692" s="1" t="s">
        <v>8</v>
      </c>
      <c r="B692" s="1" t="s">
        <v>18</v>
      </c>
      <c r="C692" s="1" t="s">
        <v>84</v>
      </c>
      <c r="D692" s="1" t="s">
        <v>11</v>
      </c>
      <c r="E692" s="1" t="s">
        <v>12</v>
      </c>
      <c r="F692" s="4">
        <v>56</v>
      </c>
      <c r="G692" s="4">
        <v>58</v>
      </c>
      <c r="H692" s="4">
        <v>64</v>
      </c>
      <c r="I692" s="4">
        <f>AVERAGE(Student­­Performance[[#This Row],[Math Score]],Student­­Performance[[#This Row],[Reading Score]],Student­­Performance[[#This Row],[Writing Score]])</f>
        <v>59.333333333333336</v>
      </c>
      <c r="J692" s="10" t="str">
        <f>IF(Student­­Performance[[#This Row],[Average Score]]&gt;=50,"Pass","Fail")</f>
        <v>Pass</v>
      </c>
      <c r="K69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69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69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692" s="4">
        <f>IF(ISNUMBER(Student­­Performance[[#This Row],[Math Score]]),Student­­Performance[[#This Row],[Math Score]],0)</f>
        <v>56</v>
      </c>
      <c r="O692" s="4">
        <f>IF(ISNUMBER(Student­­Performance[[#This Row],[Reading Score]]),Student­­Performance[[#This Row],[Reading Score]],0)</f>
        <v>58</v>
      </c>
      <c r="P692" s="4">
        <f>IF(ISNUMBER(Student­­Performance[[#This Row],[Writing Score]]),Student­­Performance[[#This Row],[Writing Score]],0)</f>
        <v>64</v>
      </c>
      <c r="Q692" s="4" t="str">
        <f>IF(Student­­Performance[[#This Row],[Math Score]]&gt;=50,"Pass","Fail")</f>
        <v>Pass</v>
      </c>
      <c r="R692" s="4" t="str">
        <f>IF(Student­­Performance[[#This Row],[Reading Score]]&gt;=50,"Pass","Fail")</f>
        <v>Pass</v>
      </c>
      <c r="S692" s="4" t="str">
        <f>IF(Student­­Performance[[#This Row],[Writing Score]]&gt;=50,"Pass","Fail")</f>
        <v>Pass</v>
      </c>
      <c r="T69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178</v>
      </c>
      <c r="U692" s="4" cm="1">
        <f t="array" ref="U692">IF(COUNT(F692:H692)=0,"", MAX(IF(ISNUMBER(F692:H692),F692:H692)) - MIN(IF(ISNUMBER(F692:H692),F692:H692)))</f>
        <v>8</v>
      </c>
      <c r="V692" s="4" t="str">
        <f>IF(U692="","",IF(U692&gt;25,"Outlier","Normal"))</f>
        <v>Normal</v>
      </c>
    </row>
    <row r="693" spans="1:22" x14ac:dyDescent="0.3">
      <c r="A693" s="1" t="s">
        <v>17</v>
      </c>
      <c r="B693" s="1" t="s">
        <v>13</v>
      </c>
      <c r="C693" s="1" t="s">
        <v>84</v>
      </c>
      <c r="D693" s="1" t="s">
        <v>11</v>
      </c>
      <c r="E693" s="1" t="s">
        <v>12</v>
      </c>
      <c r="F693" s="4">
        <v>59</v>
      </c>
      <c r="G693" s="4">
        <v>60</v>
      </c>
      <c r="H693" s="4">
        <v>58</v>
      </c>
      <c r="I693" s="4">
        <f>AVERAGE(Student­­Performance[[#This Row],[Math Score]],Student­­Performance[[#This Row],[Reading Score]],Student­­Performance[[#This Row],[Writing Score]])</f>
        <v>59</v>
      </c>
      <c r="J693" s="10" t="str">
        <f>IF(Student­­Performance[[#This Row],[Average Score]]&gt;=50,"Pass","Fail")</f>
        <v>Pass</v>
      </c>
      <c r="K69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69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69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693" s="4">
        <f>IF(ISNUMBER(Student­­Performance[[#This Row],[Math Score]]),Student­­Performance[[#This Row],[Math Score]],0)</f>
        <v>59</v>
      </c>
      <c r="O693" s="4">
        <f>IF(ISNUMBER(Student­­Performance[[#This Row],[Reading Score]]),Student­­Performance[[#This Row],[Reading Score]],0)</f>
        <v>60</v>
      </c>
      <c r="P693" s="4">
        <f>IF(ISNUMBER(Student­­Performance[[#This Row],[Writing Score]]),Student­­Performance[[#This Row],[Writing Score]],0)</f>
        <v>58</v>
      </c>
      <c r="Q693" s="4" t="str">
        <f>IF(Student­­Performance[[#This Row],[Math Score]]&gt;=50,"Pass","Fail")</f>
        <v>Pass</v>
      </c>
      <c r="R693" s="4" t="str">
        <f>IF(Student­­Performance[[#This Row],[Reading Score]]&gt;=50,"Pass","Fail")</f>
        <v>Pass</v>
      </c>
      <c r="S693" s="4" t="str">
        <f>IF(Student­­Performance[[#This Row],[Writing Score]]&gt;=50,"Pass","Fail")</f>
        <v>Pass</v>
      </c>
      <c r="T69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177</v>
      </c>
      <c r="U693" s="4" cm="1">
        <f t="array" ref="U693">IF(COUNT(F693:H693)=0,"", MAX(IF(ISNUMBER(F693:H693),F693:H693)) - MIN(IF(ISNUMBER(F693:H693),F693:H693)))</f>
        <v>2</v>
      </c>
      <c r="V693" s="4" t="str">
        <f>IF(U693="","",IF(U693&gt;25,"Outlier","Normal"))</f>
        <v>Normal</v>
      </c>
    </row>
    <row r="694" spans="1:22" x14ac:dyDescent="0.3">
      <c r="A694" s="1" t="s">
        <v>17</v>
      </c>
      <c r="B694" s="1" t="s">
        <v>18</v>
      </c>
      <c r="C694" s="1" t="s">
        <v>88</v>
      </c>
      <c r="D694" s="1" t="s">
        <v>20</v>
      </c>
      <c r="E694" s="1" t="s">
        <v>12</v>
      </c>
      <c r="F694" s="4">
        <v>65</v>
      </c>
      <c r="G694" s="4">
        <v>59</v>
      </c>
      <c r="H694" s="4">
        <v>53</v>
      </c>
      <c r="I694" s="4">
        <f>AVERAGE(Student­­Performance[[#This Row],[Math Score]],Student­­Performance[[#This Row],[Reading Score]],Student­­Performance[[#This Row],[Writing Score]])</f>
        <v>59</v>
      </c>
      <c r="J694" s="10" t="str">
        <f>IF(Student­­Performance[[#This Row],[Average Score]]&gt;=50,"Pass","Fail")</f>
        <v>Pass</v>
      </c>
      <c r="K69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69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69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-12</v>
      </c>
      <c r="N694" s="4">
        <f>IF(ISNUMBER(Student­­Performance[[#This Row],[Math Score]]),Student­­Performance[[#This Row],[Math Score]],0)</f>
        <v>65</v>
      </c>
      <c r="O694" s="4">
        <f>IF(ISNUMBER(Student­­Performance[[#This Row],[Reading Score]]),Student­­Performance[[#This Row],[Reading Score]],0)</f>
        <v>59</v>
      </c>
      <c r="P694" s="4">
        <f>IF(ISNUMBER(Student­­Performance[[#This Row],[Writing Score]]),Student­­Performance[[#This Row],[Writing Score]],0)</f>
        <v>53</v>
      </c>
      <c r="Q694" s="4" t="str">
        <f>IF(Student­­Performance[[#This Row],[Math Score]]&gt;=50,"Pass","Fail")</f>
        <v>Pass</v>
      </c>
      <c r="R694" s="4" t="str">
        <f>IF(Student­­Performance[[#This Row],[Reading Score]]&gt;=50,"Pass","Fail")</f>
        <v>Pass</v>
      </c>
      <c r="S694" s="4" t="str">
        <f>IF(Student­­Performance[[#This Row],[Writing Score]]&gt;=50,"Pass","Fail")</f>
        <v>Pass</v>
      </c>
      <c r="T69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177</v>
      </c>
      <c r="U694" s="4" cm="1">
        <f t="array" ref="U694">IF(COUNT(F694:H694)=0,"", MAX(IF(ISNUMBER(F694:H694),F694:H694)) - MIN(IF(ISNUMBER(F694:H694),F694:H694)))</f>
        <v>12</v>
      </c>
      <c r="V694" s="4" t="str">
        <f>IF(U694="","",IF(U694&gt;25,"Outlier","Normal"))</f>
        <v>Normal</v>
      </c>
    </row>
    <row r="695" spans="1:22" x14ac:dyDescent="0.3">
      <c r="A695" s="1" t="s">
        <v>17</v>
      </c>
      <c r="B695" s="1" t="s">
        <v>13</v>
      </c>
      <c r="C695" s="1" t="s">
        <v>87</v>
      </c>
      <c r="D695" s="1" t="s">
        <v>11</v>
      </c>
      <c r="E695" s="1" t="s">
        <v>12</v>
      </c>
      <c r="F695" s="4">
        <v>70</v>
      </c>
      <c r="G695" s="4">
        <v>56</v>
      </c>
      <c r="H695" s="4">
        <v>51</v>
      </c>
      <c r="I695" s="4">
        <f>AVERAGE(Student­­Performance[[#This Row],[Math Score]],Student­­Performance[[#This Row],[Reading Score]],Student­­Performance[[#This Row],[Writing Score]])</f>
        <v>59</v>
      </c>
      <c r="J695" s="10" t="str">
        <f>IF(Student­­Performance[[#This Row],[Average Score]]&gt;=50,"Pass","Fail")</f>
        <v>Pass</v>
      </c>
      <c r="K69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-14</v>
      </c>
      <c r="L69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69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-19</v>
      </c>
      <c r="N695" s="4">
        <f>IF(ISNUMBER(Student­­Performance[[#This Row],[Math Score]]),Student­­Performance[[#This Row],[Math Score]],0)</f>
        <v>70</v>
      </c>
      <c r="O695" s="4">
        <f>IF(ISNUMBER(Student­­Performance[[#This Row],[Reading Score]]),Student­­Performance[[#This Row],[Reading Score]],0)</f>
        <v>56</v>
      </c>
      <c r="P695" s="4">
        <f>IF(ISNUMBER(Student­­Performance[[#This Row],[Writing Score]]),Student­­Performance[[#This Row],[Writing Score]],0)</f>
        <v>51</v>
      </c>
      <c r="Q695" s="4" t="str">
        <f>IF(Student­­Performance[[#This Row],[Math Score]]&gt;=50,"Pass","Fail")</f>
        <v>Pass</v>
      </c>
      <c r="R695" s="4" t="str">
        <f>IF(Student­­Performance[[#This Row],[Reading Score]]&gt;=50,"Pass","Fail")</f>
        <v>Pass</v>
      </c>
      <c r="S695" s="4" t="str">
        <f>IF(Student­­Performance[[#This Row],[Writing Score]]&gt;=50,"Pass","Fail")</f>
        <v>Pass</v>
      </c>
      <c r="T69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177</v>
      </c>
      <c r="U695" s="4" cm="1">
        <f t="array" ref="U695">IF(COUNT(F695:H695)=0,"", MAX(IF(ISNUMBER(F695:H695),F695:H695)) - MIN(IF(ISNUMBER(F695:H695),F695:H695)))</f>
        <v>19</v>
      </c>
      <c r="V695" s="4" t="str">
        <f>IF(U695="","",IF(U695&gt;25,"Outlier","Normal"))</f>
        <v>Normal</v>
      </c>
    </row>
    <row r="696" spans="1:22" x14ac:dyDescent="0.3">
      <c r="A696" s="1" t="s">
        <v>8</v>
      </c>
      <c r="B696" s="1" t="s">
        <v>9</v>
      </c>
      <c r="C696" s="1" t="s">
        <v>88</v>
      </c>
      <c r="D696" s="1" t="s">
        <v>11</v>
      </c>
      <c r="E696" s="1" t="s">
        <v>15</v>
      </c>
      <c r="F696" s="4">
        <v>54</v>
      </c>
      <c r="G696" s="4">
        <v>61</v>
      </c>
      <c r="H696" s="4">
        <v>62</v>
      </c>
      <c r="I696" s="4">
        <f>AVERAGE(Student­­Performance[[#This Row],[Math Score]],Student­­Performance[[#This Row],[Reading Score]],Student­­Performance[[#This Row],[Writing Score]])</f>
        <v>59</v>
      </c>
      <c r="J696" s="10" t="str">
        <f>IF(Student­­Performance[[#This Row],[Average Score]]&gt;=50,"Pass","Fail")</f>
        <v>Pass</v>
      </c>
      <c r="K69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69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69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696" s="4">
        <f>IF(ISNUMBER(Student­­Performance[[#This Row],[Math Score]]),Student­­Performance[[#This Row],[Math Score]],0)</f>
        <v>54</v>
      </c>
      <c r="O696" s="4">
        <f>IF(ISNUMBER(Student­­Performance[[#This Row],[Reading Score]]),Student­­Performance[[#This Row],[Reading Score]],0)</f>
        <v>61</v>
      </c>
      <c r="P696" s="4">
        <f>IF(ISNUMBER(Student­­Performance[[#This Row],[Writing Score]]),Student­­Performance[[#This Row],[Writing Score]],0)</f>
        <v>62</v>
      </c>
      <c r="Q696" s="4" t="str">
        <f>IF(Student­­Performance[[#This Row],[Math Score]]&gt;=50,"Pass","Fail")</f>
        <v>Pass</v>
      </c>
      <c r="R696" s="4" t="str">
        <f>IF(Student­­Performance[[#This Row],[Reading Score]]&gt;=50,"Pass","Fail")</f>
        <v>Pass</v>
      </c>
      <c r="S696" s="4" t="str">
        <f>IF(Student­­Performance[[#This Row],[Writing Score]]&gt;=50,"Pass","Fail")</f>
        <v>Pass</v>
      </c>
      <c r="T69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177</v>
      </c>
      <c r="U696" s="4" cm="1">
        <f t="array" ref="U696">IF(COUNT(F696:H696)=0,"", MAX(IF(ISNUMBER(F696:H696),F696:H696)) - MIN(IF(ISNUMBER(F696:H696),F696:H696)))</f>
        <v>8</v>
      </c>
      <c r="V696" s="4" t="str">
        <f>IF(U696="","",IF(U696&gt;25,"Outlier","Normal"))</f>
        <v>Normal</v>
      </c>
    </row>
    <row r="697" spans="1:22" x14ac:dyDescent="0.3">
      <c r="A697" s="1" t="s">
        <v>17</v>
      </c>
      <c r="B697" s="1" t="s">
        <v>13</v>
      </c>
      <c r="C697" s="1" t="s">
        <v>88</v>
      </c>
      <c r="D697" s="1" t="s">
        <v>20</v>
      </c>
      <c r="E697" s="1" t="s">
        <v>15</v>
      </c>
      <c r="F697" s="4">
        <v>56</v>
      </c>
      <c r="G697" s="4">
        <v>61</v>
      </c>
      <c r="H697" s="4">
        <v>60</v>
      </c>
      <c r="I697" s="4">
        <f>AVERAGE(Student­­Performance[[#This Row],[Math Score]],Student­­Performance[[#This Row],[Reading Score]],Student­­Performance[[#This Row],[Writing Score]])</f>
        <v>59</v>
      </c>
      <c r="J697" s="10" t="str">
        <f>IF(Student­­Performance[[#This Row],[Average Score]]&gt;=50,"Pass","Fail")</f>
        <v>Pass</v>
      </c>
      <c r="K69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69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69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697" s="4">
        <f>IF(ISNUMBER(Student­­Performance[[#This Row],[Math Score]]),Student­­Performance[[#This Row],[Math Score]],0)</f>
        <v>56</v>
      </c>
      <c r="O697" s="4">
        <f>IF(ISNUMBER(Student­­Performance[[#This Row],[Reading Score]]),Student­­Performance[[#This Row],[Reading Score]],0)</f>
        <v>61</v>
      </c>
      <c r="P697" s="4">
        <f>IF(ISNUMBER(Student­­Performance[[#This Row],[Writing Score]]),Student­­Performance[[#This Row],[Writing Score]],0)</f>
        <v>60</v>
      </c>
      <c r="Q697" s="4" t="str">
        <f>IF(Student­­Performance[[#This Row],[Math Score]]&gt;=50,"Pass","Fail")</f>
        <v>Pass</v>
      </c>
      <c r="R697" s="4" t="str">
        <f>IF(Student­­Performance[[#This Row],[Reading Score]]&gt;=50,"Pass","Fail")</f>
        <v>Pass</v>
      </c>
      <c r="S697" s="4" t="str">
        <f>IF(Student­­Performance[[#This Row],[Writing Score]]&gt;=50,"Pass","Fail")</f>
        <v>Pass</v>
      </c>
      <c r="T69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177</v>
      </c>
      <c r="U697" s="4" cm="1">
        <f t="array" ref="U697">IF(COUNT(F697:H697)=0,"", MAX(IF(ISNUMBER(F697:H697),F697:H697)) - MIN(IF(ISNUMBER(F697:H697),F697:H697)))</f>
        <v>5</v>
      </c>
      <c r="V697" s="4" t="str">
        <f>IF(U697="","",IF(U697&gt;25,"Outlier","Normal"))</f>
        <v>Normal</v>
      </c>
    </row>
    <row r="698" spans="1:22" x14ac:dyDescent="0.3">
      <c r="A698" s="1" t="s">
        <v>8</v>
      </c>
      <c r="B698" s="1" t="s">
        <v>21</v>
      </c>
      <c r="C698" s="1" t="s">
        <v>85</v>
      </c>
      <c r="D698" s="1" t="s">
        <v>11</v>
      </c>
      <c r="E698" s="1" t="s">
        <v>12</v>
      </c>
      <c r="F698" s="4">
        <v>54</v>
      </c>
      <c r="G698" s="4">
        <v>60</v>
      </c>
      <c r="H698" s="4">
        <v>63</v>
      </c>
      <c r="I698" s="4">
        <f>AVERAGE(Student­­Performance[[#This Row],[Math Score]],Student­­Performance[[#This Row],[Reading Score]],Student­­Performance[[#This Row],[Writing Score]])</f>
        <v>59</v>
      </c>
      <c r="J698" s="10" t="str">
        <f>IF(Student­­Performance[[#This Row],[Average Score]]&gt;=50,"Pass","Fail")</f>
        <v>Pass</v>
      </c>
      <c r="K69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69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69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698" s="4">
        <f>IF(ISNUMBER(Student­­Performance[[#This Row],[Math Score]]),Student­­Performance[[#This Row],[Math Score]],0)</f>
        <v>54</v>
      </c>
      <c r="O698" s="4">
        <f>IF(ISNUMBER(Student­­Performance[[#This Row],[Reading Score]]),Student­­Performance[[#This Row],[Reading Score]],0)</f>
        <v>60</v>
      </c>
      <c r="P698" s="4">
        <f>IF(ISNUMBER(Student­­Performance[[#This Row],[Writing Score]]),Student­­Performance[[#This Row],[Writing Score]],0)</f>
        <v>63</v>
      </c>
      <c r="Q698" s="4" t="str">
        <f>IF(Student­­Performance[[#This Row],[Math Score]]&gt;=50,"Pass","Fail")</f>
        <v>Pass</v>
      </c>
      <c r="R698" s="4" t="str">
        <f>IF(Student­­Performance[[#This Row],[Reading Score]]&gt;=50,"Pass","Fail")</f>
        <v>Pass</v>
      </c>
      <c r="S698" s="4" t="str">
        <f>IF(Student­­Performance[[#This Row],[Writing Score]]&gt;=50,"Pass","Fail")</f>
        <v>Pass</v>
      </c>
      <c r="T69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177</v>
      </c>
      <c r="U698" s="4" cm="1">
        <f t="array" ref="U698">IF(COUNT(F698:H698)=0,"", MAX(IF(ISNUMBER(F698:H698),F698:H698)) - MIN(IF(ISNUMBER(F698:H698),F698:H698)))</f>
        <v>9</v>
      </c>
      <c r="V698" s="4" t="str">
        <f>IF(U698="","",IF(U698&gt;25,"Outlier","Normal"))</f>
        <v>Normal</v>
      </c>
    </row>
    <row r="699" spans="1:22" x14ac:dyDescent="0.3">
      <c r="A699" s="1" t="s">
        <v>17</v>
      </c>
      <c r="B699" s="1" t="s">
        <v>13</v>
      </c>
      <c r="C699" s="1" t="s">
        <v>84</v>
      </c>
      <c r="D699" s="1" t="s">
        <v>11</v>
      </c>
      <c r="E699" s="1" t="s">
        <v>12</v>
      </c>
      <c r="F699" s="4">
        <v>66</v>
      </c>
      <c r="G699" s="4">
        <v>59</v>
      </c>
      <c r="H699" s="4">
        <v>52</v>
      </c>
      <c r="I699" s="4">
        <f>AVERAGE(Student­­Performance[[#This Row],[Math Score]],Student­­Performance[[#This Row],[Reading Score]],Student­­Performance[[#This Row],[Writing Score]])</f>
        <v>59</v>
      </c>
      <c r="J699" s="10" t="str">
        <f>IF(Student­­Performance[[#This Row],[Average Score]]&gt;=50,"Pass","Fail")</f>
        <v>Pass</v>
      </c>
      <c r="K69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-7</v>
      </c>
      <c r="L69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69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-14</v>
      </c>
      <c r="N699" s="4">
        <f>IF(ISNUMBER(Student­­Performance[[#This Row],[Math Score]]),Student­­Performance[[#This Row],[Math Score]],0)</f>
        <v>66</v>
      </c>
      <c r="O699" s="4">
        <f>IF(ISNUMBER(Student­­Performance[[#This Row],[Reading Score]]),Student­­Performance[[#This Row],[Reading Score]],0)</f>
        <v>59</v>
      </c>
      <c r="P699" s="4">
        <f>IF(ISNUMBER(Student­­Performance[[#This Row],[Writing Score]]),Student­­Performance[[#This Row],[Writing Score]],0)</f>
        <v>52</v>
      </c>
      <c r="Q699" s="4" t="str">
        <f>IF(Student­­Performance[[#This Row],[Math Score]]&gt;=50,"Pass","Fail")</f>
        <v>Pass</v>
      </c>
      <c r="R699" s="4" t="str">
        <f>IF(Student­­Performance[[#This Row],[Reading Score]]&gt;=50,"Pass","Fail")</f>
        <v>Pass</v>
      </c>
      <c r="S699" s="4" t="str">
        <f>IF(Student­­Performance[[#This Row],[Writing Score]]&gt;=50,"Pass","Fail")</f>
        <v>Pass</v>
      </c>
      <c r="T69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177</v>
      </c>
      <c r="U699" s="4" cm="1">
        <f t="array" ref="U699">IF(COUNT(F699:H699)=0,"", MAX(IF(ISNUMBER(F699:H699),F699:H699)) - MIN(IF(ISNUMBER(F699:H699),F699:H699)))</f>
        <v>14</v>
      </c>
      <c r="V699" s="4" t="str">
        <f>IF(U699="","",IF(U699&gt;25,"Outlier","Normal"))</f>
        <v>Normal</v>
      </c>
    </row>
    <row r="700" spans="1:22" x14ac:dyDescent="0.3">
      <c r="A700" s="1" t="s">
        <v>17</v>
      </c>
      <c r="B700" s="1" t="s">
        <v>18</v>
      </c>
      <c r="C700" s="1" t="s">
        <v>86</v>
      </c>
      <c r="D700" s="1" t="s">
        <v>11</v>
      </c>
      <c r="E700" s="1" t="s">
        <v>12</v>
      </c>
      <c r="F700" s="4">
        <v>67</v>
      </c>
      <c r="G700" s="4">
        <v>57</v>
      </c>
      <c r="H700" s="4">
        <v>53</v>
      </c>
      <c r="I700" s="4">
        <f>AVERAGE(Student­­Performance[[#This Row],[Math Score]],Student­­Performance[[#This Row],[Reading Score]],Student­­Performance[[#This Row],[Writing Score]])</f>
        <v>59</v>
      </c>
      <c r="J700" s="10" t="str">
        <f>IF(Student­­Performance[[#This Row],[Average Score]]&gt;=50,"Pass","Fail")</f>
        <v>Pass</v>
      </c>
      <c r="K70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-10</v>
      </c>
      <c r="L70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70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-14</v>
      </c>
      <c r="N700" s="4">
        <f>IF(ISNUMBER(Student­­Performance[[#This Row],[Math Score]]),Student­­Performance[[#This Row],[Math Score]],0)</f>
        <v>67</v>
      </c>
      <c r="O700" s="4">
        <f>IF(ISNUMBER(Student­­Performance[[#This Row],[Reading Score]]),Student­­Performance[[#This Row],[Reading Score]],0)</f>
        <v>57</v>
      </c>
      <c r="P700" s="4">
        <f>IF(ISNUMBER(Student­­Performance[[#This Row],[Writing Score]]),Student­­Performance[[#This Row],[Writing Score]],0)</f>
        <v>53</v>
      </c>
      <c r="Q700" s="4" t="str">
        <f>IF(Student­­Performance[[#This Row],[Math Score]]&gt;=50,"Pass","Fail")</f>
        <v>Pass</v>
      </c>
      <c r="R700" s="4" t="str">
        <f>IF(Student­­Performance[[#This Row],[Reading Score]]&gt;=50,"Pass","Fail")</f>
        <v>Pass</v>
      </c>
      <c r="S700" s="4" t="str">
        <f>IF(Student­­Performance[[#This Row],[Writing Score]]&gt;=50,"Pass","Fail")</f>
        <v>Pass</v>
      </c>
      <c r="T70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177</v>
      </c>
      <c r="U700" s="4" cm="1">
        <f t="array" ref="U700">IF(COUNT(F700:H700)=0,"", MAX(IF(ISNUMBER(F700:H700),F700:H700)) - MIN(IF(ISNUMBER(F700:H700),F700:H700)))</f>
        <v>14</v>
      </c>
      <c r="V700" s="4" t="str">
        <f>IF(U700="","",IF(U700&gt;25,"Outlier","Normal"))</f>
        <v>Normal</v>
      </c>
    </row>
    <row r="701" spans="1:22" x14ac:dyDescent="0.3">
      <c r="A701" s="1" t="s">
        <v>8</v>
      </c>
      <c r="B701" s="1" t="s">
        <v>9</v>
      </c>
      <c r="C701" s="1" t="s">
        <v>86</v>
      </c>
      <c r="D701" s="1" t="s">
        <v>11</v>
      </c>
      <c r="E701" s="1" t="s">
        <v>12</v>
      </c>
      <c r="F701" s="4">
        <v>53</v>
      </c>
      <c r="G701" s="4">
        <v>58</v>
      </c>
      <c r="H701" s="4">
        <v>65</v>
      </c>
      <c r="I701" s="4">
        <f>AVERAGE(Student­­Performance[[#This Row],[Math Score]],Student­­Performance[[#This Row],[Reading Score]],Student­­Performance[[#This Row],[Writing Score]])</f>
        <v>58.666666666666664</v>
      </c>
      <c r="J701" s="10" t="str">
        <f>IF(Student­­Performance[[#This Row],[Average Score]]&gt;=50,"Pass","Fail")</f>
        <v>Pass</v>
      </c>
      <c r="K70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70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7</v>
      </c>
      <c r="M70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701" s="4">
        <f>IF(ISNUMBER(Student­­Performance[[#This Row],[Math Score]]),Student­­Performance[[#This Row],[Math Score]],0)</f>
        <v>53</v>
      </c>
      <c r="O701" s="4">
        <f>IF(ISNUMBER(Student­­Performance[[#This Row],[Reading Score]]),Student­­Performance[[#This Row],[Reading Score]],0)</f>
        <v>58</v>
      </c>
      <c r="P701" s="4">
        <f>IF(ISNUMBER(Student­­Performance[[#This Row],[Writing Score]]),Student­­Performance[[#This Row],[Writing Score]],0)</f>
        <v>65</v>
      </c>
      <c r="Q701" s="4" t="str">
        <f>IF(Student­­Performance[[#This Row],[Math Score]]&gt;=50,"Pass","Fail")</f>
        <v>Pass</v>
      </c>
      <c r="R701" s="4" t="str">
        <f>IF(Student­­Performance[[#This Row],[Reading Score]]&gt;=50,"Pass","Fail")</f>
        <v>Pass</v>
      </c>
      <c r="S701" s="4" t="str">
        <f>IF(Student­­Performance[[#This Row],[Writing Score]]&gt;=50,"Pass","Fail")</f>
        <v>Pass</v>
      </c>
      <c r="T70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176</v>
      </c>
      <c r="U701" s="4" cm="1">
        <f t="array" ref="U701">IF(COUNT(F701:H701)=0,"", MAX(IF(ISNUMBER(F701:H701),F701:H701)) - MIN(IF(ISNUMBER(F701:H701),F701:H701)))</f>
        <v>12</v>
      </c>
      <c r="V701" s="4" t="str">
        <f>IF(U701="","",IF(U701&gt;25,"Outlier","Normal"))</f>
        <v>Normal</v>
      </c>
    </row>
    <row r="702" spans="1:22" x14ac:dyDescent="0.3">
      <c r="A702" s="1" t="s">
        <v>17</v>
      </c>
      <c r="B702" s="1" t="s">
        <v>9</v>
      </c>
      <c r="C702" s="1" t="s">
        <v>86</v>
      </c>
      <c r="D702" s="1" t="s">
        <v>11</v>
      </c>
      <c r="E702" s="1" t="s">
        <v>12</v>
      </c>
      <c r="F702" s="4">
        <v>65</v>
      </c>
      <c r="G702" s="4">
        <v>54</v>
      </c>
      <c r="H702" s="4">
        <v>57</v>
      </c>
      <c r="I702" s="4">
        <f>AVERAGE(Student­­Performance[[#This Row],[Math Score]],Student­­Performance[[#This Row],[Reading Score]],Student­­Performance[[#This Row],[Writing Score]])</f>
        <v>58.666666666666664</v>
      </c>
      <c r="J702" s="10" t="str">
        <f>IF(Student­­Performance[[#This Row],[Average Score]]&gt;=50,"Pass","Fail")</f>
        <v>Pass</v>
      </c>
      <c r="K70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-11</v>
      </c>
      <c r="L70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70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702" s="4">
        <f>IF(ISNUMBER(Student­­Performance[[#This Row],[Math Score]]),Student­­Performance[[#This Row],[Math Score]],0)</f>
        <v>65</v>
      </c>
      <c r="O702" s="4">
        <f>IF(ISNUMBER(Student­­Performance[[#This Row],[Reading Score]]),Student­­Performance[[#This Row],[Reading Score]],0)</f>
        <v>54</v>
      </c>
      <c r="P702" s="4">
        <f>IF(ISNUMBER(Student­­Performance[[#This Row],[Writing Score]]),Student­­Performance[[#This Row],[Writing Score]],0)</f>
        <v>57</v>
      </c>
      <c r="Q702" s="4" t="str">
        <f>IF(Student­­Performance[[#This Row],[Math Score]]&gt;=50,"Pass","Fail")</f>
        <v>Pass</v>
      </c>
      <c r="R702" s="4" t="str">
        <f>IF(Student­­Performance[[#This Row],[Reading Score]]&gt;=50,"Pass","Fail")</f>
        <v>Pass</v>
      </c>
      <c r="S702" s="4" t="str">
        <f>IF(Student­­Performance[[#This Row],[Writing Score]]&gt;=50,"Pass","Fail")</f>
        <v>Pass</v>
      </c>
      <c r="T70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176</v>
      </c>
      <c r="U702" s="4" cm="1">
        <f t="array" ref="U702">IF(COUNT(F702:H702)=0,"", MAX(IF(ISNUMBER(F702:H702),F702:H702)) - MIN(IF(ISNUMBER(F702:H702),F702:H702)))</f>
        <v>11</v>
      </c>
      <c r="V702" s="4" t="str">
        <f>IF(U702="","",IF(U702&gt;25,"Outlier","Normal"))</f>
        <v>Normal</v>
      </c>
    </row>
    <row r="703" spans="1:22" x14ac:dyDescent="0.3">
      <c r="A703" s="1" t="s">
        <v>8</v>
      </c>
      <c r="B703" s="1" t="s">
        <v>21</v>
      </c>
      <c r="C703" s="1" t="s">
        <v>88</v>
      </c>
      <c r="D703" s="1" t="s">
        <v>11</v>
      </c>
      <c r="E703" s="1" t="s">
        <v>12</v>
      </c>
      <c r="F703" s="4">
        <v>59</v>
      </c>
      <c r="G703" s="4">
        <v>58</v>
      </c>
      <c r="H703" s="4">
        <v>59</v>
      </c>
      <c r="I703" s="4">
        <f>AVERAGE(Student­­Performance[[#This Row],[Math Score]],Student­­Performance[[#This Row],[Reading Score]],Student­­Performance[[#This Row],[Writing Score]])</f>
        <v>58.666666666666664</v>
      </c>
      <c r="J703" s="10" t="str">
        <f>IF(Student­­Performance[[#This Row],[Average Score]]&gt;=50,"Pass","Fail")</f>
        <v>Pass</v>
      </c>
      <c r="K70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70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70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703" s="4">
        <f>IF(ISNUMBER(Student­­Performance[[#This Row],[Math Score]]),Student­­Performance[[#This Row],[Math Score]],0)</f>
        <v>59</v>
      </c>
      <c r="O703" s="4">
        <f>IF(ISNUMBER(Student­­Performance[[#This Row],[Reading Score]]),Student­­Performance[[#This Row],[Reading Score]],0)</f>
        <v>58</v>
      </c>
      <c r="P703" s="4">
        <f>IF(ISNUMBER(Student­­Performance[[#This Row],[Writing Score]]),Student­­Performance[[#This Row],[Writing Score]],0)</f>
        <v>59</v>
      </c>
      <c r="Q703" s="4" t="str">
        <f>IF(Student­­Performance[[#This Row],[Math Score]]&gt;=50,"Pass","Fail")</f>
        <v>Pass</v>
      </c>
      <c r="R703" s="4" t="str">
        <f>IF(Student­­Performance[[#This Row],[Reading Score]]&gt;=50,"Pass","Fail")</f>
        <v>Pass</v>
      </c>
      <c r="S703" s="4" t="str">
        <f>IF(Student­­Performance[[#This Row],[Writing Score]]&gt;=50,"Pass","Fail")</f>
        <v>Pass</v>
      </c>
      <c r="T70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176</v>
      </c>
      <c r="U703" s="4" cm="1">
        <f t="array" ref="U703">IF(COUNT(F703:H703)=0,"", MAX(IF(ISNUMBER(F703:H703),F703:H703)) - MIN(IF(ISNUMBER(F703:H703),F703:H703)))</f>
        <v>1</v>
      </c>
      <c r="V703" s="4" t="str">
        <f>IF(U703="","",IF(U703&gt;25,"Outlier","Normal"))</f>
        <v>Normal</v>
      </c>
    </row>
    <row r="704" spans="1:22" x14ac:dyDescent="0.3">
      <c r="A704" s="1" t="s">
        <v>17</v>
      </c>
      <c r="B704" s="1" t="s">
        <v>21</v>
      </c>
      <c r="C704" s="1" t="s">
        <v>87</v>
      </c>
      <c r="D704" s="1" t="s">
        <v>20</v>
      </c>
      <c r="E704" s="1" t="s">
        <v>12</v>
      </c>
      <c r="F704" s="4">
        <v>63</v>
      </c>
      <c r="G704" s="4">
        <v>57</v>
      </c>
      <c r="H704" s="4">
        <v>56</v>
      </c>
      <c r="I704" s="4">
        <f>AVERAGE(Student­­Performance[[#This Row],[Math Score]],Student­­Performance[[#This Row],[Reading Score]],Student­­Performance[[#This Row],[Writing Score]])</f>
        <v>58.666666666666664</v>
      </c>
      <c r="J704" s="10" t="str">
        <f>IF(Student­­Performance[[#This Row],[Average Score]]&gt;=50,"Pass","Fail")</f>
        <v>Pass</v>
      </c>
      <c r="K70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70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70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704" s="4">
        <f>IF(ISNUMBER(Student­­Performance[[#This Row],[Math Score]]),Student­­Performance[[#This Row],[Math Score]],0)</f>
        <v>63</v>
      </c>
      <c r="O704" s="4">
        <f>IF(ISNUMBER(Student­­Performance[[#This Row],[Reading Score]]),Student­­Performance[[#This Row],[Reading Score]],0)</f>
        <v>57</v>
      </c>
      <c r="P704" s="4">
        <f>IF(ISNUMBER(Student­­Performance[[#This Row],[Writing Score]]),Student­­Performance[[#This Row],[Writing Score]],0)</f>
        <v>56</v>
      </c>
      <c r="Q704" s="4" t="str">
        <f>IF(Student­­Performance[[#This Row],[Math Score]]&gt;=50,"Pass","Fail")</f>
        <v>Pass</v>
      </c>
      <c r="R704" s="4" t="str">
        <f>IF(Student­­Performance[[#This Row],[Reading Score]]&gt;=50,"Pass","Fail")</f>
        <v>Pass</v>
      </c>
      <c r="S704" s="4" t="str">
        <f>IF(Student­­Performance[[#This Row],[Writing Score]]&gt;=50,"Pass","Fail")</f>
        <v>Pass</v>
      </c>
      <c r="T70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176</v>
      </c>
      <c r="U704" s="4" cm="1">
        <f t="array" ref="U704">IF(COUNT(F704:H704)=0,"", MAX(IF(ISNUMBER(F704:H704),F704:H704)) - MIN(IF(ISNUMBER(F704:H704),F704:H704)))</f>
        <v>7</v>
      </c>
      <c r="V704" s="4" t="str">
        <f>IF(U704="","",IF(U704&gt;25,"Outlier","Normal"))</f>
        <v>Normal</v>
      </c>
    </row>
    <row r="705" spans="1:22" x14ac:dyDescent="0.3">
      <c r="A705" s="1" t="s">
        <v>8</v>
      </c>
      <c r="B705" s="1" t="s">
        <v>13</v>
      </c>
      <c r="C705" s="1" t="s">
        <v>84</v>
      </c>
      <c r="D705" s="1" t="s">
        <v>20</v>
      </c>
      <c r="E705" s="1" t="s">
        <v>12</v>
      </c>
      <c r="F705" s="4">
        <v>46</v>
      </c>
      <c r="G705" s="4">
        <v>64</v>
      </c>
      <c r="H705" s="4">
        <v>66</v>
      </c>
      <c r="I705" s="4">
        <f>AVERAGE(Student­­Performance[[#This Row],[Math Score]],Student­­Performance[[#This Row],[Reading Score]],Student­­Performance[[#This Row],[Writing Score]])</f>
        <v>58.666666666666664</v>
      </c>
      <c r="J705" s="10" t="str">
        <f>IF(Student­­Performance[[#This Row],[Average Score]]&gt;=50,"Pass","Fail")</f>
        <v>Pass</v>
      </c>
      <c r="K70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18</v>
      </c>
      <c r="L70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70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20</v>
      </c>
      <c r="N705" s="4">
        <f>IF(ISNUMBER(Student­­Performance[[#This Row],[Math Score]]),Student­­Performance[[#This Row],[Math Score]],0)</f>
        <v>46</v>
      </c>
      <c r="O705" s="4">
        <f>IF(ISNUMBER(Student­­Performance[[#This Row],[Reading Score]]),Student­­Performance[[#This Row],[Reading Score]],0)</f>
        <v>64</v>
      </c>
      <c r="P705" s="4">
        <f>IF(ISNUMBER(Student­­Performance[[#This Row],[Writing Score]]),Student­­Performance[[#This Row],[Writing Score]],0)</f>
        <v>66</v>
      </c>
      <c r="Q705" s="4" t="str">
        <f>IF(Student­­Performance[[#This Row],[Math Score]]&gt;=50,"Pass","Fail")</f>
        <v>Fail</v>
      </c>
      <c r="R705" s="4" t="str">
        <f>IF(Student­­Performance[[#This Row],[Reading Score]]&gt;=50,"Pass","Fail")</f>
        <v>Pass</v>
      </c>
      <c r="S705" s="4" t="str">
        <f>IF(Student­­Performance[[#This Row],[Writing Score]]&gt;=50,"Pass","Fail")</f>
        <v>Pass</v>
      </c>
      <c r="T70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176</v>
      </c>
      <c r="U705" s="4" cm="1">
        <f t="array" ref="U705">IF(COUNT(F705:H705)=0,"", MAX(IF(ISNUMBER(F705:H705),F705:H705)) - MIN(IF(ISNUMBER(F705:H705),F705:H705)))</f>
        <v>20</v>
      </c>
      <c r="V705" s="4" t="str">
        <f>IF(U705="","",IF(U705&gt;25,"Outlier","Normal"))</f>
        <v>Normal</v>
      </c>
    </row>
    <row r="706" spans="1:22" x14ac:dyDescent="0.3">
      <c r="A706" s="1" t="s">
        <v>8</v>
      </c>
      <c r="B706" s="1" t="s">
        <v>13</v>
      </c>
      <c r="C706" s="1" t="s">
        <v>86</v>
      </c>
      <c r="D706" s="1" t="s">
        <v>20</v>
      </c>
      <c r="E706" s="1" t="s">
        <v>12</v>
      </c>
      <c r="F706" s="4">
        <v>53</v>
      </c>
      <c r="G706" s="4">
        <v>61</v>
      </c>
      <c r="H706" s="4">
        <v>62</v>
      </c>
      <c r="I706" s="4">
        <f>AVERAGE(Student­­Performance[[#This Row],[Math Score]],Student­­Performance[[#This Row],[Reading Score]],Student­­Performance[[#This Row],[Writing Score]])</f>
        <v>58.666666666666664</v>
      </c>
      <c r="J706" s="10" t="str">
        <f>IF(Student­­Performance[[#This Row],[Average Score]]&gt;=50,"Pass","Fail")</f>
        <v>Pass</v>
      </c>
      <c r="K70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70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70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706" s="4">
        <f>IF(ISNUMBER(Student­­Performance[[#This Row],[Math Score]]),Student­­Performance[[#This Row],[Math Score]],0)</f>
        <v>53</v>
      </c>
      <c r="O706" s="4">
        <f>IF(ISNUMBER(Student­­Performance[[#This Row],[Reading Score]]),Student­­Performance[[#This Row],[Reading Score]],0)</f>
        <v>61</v>
      </c>
      <c r="P706" s="4">
        <f>IF(ISNUMBER(Student­­Performance[[#This Row],[Writing Score]]),Student­­Performance[[#This Row],[Writing Score]],0)</f>
        <v>62</v>
      </c>
      <c r="Q706" s="4" t="str">
        <f>IF(Student­­Performance[[#This Row],[Math Score]]&gt;=50,"Pass","Fail")</f>
        <v>Pass</v>
      </c>
      <c r="R706" s="4" t="str">
        <f>IF(Student­­Performance[[#This Row],[Reading Score]]&gt;=50,"Pass","Fail")</f>
        <v>Pass</v>
      </c>
      <c r="S706" s="4" t="str">
        <f>IF(Student­­Performance[[#This Row],[Writing Score]]&gt;=50,"Pass","Fail")</f>
        <v>Pass</v>
      </c>
      <c r="T70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176</v>
      </c>
      <c r="U706" s="4" cm="1">
        <f t="array" ref="U706">IF(COUNT(F706:H706)=0,"", MAX(IF(ISNUMBER(F706:H706),F706:H706)) - MIN(IF(ISNUMBER(F706:H706),F706:H706)))</f>
        <v>9</v>
      </c>
      <c r="V706" s="4" t="str">
        <f>IF(U706="","",IF(U706&gt;25,"Outlier","Normal"))</f>
        <v>Normal</v>
      </c>
    </row>
    <row r="707" spans="1:22" x14ac:dyDescent="0.3">
      <c r="A707" s="1" t="s">
        <v>17</v>
      </c>
      <c r="B707" s="1" t="s">
        <v>26</v>
      </c>
      <c r="C707" s="1" t="s">
        <v>88</v>
      </c>
      <c r="D707" s="1" t="s">
        <v>11</v>
      </c>
      <c r="E707" s="1" t="s">
        <v>15</v>
      </c>
      <c r="F707" s="4">
        <v>68</v>
      </c>
      <c r="G707" s="4">
        <v>51</v>
      </c>
      <c r="H707" s="4">
        <v>57</v>
      </c>
      <c r="I707" s="4">
        <f>AVERAGE(Student­­Performance[[#This Row],[Math Score]],Student­­Performance[[#This Row],[Reading Score]],Student­­Performance[[#This Row],[Writing Score]])</f>
        <v>58.666666666666664</v>
      </c>
      <c r="J707" s="10" t="str">
        <f>IF(Student­­Performance[[#This Row],[Average Score]]&gt;=50,"Pass","Fail")</f>
        <v>Pass</v>
      </c>
      <c r="K70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-17</v>
      </c>
      <c r="L70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70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-11</v>
      </c>
      <c r="N707" s="4">
        <f>IF(ISNUMBER(Student­­Performance[[#This Row],[Math Score]]),Student­­Performance[[#This Row],[Math Score]],0)</f>
        <v>68</v>
      </c>
      <c r="O707" s="4">
        <f>IF(ISNUMBER(Student­­Performance[[#This Row],[Reading Score]]),Student­­Performance[[#This Row],[Reading Score]],0)</f>
        <v>51</v>
      </c>
      <c r="P707" s="4">
        <f>IF(ISNUMBER(Student­­Performance[[#This Row],[Writing Score]]),Student­­Performance[[#This Row],[Writing Score]],0)</f>
        <v>57</v>
      </c>
      <c r="Q707" s="4" t="str">
        <f>IF(Student­­Performance[[#This Row],[Math Score]]&gt;=50,"Pass","Fail")</f>
        <v>Pass</v>
      </c>
      <c r="R707" s="4" t="str">
        <f>IF(Student­­Performance[[#This Row],[Reading Score]]&gt;=50,"Pass","Fail")</f>
        <v>Pass</v>
      </c>
      <c r="S707" s="4" t="str">
        <f>IF(Student­­Performance[[#This Row],[Writing Score]]&gt;=50,"Pass","Fail")</f>
        <v>Pass</v>
      </c>
      <c r="T70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176</v>
      </c>
      <c r="U707" s="4" cm="1">
        <f t="array" ref="U707">IF(COUNT(F707:H707)=0,"", MAX(IF(ISNUMBER(F707:H707),F707:H707)) - MIN(IF(ISNUMBER(F707:H707),F707:H707)))</f>
        <v>17</v>
      </c>
      <c r="V707" s="4" t="str">
        <f>IF(U707="","",IF(U707&gt;25,"Outlier","Normal"))</f>
        <v>Normal</v>
      </c>
    </row>
    <row r="708" spans="1:22" x14ac:dyDescent="0.3">
      <c r="A708" s="1" t="s">
        <v>17</v>
      </c>
      <c r="B708" s="1" t="s">
        <v>13</v>
      </c>
      <c r="C708" s="1" t="s">
        <v>87</v>
      </c>
      <c r="D708" s="1" t="s">
        <v>20</v>
      </c>
      <c r="E708" s="1" t="s">
        <v>12</v>
      </c>
      <c r="F708" s="4">
        <v>61</v>
      </c>
      <c r="G708" s="4">
        <v>60</v>
      </c>
      <c r="H708" s="4">
        <v>55</v>
      </c>
      <c r="I708" s="4">
        <f>AVERAGE(Student­­Performance[[#This Row],[Math Score]],Student­­Performance[[#This Row],[Reading Score]],Student­­Performance[[#This Row],[Writing Score]])</f>
        <v>58.666666666666664</v>
      </c>
      <c r="J708" s="10" t="str">
        <f>IF(Student­­Performance[[#This Row],[Average Score]]&gt;=50,"Pass","Fail")</f>
        <v>Pass</v>
      </c>
      <c r="K70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70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70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708" s="4">
        <f>IF(ISNUMBER(Student­­Performance[[#This Row],[Math Score]]),Student­­Performance[[#This Row],[Math Score]],0)</f>
        <v>61</v>
      </c>
      <c r="O708" s="4">
        <f>IF(ISNUMBER(Student­­Performance[[#This Row],[Reading Score]]),Student­­Performance[[#This Row],[Reading Score]],0)</f>
        <v>60</v>
      </c>
      <c r="P708" s="4">
        <f>IF(ISNUMBER(Student­­Performance[[#This Row],[Writing Score]]),Student­­Performance[[#This Row],[Writing Score]],0)</f>
        <v>55</v>
      </c>
      <c r="Q708" s="4" t="str">
        <f>IF(Student­­Performance[[#This Row],[Math Score]]&gt;=50,"Pass","Fail")</f>
        <v>Pass</v>
      </c>
      <c r="R708" s="4" t="str">
        <f>IF(Student­­Performance[[#This Row],[Reading Score]]&gt;=50,"Pass","Fail")</f>
        <v>Pass</v>
      </c>
      <c r="S708" s="4" t="str">
        <f>IF(Student­­Performance[[#This Row],[Writing Score]]&gt;=50,"Pass","Fail")</f>
        <v>Pass</v>
      </c>
      <c r="T70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176</v>
      </c>
      <c r="U708" s="4" cm="1">
        <f t="array" ref="U708">IF(COUNT(F708:H708)=0,"", MAX(IF(ISNUMBER(F708:H708),F708:H708)) - MIN(IF(ISNUMBER(F708:H708),F708:H708)))</f>
        <v>6</v>
      </c>
      <c r="V708" s="4" t="str">
        <f>IF(U708="","",IF(U708&gt;25,"Outlier","Normal"))</f>
        <v>Normal</v>
      </c>
    </row>
    <row r="709" spans="1:22" x14ac:dyDescent="0.3">
      <c r="A709" s="1" t="s">
        <v>8</v>
      </c>
      <c r="B709" s="1" t="s">
        <v>21</v>
      </c>
      <c r="C709" s="1" t="s">
        <v>84</v>
      </c>
      <c r="D709" s="1" t="s">
        <v>20</v>
      </c>
      <c r="E709" s="1" t="s">
        <v>15</v>
      </c>
      <c r="F709" s="4">
        <v>52</v>
      </c>
      <c r="G709" s="4">
        <v>59</v>
      </c>
      <c r="H709" s="4">
        <v>65</v>
      </c>
      <c r="I709" s="4">
        <f>AVERAGE(Student­­Performance[[#This Row],[Math Score]],Student­­Performance[[#This Row],[Reading Score]],Student­­Performance[[#This Row],[Writing Score]])</f>
        <v>58.666666666666664</v>
      </c>
      <c r="J709" s="10" t="str">
        <f>IF(Student­­Performance[[#This Row],[Average Score]]&gt;=50,"Pass","Fail")</f>
        <v>Pass</v>
      </c>
      <c r="K70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70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70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13</v>
      </c>
      <c r="N709" s="4">
        <f>IF(ISNUMBER(Student­­Performance[[#This Row],[Math Score]]),Student­­Performance[[#This Row],[Math Score]],0)</f>
        <v>52</v>
      </c>
      <c r="O709" s="4">
        <f>IF(ISNUMBER(Student­­Performance[[#This Row],[Reading Score]]),Student­­Performance[[#This Row],[Reading Score]],0)</f>
        <v>59</v>
      </c>
      <c r="P709" s="4">
        <f>IF(ISNUMBER(Student­­Performance[[#This Row],[Writing Score]]),Student­­Performance[[#This Row],[Writing Score]],0)</f>
        <v>65</v>
      </c>
      <c r="Q709" s="4" t="str">
        <f>IF(Student­­Performance[[#This Row],[Math Score]]&gt;=50,"Pass","Fail")</f>
        <v>Pass</v>
      </c>
      <c r="R709" s="4" t="str">
        <f>IF(Student­­Performance[[#This Row],[Reading Score]]&gt;=50,"Pass","Fail")</f>
        <v>Pass</v>
      </c>
      <c r="S709" s="4" t="str">
        <f>IF(Student­­Performance[[#This Row],[Writing Score]]&gt;=50,"Pass","Fail")</f>
        <v>Pass</v>
      </c>
      <c r="T70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176</v>
      </c>
      <c r="U709" s="4" cm="1">
        <f t="array" ref="U709">IF(COUNT(F709:H709)=0,"", MAX(IF(ISNUMBER(F709:H709),F709:H709)) - MIN(IF(ISNUMBER(F709:H709),F709:H709)))</f>
        <v>13</v>
      </c>
      <c r="V709" s="4" t="str">
        <f>IF(U709="","",IF(U709&gt;25,"Outlier","Normal"))</f>
        <v>Normal</v>
      </c>
    </row>
    <row r="710" spans="1:22" x14ac:dyDescent="0.3">
      <c r="A710" s="1" t="s">
        <v>17</v>
      </c>
      <c r="B710" s="1" t="s">
        <v>21</v>
      </c>
      <c r="C710" s="1" t="s">
        <v>84</v>
      </c>
      <c r="D710" s="1" t="s">
        <v>11</v>
      </c>
      <c r="E710" s="1" t="s">
        <v>15</v>
      </c>
      <c r="F710" s="4">
        <v>58</v>
      </c>
      <c r="G710" s="4">
        <v>59</v>
      </c>
      <c r="H710" s="4">
        <v>58</v>
      </c>
      <c r="I710" s="4">
        <f>AVERAGE(Student­­Performance[[#This Row],[Math Score]],Student­­Performance[[#This Row],[Reading Score]],Student­­Performance[[#This Row],[Writing Score]])</f>
        <v>58.333333333333336</v>
      </c>
      <c r="J710" s="10" t="str">
        <f>IF(Student­­Performance[[#This Row],[Average Score]]&gt;=50,"Pass","Fail")</f>
        <v>Pass</v>
      </c>
      <c r="K71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71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71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710" s="4">
        <f>IF(ISNUMBER(Student­­Performance[[#This Row],[Math Score]]),Student­­Performance[[#This Row],[Math Score]],0)</f>
        <v>58</v>
      </c>
      <c r="O710" s="4">
        <f>IF(ISNUMBER(Student­­Performance[[#This Row],[Reading Score]]),Student­­Performance[[#This Row],[Reading Score]],0)</f>
        <v>59</v>
      </c>
      <c r="P710" s="4">
        <f>IF(ISNUMBER(Student­­Performance[[#This Row],[Writing Score]]),Student­­Performance[[#This Row],[Writing Score]],0)</f>
        <v>58</v>
      </c>
      <c r="Q710" s="4" t="str">
        <f>IF(Student­­Performance[[#This Row],[Math Score]]&gt;=50,"Pass","Fail")</f>
        <v>Pass</v>
      </c>
      <c r="R710" s="4" t="str">
        <f>IF(Student­­Performance[[#This Row],[Reading Score]]&gt;=50,"Pass","Fail")</f>
        <v>Pass</v>
      </c>
      <c r="S710" s="4" t="str">
        <f>IF(Student­­Performance[[#This Row],[Writing Score]]&gt;=50,"Pass","Fail")</f>
        <v>Pass</v>
      </c>
      <c r="T71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175</v>
      </c>
      <c r="U710" s="4" cm="1">
        <f t="array" ref="U710">IF(COUNT(F710:H710)=0,"", MAX(IF(ISNUMBER(F710:H710),F710:H710)) - MIN(IF(ISNUMBER(F710:H710),F710:H710)))</f>
        <v>1</v>
      </c>
      <c r="V710" s="4" t="str">
        <f>IF(U710="","",IF(U710&gt;25,"Outlier","Normal"))</f>
        <v>Normal</v>
      </c>
    </row>
    <row r="711" spans="1:22" x14ac:dyDescent="0.3">
      <c r="A711" s="1" t="s">
        <v>8</v>
      </c>
      <c r="B711" s="1" t="s">
        <v>21</v>
      </c>
      <c r="C711" s="1" t="s">
        <v>88</v>
      </c>
      <c r="D711" s="1" t="s">
        <v>11</v>
      </c>
      <c r="E711" s="1" t="s">
        <v>12</v>
      </c>
      <c r="F711" s="4">
        <v>51</v>
      </c>
      <c r="G711" s="4">
        <v>63</v>
      </c>
      <c r="H711" s="4">
        <v>61</v>
      </c>
      <c r="I711" s="4">
        <f>AVERAGE(Student­­Performance[[#This Row],[Math Score]],Student­­Performance[[#This Row],[Reading Score]],Student­­Performance[[#This Row],[Writing Score]])</f>
        <v>58.333333333333336</v>
      </c>
      <c r="J711" s="10" t="str">
        <f>IF(Student­­Performance[[#This Row],[Average Score]]&gt;=50,"Pass","Fail")</f>
        <v>Pass</v>
      </c>
      <c r="K71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71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71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711" s="4">
        <f>IF(ISNUMBER(Student­­Performance[[#This Row],[Math Score]]),Student­­Performance[[#This Row],[Math Score]],0)</f>
        <v>51</v>
      </c>
      <c r="O711" s="4">
        <f>IF(ISNUMBER(Student­­Performance[[#This Row],[Reading Score]]),Student­­Performance[[#This Row],[Reading Score]],0)</f>
        <v>63</v>
      </c>
      <c r="P711" s="4">
        <f>IF(ISNUMBER(Student­­Performance[[#This Row],[Writing Score]]),Student­­Performance[[#This Row],[Writing Score]],0)</f>
        <v>61</v>
      </c>
      <c r="Q711" s="4" t="str">
        <f>IF(Student­­Performance[[#This Row],[Math Score]]&gt;=50,"Pass","Fail")</f>
        <v>Pass</v>
      </c>
      <c r="R711" s="4" t="str">
        <f>IF(Student­­Performance[[#This Row],[Reading Score]]&gt;=50,"Pass","Fail")</f>
        <v>Pass</v>
      </c>
      <c r="S711" s="4" t="str">
        <f>IF(Student­­Performance[[#This Row],[Writing Score]]&gt;=50,"Pass","Fail")</f>
        <v>Pass</v>
      </c>
      <c r="T71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175</v>
      </c>
      <c r="U711" s="4" cm="1">
        <f t="array" ref="U711">IF(COUNT(F711:H711)=0,"", MAX(IF(ISNUMBER(F711:H711),F711:H711)) - MIN(IF(ISNUMBER(F711:H711),F711:H711)))</f>
        <v>12</v>
      </c>
      <c r="V711" s="4" t="str">
        <f>IF(U711="","",IF(U711&gt;25,"Outlier","Normal"))</f>
        <v>Normal</v>
      </c>
    </row>
    <row r="712" spans="1:22" x14ac:dyDescent="0.3">
      <c r="A712" s="1" t="s">
        <v>17</v>
      </c>
      <c r="B712" s="1" t="s">
        <v>26</v>
      </c>
      <c r="C712" s="1" t="s">
        <v>84</v>
      </c>
      <c r="D712" s="1" t="s">
        <v>11</v>
      </c>
      <c r="E712" s="1" t="s">
        <v>12</v>
      </c>
      <c r="F712" s="4">
        <v>66</v>
      </c>
      <c r="G712" s="4">
        <v>57</v>
      </c>
      <c r="H712" s="4">
        <v>52</v>
      </c>
      <c r="I712" s="4">
        <f>AVERAGE(Student­­Performance[[#This Row],[Math Score]],Student­­Performance[[#This Row],[Reading Score]],Student­­Performance[[#This Row],[Writing Score]])</f>
        <v>58.333333333333336</v>
      </c>
      <c r="J712" s="10" t="str">
        <f>IF(Student­­Performance[[#This Row],[Average Score]]&gt;=50,"Pass","Fail")</f>
        <v>Pass</v>
      </c>
      <c r="K71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-9</v>
      </c>
      <c r="L71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71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-14</v>
      </c>
      <c r="N712" s="4">
        <f>IF(ISNUMBER(Student­­Performance[[#This Row],[Math Score]]),Student­­Performance[[#This Row],[Math Score]],0)</f>
        <v>66</v>
      </c>
      <c r="O712" s="4">
        <f>IF(ISNUMBER(Student­­Performance[[#This Row],[Reading Score]]),Student­­Performance[[#This Row],[Reading Score]],0)</f>
        <v>57</v>
      </c>
      <c r="P712" s="4">
        <f>IF(ISNUMBER(Student­­Performance[[#This Row],[Writing Score]]),Student­­Performance[[#This Row],[Writing Score]],0)</f>
        <v>52</v>
      </c>
      <c r="Q712" s="4" t="str">
        <f>IF(Student­­Performance[[#This Row],[Math Score]]&gt;=50,"Pass","Fail")</f>
        <v>Pass</v>
      </c>
      <c r="R712" s="4" t="str">
        <f>IF(Student­­Performance[[#This Row],[Reading Score]]&gt;=50,"Pass","Fail")</f>
        <v>Pass</v>
      </c>
      <c r="S712" s="4" t="str">
        <f>IF(Student­­Performance[[#This Row],[Writing Score]]&gt;=50,"Pass","Fail")</f>
        <v>Pass</v>
      </c>
      <c r="T71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175</v>
      </c>
      <c r="U712" s="4" cm="1">
        <f t="array" ref="U712">IF(COUNT(F712:H712)=0,"", MAX(IF(ISNUMBER(F712:H712),F712:H712)) - MIN(IF(ISNUMBER(F712:H712),F712:H712)))</f>
        <v>14</v>
      </c>
      <c r="V712" s="4" t="str">
        <f>IF(U712="","",IF(U712&gt;25,"Outlier","Normal"))</f>
        <v>Normal</v>
      </c>
    </row>
    <row r="713" spans="1:22" x14ac:dyDescent="0.3">
      <c r="A713" s="1" t="s">
        <v>8</v>
      </c>
      <c r="B713" s="1" t="s">
        <v>13</v>
      </c>
      <c r="C713" s="1" t="s">
        <v>87</v>
      </c>
      <c r="D713" s="1" t="s">
        <v>11</v>
      </c>
      <c r="E713" s="1" t="s">
        <v>12</v>
      </c>
      <c r="F713" s="4">
        <v>54</v>
      </c>
      <c r="G713" s="4">
        <v>59</v>
      </c>
      <c r="H713" s="4">
        <v>62</v>
      </c>
      <c r="I713" s="4">
        <f>AVERAGE(Student­­Performance[[#This Row],[Math Score]],Student­­Performance[[#This Row],[Reading Score]],Student­­Performance[[#This Row],[Writing Score]])</f>
        <v>58.333333333333336</v>
      </c>
      <c r="J713" s="10" t="str">
        <f>IF(Student­­Performance[[#This Row],[Average Score]]&gt;=50,"Pass","Fail")</f>
        <v>Pass</v>
      </c>
      <c r="K71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71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71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713" s="4">
        <f>IF(ISNUMBER(Student­­Performance[[#This Row],[Math Score]]),Student­­Performance[[#This Row],[Math Score]],0)</f>
        <v>54</v>
      </c>
      <c r="O713" s="4">
        <f>IF(ISNUMBER(Student­­Performance[[#This Row],[Reading Score]]),Student­­Performance[[#This Row],[Reading Score]],0)</f>
        <v>59</v>
      </c>
      <c r="P713" s="4">
        <f>IF(ISNUMBER(Student­­Performance[[#This Row],[Writing Score]]),Student­­Performance[[#This Row],[Writing Score]],0)</f>
        <v>62</v>
      </c>
      <c r="Q713" s="4" t="str">
        <f>IF(Student­­Performance[[#This Row],[Math Score]]&gt;=50,"Pass","Fail")</f>
        <v>Pass</v>
      </c>
      <c r="R713" s="4" t="str">
        <f>IF(Student­­Performance[[#This Row],[Reading Score]]&gt;=50,"Pass","Fail")</f>
        <v>Pass</v>
      </c>
      <c r="S713" s="4" t="str">
        <f>IF(Student­­Performance[[#This Row],[Writing Score]]&gt;=50,"Pass","Fail")</f>
        <v>Pass</v>
      </c>
      <c r="T71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175</v>
      </c>
      <c r="U713" s="4" cm="1">
        <f t="array" ref="U713">IF(COUNT(F713:H713)=0,"", MAX(IF(ISNUMBER(F713:H713),F713:H713)) - MIN(IF(ISNUMBER(F713:H713),F713:H713)))</f>
        <v>8</v>
      </c>
      <c r="V713" s="4" t="str">
        <f>IF(U713="","",IF(U713&gt;25,"Outlier","Normal"))</f>
        <v>Normal</v>
      </c>
    </row>
    <row r="714" spans="1:22" x14ac:dyDescent="0.3">
      <c r="A714" s="1" t="s">
        <v>17</v>
      </c>
      <c r="B714" s="1" t="s">
        <v>18</v>
      </c>
      <c r="C714" s="1" t="s">
        <v>84</v>
      </c>
      <c r="D714" s="1" t="s">
        <v>20</v>
      </c>
      <c r="E714" s="1" t="s">
        <v>12</v>
      </c>
      <c r="F714" s="4">
        <v>58</v>
      </c>
      <c r="G714" s="4">
        <v>60</v>
      </c>
      <c r="H714" s="4">
        <v>57</v>
      </c>
      <c r="I714" s="4">
        <f>AVERAGE(Student­­Performance[[#This Row],[Math Score]],Student­­Performance[[#This Row],[Reading Score]],Student­­Performance[[#This Row],[Writing Score]])</f>
        <v>58.333333333333336</v>
      </c>
      <c r="J714" s="10" t="str">
        <f>IF(Student­­Performance[[#This Row],[Average Score]]&gt;=50,"Pass","Fail")</f>
        <v>Pass</v>
      </c>
      <c r="K71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71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71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714" s="4">
        <f>IF(ISNUMBER(Student­­Performance[[#This Row],[Math Score]]),Student­­Performance[[#This Row],[Math Score]],0)</f>
        <v>58</v>
      </c>
      <c r="O714" s="4">
        <f>IF(ISNUMBER(Student­­Performance[[#This Row],[Reading Score]]),Student­­Performance[[#This Row],[Reading Score]],0)</f>
        <v>60</v>
      </c>
      <c r="P714" s="4">
        <f>IF(ISNUMBER(Student­­Performance[[#This Row],[Writing Score]]),Student­­Performance[[#This Row],[Writing Score]],0)</f>
        <v>57</v>
      </c>
      <c r="Q714" s="4" t="str">
        <f>IF(Student­­Performance[[#This Row],[Math Score]]&gt;=50,"Pass","Fail")</f>
        <v>Pass</v>
      </c>
      <c r="R714" s="4" t="str">
        <f>IF(Student­­Performance[[#This Row],[Reading Score]]&gt;=50,"Pass","Fail")</f>
        <v>Pass</v>
      </c>
      <c r="S714" s="4" t="str">
        <f>IF(Student­­Performance[[#This Row],[Writing Score]]&gt;=50,"Pass","Fail")</f>
        <v>Pass</v>
      </c>
      <c r="T71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175</v>
      </c>
      <c r="U714" s="4" cm="1">
        <f t="array" ref="U714">IF(COUNT(F714:H714)=0,"", MAX(IF(ISNUMBER(F714:H714),F714:H714)) - MIN(IF(ISNUMBER(F714:H714),F714:H714)))</f>
        <v>3</v>
      </c>
      <c r="V714" s="4" t="str">
        <f>IF(U714="","",IF(U714&gt;25,"Outlier","Normal"))</f>
        <v>Normal</v>
      </c>
    </row>
    <row r="715" spans="1:22" x14ac:dyDescent="0.3">
      <c r="A715" s="1" t="s">
        <v>17</v>
      </c>
      <c r="B715" s="1" t="s">
        <v>9</v>
      </c>
      <c r="C715" s="1" t="s">
        <v>88</v>
      </c>
      <c r="D715" s="1" t="s">
        <v>11</v>
      </c>
      <c r="E715" s="1" t="s">
        <v>12</v>
      </c>
      <c r="F715" s="4">
        <v>68</v>
      </c>
      <c r="G715" s="4">
        <v>54</v>
      </c>
      <c r="H715" s="4">
        <v>53</v>
      </c>
      <c r="I715" s="4">
        <f>AVERAGE(Student­­Performance[[#This Row],[Math Score]],Student­­Performance[[#This Row],[Reading Score]],Student­­Performance[[#This Row],[Writing Score]])</f>
        <v>58.333333333333336</v>
      </c>
      <c r="J715" s="10" t="str">
        <f>IF(Student­­Performance[[#This Row],[Average Score]]&gt;=50,"Pass","Fail")</f>
        <v>Pass</v>
      </c>
      <c r="K71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-14</v>
      </c>
      <c r="L71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71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-15</v>
      </c>
      <c r="N715" s="4">
        <f>IF(ISNUMBER(Student­­Performance[[#This Row],[Math Score]]),Student­­Performance[[#This Row],[Math Score]],0)</f>
        <v>68</v>
      </c>
      <c r="O715" s="4">
        <f>IF(ISNUMBER(Student­­Performance[[#This Row],[Reading Score]]),Student­­Performance[[#This Row],[Reading Score]],0)</f>
        <v>54</v>
      </c>
      <c r="P715" s="4">
        <f>IF(ISNUMBER(Student­­Performance[[#This Row],[Writing Score]]),Student­­Performance[[#This Row],[Writing Score]],0)</f>
        <v>53</v>
      </c>
      <c r="Q715" s="4" t="str">
        <f>IF(Student­­Performance[[#This Row],[Math Score]]&gt;=50,"Pass","Fail")</f>
        <v>Pass</v>
      </c>
      <c r="R715" s="4" t="str">
        <f>IF(Student­­Performance[[#This Row],[Reading Score]]&gt;=50,"Pass","Fail")</f>
        <v>Pass</v>
      </c>
      <c r="S715" s="4" t="str">
        <f>IF(Student­­Performance[[#This Row],[Writing Score]]&gt;=50,"Pass","Fail")</f>
        <v>Pass</v>
      </c>
      <c r="T71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175</v>
      </c>
      <c r="U715" s="4" cm="1">
        <f t="array" ref="U715">IF(COUNT(F715:H715)=0,"", MAX(IF(ISNUMBER(F715:H715),F715:H715)) - MIN(IF(ISNUMBER(F715:H715),F715:H715)))</f>
        <v>15</v>
      </c>
      <c r="V715" s="4" t="str">
        <f>IF(U715="","",IF(U715&gt;25,"Outlier","Normal"))</f>
        <v>Normal</v>
      </c>
    </row>
    <row r="716" spans="1:22" x14ac:dyDescent="0.3">
      <c r="A716" s="1" t="s">
        <v>8</v>
      </c>
      <c r="B716" s="1" t="s">
        <v>13</v>
      </c>
      <c r="C716" s="1" t="s">
        <v>83</v>
      </c>
      <c r="D716" s="1" t="s">
        <v>20</v>
      </c>
      <c r="E716" s="1" t="s">
        <v>15</v>
      </c>
      <c r="F716" s="4">
        <v>47</v>
      </c>
      <c r="G716" s="4">
        <v>62</v>
      </c>
      <c r="H716" s="4">
        <v>66</v>
      </c>
      <c r="I716" s="4">
        <f>AVERAGE(Student­­Performance[[#This Row],[Math Score]],Student­­Performance[[#This Row],[Reading Score]],Student­­Performance[[#This Row],[Writing Score]])</f>
        <v>58.333333333333336</v>
      </c>
      <c r="J716" s="10" t="str">
        <f>IF(Student­­Performance[[#This Row],[Average Score]]&gt;=50,"Pass","Fail")</f>
        <v>Pass</v>
      </c>
      <c r="K71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15</v>
      </c>
      <c r="L71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71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19</v>
      </c>
      <c r="N716" s="4">
        <f>IF(ISNUMBER(Student­­Performance[[#This Row],[Math Score]]),Student­­Performance[[#This Row],[Math Score]],0)</f>
        <v>47</v>
      </c>
      <c r="O716" s="4">
        <f>IF(ISNUMBER(Student­­Performance[[#This Row],[Reading Score]]),Student­­Performance[[#This Row],[Reading Score]],0)</f>
        <v>62</v>
      </c>
      <c r="P716" s="4">
        <f>IF(ISNUMBER(Student­­Performance[[#This Row],[Writing Score]]),Student­­Performance[[#This Row],[Writing Score]],0)</f>
        <v>66</v>
      </c>
      <c r="Q716" s="4" t="str">
        <f>IF(Student­­Performance[[#This Row],[Math Score]]&gt;=50,"Pass","Fail")</f>
        <v>Fail</v>
      </c>
      <c r="R716" s="4" t="str">
        <f>IF(Student­­Performance[[#This Row],[Reading Score]]&gt;=50,"Pass","Fail")</f>
        <v>Pass</v>
      </c>
      <c r="S716" s="4" t="str">
        <f>IF(Student­­Performance[[#This Row],[Writing Score]]&gt;=50,"Pass","Fail")</f>
        <v>Pass</v>
      </c>
      <c r="T71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175</v>
      </c>
      <c r="U716" s="4" cm="1">
        <f t="array" ref="U716">IF(COUNT(F716:H716)=0,"", MAX(IF(ISNUMBER(F716:H716),F716:H716)) - MIN(IF(ISNUMBER(F716:H716),F716:H716)))</f>
        <v>19</v>
      </c>
      <c r="V716" s="4" t="str">
        <f>IF(U716="","",IF(U716&gt;25,"Outlier","Normal"))</f>
        <v>Normal</v>
      </c>
    </row>
    <row r="717" spans="1:22" x14ac:dyDescent="0.3">
      <c r="A717" s="1" t="s">
        <v>8</v>
      </c>
      <c r="B717" s="1" t="s">
        <v>21</v>
      </c>
      <c r="C717" s="1" t="s">
        <v>84</v>
      </c>
      <c r="D717" s="1" t="s">
        <v>20</v>
      </c>
      <c r="E717" s="1" t="s">
        <v>12</v>
      </c>
      <c r="F717" s="4">
        <v>49</v>
      </c>
      <c r="G717" s="4">
        <v>65</v>
      </c>
      <c r="H717" s="4">
        <v>61</v>
      </c>
      <c r="I717" s="4">
        <f>AVERAGE(Student­­Performance[[#This Row],[Math Score]],Student­­Performance[[#This Row],[Reading Score]],Student­­Performance[[#This Row],[Writing Score]])</f>
        <v>58.333333333333336</v>
      </c>
      <c r="J717" s="10" t="str">
        <f>IF(Student­­Performance[[#This Row],[Average Score]]&gt;=50,"Pass","Fail")</f>
        <v>Pass</v>
      </c>
      <c r="K71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16</v>
      </c>
      <c r="L71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71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717" s="4">
        <f>IF(ISNUMBER(Student­­Performance[[#This Row],[Math Score]]),Student­­Performance[[#This Row],[Math Score]],0)</f>
        <v>49</v>
      </c>
      <c r="O717" s="4">
        <f>IF(ISNUMBER(Student­­Performance[[#This Row],[Reading Score]]),Student­­Performance[[#This Row],[Reading Score]],0)</f>
        <v>65</v>
      </c>
      <c r="P717" s="4">
        <f>IF(ISNUMBER(Student­­Performance[[#This Row],[Writing Score]]),Student­­Performance[[#This Row],[Writing Score]],0)</f>
        <v>61</v>
      </c>
      <c r="Q717" s="4" t="str">
        <f>IF(Student­­Performance[[#This Row],[Math Score]]&gt;=50,"Pass","Fail")</f>
        <v>Fail</v>
      </c>
      <c r="R717" s="4" t="str">
        <f>IF(Student­­Performance[[#This Row],[Reading Score]]&gt;=50,"Pass","Fail")</f>
        <v>Pass</v>
      </c>
      <c r="S717" s="4" t="str">
        <f>IF(Student­­Performance[[#This Row],[Writing Score]]&gt;=50,"Pass","Fail")</f>
        <v>Pass</v>
      </c>
      <c r="T71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175</v>
      </c>
      <c r="U717" s="4" cm="1">
        <f t="array" ref="U717">IF(COUNT(F717:H717)=0,"", MAX(IF(ISNUMBER(F717:H717),F717:H717)) - MIN(IF(ISNUMBER(F717:H717),F717:H717)))</f>
        <v>16</v>
      </c>
      <c r="V717" s="4" t="str">
        <f>IF(U717="","",IF(U717&gt;25,"Outlier","Normal"))</f>
        <v>Normal</v>
      </c>
    </row>
    <row r="718" spans="1:22" x14ac:dyDescent="0.3">
      <c r="A718" s="1" t="s">
        <v>17</v>
      </c>
      <c r="B718" s="1" t="s">
        <v>13</v>
      </c>
      <c r="C718" s="1" t="s">
        <v>88</v>
      </c>
      <c r="D718" s="1" t="s">
        <v>20</v>
      </c>
      <c r="E718" s="1" t="s">
        <v>12</v>
      </c>
      <c r="F718" s="4">
        <v>61</v>
      </c>
      <c r="G718" s="4">
        <v>57</v>
      </c>
      <c r="H718" s="4">
        <v>56</v>
      </c>
      <c r="I718" s="4">
        <f>AVERAGE(Student­­Performance[[#This Row],[Math Score]],Student­­Performance[[#This Row],[Reading Score]],Student­­Performance[[#This Row],[Writing Score]])</f>
        <v>58</v>
      </c>
      <c r="J718" s="10" t="str">
        <f>IF(Student­­Performance[[#This Row],[Average Score]]&gt;=50,"Pass","Fail")</f>
        <v>Pass</v>
      </c>
      <c r="K71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71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71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-5</v>
      </c>
      <c r="N718" s="4">
        <f>IF(ISNUMBER(Student­­Performance[[#This Row],[Math Score]]),Student­­Performance[[#This Row],[Math Score]],0)</f>
        <v>61</v>
      </c>
      <c r="O718" s="4">
        <f>IF(ISNUMBER(Student­­Performance[[#This Row],[Reading Score]]),Student­­Performance[[#This Row],[Reading Score]],0)</f>
        <v>57</v>
      </c>
      <c r="P718" s="4">
        <f>IF(ISNUMBER(Student­­Performance[[#This Row],[Writing Score]]),Student­­Performance[[#This Row],[Writing Score]],0)</f>
        <v>56</v>
      </c>
      <c r="Q718" s="4" t="str">
        <f>IF(Student­­Performance[[#This Row],[Math Score]]&gt;=50,"Pass","Fail")</f>
        <v>Pass</v>
      </c>
      <c r="R718" s="4" t="str">
        <f>IF(Student­­Performance[[#This Row],[Reading Score]]&gt;=50,"Pass","Fail")</f>
        <v>Pass</v>
      </c>
      <c r="S718" s="4" t="str">
        <f>IF(Student­­Performance[[#This Row],[Writing Score]]&gt;=50,"Pass","Fail")</f>
        <v>Pass</v>
      </c>
      <c r="T71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174</v>
      </c>
      <c r="U718" s="4" cm="1">
        <f t="array" ref="U718">IF(COUNT(F718:H718)=0,"", MAX(IF(ISNUMBER(F718:H718),F718:H718)) - MIN(IF(ISNUMBER(F718:H718),F718:H718)))</f>
        <v>5</v>
      </c>
      <c r="V718" s="4" t="str">
        <f>IF(U718="","",IF(U718&gt;25,"Outlier","Normal"))</f>
        <v>Normal</v>
      </c>
    </row>
    <row r="719" spans="1:22" x14ac:dyDescent="0.3">
      <c r="A719" s="1" t="s">
        <v>17</v>
      </c>
      <c r="B719" s="1" t="s">
        <v>9</v>
      </c>
      <c r="C719" s="1" t="s">
        <v>88</v>
      </c>
      <c r="D719" s="1" t="s">
        <v>11</v>
      </c>
      <c r="E719" s="1" t="s">
        <v>15</v>
      </c>
      <c r="F719" s="4">
        <v>64</v>
      </c>
      <c r="G719" s="4">
        <v>53</v>
      </c>
      <c r="H719" s="4">
        <v>57</v>
      </c>
      <c r="I719" s="4">
        <f>AVERAGE(Student­­Performance[[#This Row],[Math Score]],Student­­Performance[[#This Row],[Reading Score]],Student­­Performance[[#This Row],[Writing Score]])</f>
        <v>58</v>
      </c>
      <c r="J719" s="10" t="str">
        <f>IF(Student­­Performance[[#This Row],[Average Score]]&gt;=50,"Pass","Fail")</f>
        <v>Pass</v>
      </c>
      <c r="K71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-11</v>
      </c>
      <c r="L71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71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719" s="4">
        <f>IF(ISNUMBER(Student­­Performance[[#This Row],[Math Score]]),Student­­Performance[[#This Row],[Math Score]],0)</f>
        <v>64</v>
      </c>
      <c r="O719" s="4">
        <f>IF(ISNUMBER(Student­­Performance[[#This Row],[Reading Score]]),Student­­Performance[[#This Row],[Reading Score]],0)</f>
        <v>53</v>
      </c>
      <c r="P719" s="4">
        <f>IF(ISNUMBER(Student­­Performance[[#This Row],[Writing Score]]),Student­­Performance[[#This Row],[Writing Score]],0)</f>
        <v>57</v>
      </c>
      <c r="Q719" s="4" t="str">
        <f>IF(Student­­Performance[[#This Row],[Math Score]]&gt;=50,"Pass","Fail")</f>
        <v>Pass</v>
      </c>
      <c r="R719" s="4" t="str">
        <f>IF(Student­­Performance[[#This Row],[Reading Score]]&gt;=50,"Pass","Fail")</f>
        <v>Pass</v>
      </c>
      <c r="S719" s="4" t="str">
        <f>IF(Student­­Performance[[#This Row],[Writing Score]]&gt;=50,"Pass","Fail")</f>
        <v>Pass</v>
      </c>
      <c r="T71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174</v>
      </c>
      <c r="U719" s="4" cm="1">
        <f t="array" ref="U719">IF(COUNT(F719:H719)=0,"", MAX(IF(ISNUMBER(F719:H719),F719:H719)) - MIN(IF(ISNUMBER(F719:H719),F719:H719)))</f>
        <v>11</v>
      </c>
      <c r="V719" s="4" t="str">
        <f>IF(U719="","",IF(U719&gt;25,"Outlier","Normal"))</f>
        <v>Normal</v>
      </c>
    </row>
    <row r="720" spans="1:22" x14ac:dyDescent="0.3">
      <c r="A720" s="1" t="s">
        <v>8</v>
      </c>
      <c r="B720" s="1" t="s">
        <v>13</v>
      </c>
      <c r="C720" s="1" t="s">
        <v>86</v>
      </c>
      <c r="D720" s="1" t="s">
        <v>20</v>
      </c>
      <c r="E720" s="1" t="s">
        <v>12</v>
      </c>
      <c r="F720" s="4">
        <v>54</v>
      </c>
      <c r="G720" s="4">
        <v>58</v>
      </c>
      <c r="H720" s="4">
        <v>61</v>
      </c>
      <c r="I720" s="4">
        <f>AVERAGE(Student­­Performance[[#This Row],[Math Score]],Student­­Performance[[#This Row],[Reading Score]],Student­­Performance[[#This Row],[Writing Score]])</f>
        <v>57.666666666666664</v>
      </c>
      <c r="J720" s="10" t="str">
        <f>IF(Student­­Performance[[#This Row],[Average Score]]&gt;=50,"Pass","Fail")</f>
        <v>Pass</v>
      </c>
      <c r="K72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72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72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720" s="4">
        <f>IF(ISNUMBER(Student­­Performance[[#This Row],[Math Score]]),Student­­Performance[[#This Row],[Math Score]],0)</f>
        <v>54</v>
      </c>
      <c r="O720" s="4">
        <f>IF(ISNUMBER(Student­­Performance[[#This Row],[Reading Score]]),Student­­Performance[[#This Row],[Reading Score]],0)</f>
        <v>58</v>
      </c>
      <c r="P720" s="4">
        <f>IF(ISNUMBER(Student­­Performance[[#This Row],[Writing Score]]),Student­­Performance[[#This Row],[Writing Score]],0)</f>
        <v>61</v>
      </c>
      <c r="Q720" s="4" t="str">
        <f>IF(Student­­Performance[[#This Row],[Math Score]]&gt;=50,"Pass","Fail")</f>
        <v>Pass</v>
      </c>
      <c r="R720" s="4" t="str">
        <f>IF(Student­­Performance[[#This Row],[Reading Score]]&gt;=50,"Pass","Fail")</f>
        <v>Pass</v>
      </c>
      <c r="S720" s="4" t="str">
        <f>IF(Student­­Performance[[#This Row],[Writing Score]]&gt;=50,"Pass","Fail")</f>
        <v>Pass</v>
      </c>
      <c r="T72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173</v>
      </c>
      <c r="U720" s="4" cm="1">
        <f t="array" ref="U720">IF(COUNT(F720:H720)=0,"", MAX(IF(ISNUMBER(F720:H720),F720:H720)) - MIN(IF(ISNUMBER(F720:H720),F720:H720)))</f>
        <v>7</v>
      </c>
      <c r="V720" s="4" t="str">
        <f>IF(U720="","",IF(U720&gt;25,"Outlier","Normal"))</f>
        <v>Normal</v>
      </c>
    </row>
    <row r="721" spans="1:22" x14ac:dyDescent="0.3">
      <c r="A721" s="1" t="s">
        <v>8</v>
      </c>
      <c r="B721" s="1" t="s">
        <v>21</v>
      </c>
      <c r="C721" s="1" t="s">
        <v>88</v>
      </c>
      <c r="D721" s="1" t="s">
        <v>20</v>
      </c>
      <c r="E721" s="1" t="s">
        <v>12</v>
      </c>
      <c r="F721" s="4">
        <v>50</v>
      </c>
      <c r="G721" s="4">
        <v>64</v>
      </c>
      <c r="H721" s="4">
        <v>59</v>
      </c>
      <c r="I721" s="4">
        <f>AVERAGE(Student­­Performance[[#This Row],[Math Score]],Student­­Performance[[#This Row],[Reading Score]],Student­­Performance[[#This Row],[Writing Score]])</f>
        <v>57.666666666666664</v>
      </c>
      <c r="J721" s="10" t="str">
        <f>IF(Student­­Performance[[#This Row],[Average Score]]&gt;=50,"Pass","Fail")</f>
        <v>Pass</v>
      </c>
      <c r="K72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14</v>
      </c>
      <c r="L72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72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721" s="4">
        <f>IF(ISNUMBER(Student­­Performance[[#This Row],[Math Score]]),Student­­Performance[[#This Row],[Math Score]],0)</f>
        <v>50</v>
      </c>
      <c r="O721" s="4">
        <f>IF(ISNUMBER(Student­­Performance[[#This Row],[Reading Score]]),Student­­Performance[[#This Row],[Reading Score]],0)</f>
        <v>64</v>
      </c>
      <c r="P721" s="4">
        <f>IF(ISNUMBER(Student­­Performance[[#This Row],[Writing Score]]),Student­­Performance[[#This Row],[Writing Score]],0)</f>
        <v>59</v>
      </c>
      <c r="Q721" s="4" t="str">
        <f>IF(Student­­Performance[[#This Row],[Math Score]]&gt;=50,"Pass","Fail")</f>
        <v>Pass</v>
      </c>
      <c r="R721" s="4" t="str">
        <f>IF(Student­­Performance[[#This Row],[Reading Score]]&gt;=50,"Pass","Fail")</f>
        <v>Pass</v>
      </c>
      <c r="S721" s="4" t="str">
        <f>IF(Student­­Performance[[#This Row],[Writing Score]]&gt;=50,"Pass","Fail")</f>
        <v>Pass</v>
      </c>
      <c r="T72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173</v>
      </c>
      <c r="U721" s="4" cm="1">
        <f t="array" ref="U721">IF(COUNT(F721:H721)=0,"", MAX(IF(ISNUMBER(F721:H721),F721:H721)) - MIN(IF(ISNUMBER(F721:H721),F721:H721)))</f>
        <v>14</v>
      </c>
      <c r="V721" s="4" t="str">
        <f>IF(U721="","",IF(U721&gt;25,"Outlier","Normal"))</f>
        <v>Normal</v>
      </c>
    </row>
    <row r="722" spans="1:22" x14ac:dyDescent="0.3">
      <c r="A722" s="1" t="s">
        <v>17</v>
      </c>
      <c r="B722" s="1" t="s">
        <v>9</v>
      </c>
      <c r="C722" s="1" t="s">
        <v>88</v>
      </c>
      <c r="D722" s="1" t="s">
        <v>11</v>
      </c>
      <c r="E722" s="1" t="s">
        <v>15</v>
      </c>
      <c r="F722" s="4">
        <v>61</v>
      </c>
      <c r="G722" s="4">
        <v>56</v>
      </c>
      <c r="H722" s="4">
        <v>56</v>
      </c>
      <c r="I722" s="4">
        <f>AVERAGE(Student­­Performance[[#This Row],[Math Score]],Student­­Performance[[#This Row],[Reading Score]],Student­­Performance[[#This Row],[Writing Score]])</f>
        <v>57.666666666666664</v>
      </c>
      <c r="J722" s="10" t="str">
        <f>IF(Student­­Performance[[#This Row],[Average Score]]&gt;=50,"Pass","Fail")</f>
        <v>Pass</v>
      </c>
      <c r="K72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72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72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-5</v>
      </c>
      <c r="N722" s="4">
        <f>IF(ISNUMBER(Student­­Performance[[#This Row],[Math Score]]),Student­­Performance[[#This Row],[Math Score]],0)</f>
        <v>61</v>
      </c>
      <c r="O722" s="4">
        <f>IF(ISNUMBER(Student­­Performance[[#This Row],[Reading Score]]),Student­­Performance[[#This Row],[Reading Score]],0)</f>
        <v>56</v>
      </c>
      <c r="P722" s="4">
        <f>IF(ISNUMBER(Student­­Performance[[#This Row],[Writing Score]]),Student­­Performance[[#This Row],[Writing Score]],0)</f>
        <v>56</v>
      </c>
      <c r="Q722" s="4" t="str">
        <f>IF(Student­­Performance[[#This Row],[Math Score]]&gt;=50,"Pass","Fail")</f>
        <v>Pass</v>
      </c>
      <c r="R722" s="4" t="str">
        <f>IF(Student­­Performance[[#This Row],[Reading Score]]&gt;=50,"Pass","Fail")</f>
        <v>Pass</v>
      </c>
      <c r="S722" s="4" t="str">
        <f>IF(Student­­Performance[[#This Row],[Writing Score]]&gt;=50,"Pass","Fail")</f>
        <v>Pass</v>
      </c>
      <c r="T72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173</v>
      </c>
      <c r="U722" s="4" cm="1">
        <f t="array" ref="U722">IF(COUNT(F722:H722)=0,"", MAX(IF(ISNUMBER(F722:H722),F722:H722)) - MIN(IF(ISNUMBER(F722:H722),F722:H722)))</f>
        <v>5</v>
      </c>
      <c r="V722" s="4" t="str">
        <f>IF(U722="","",IF(U722&gt;25,"Outlier","Normal"))</f>
        <v>Normal</v>
      </c>
    </row>
    <row r="723" spans="1:22" x14ac:dyDescent="0.3">
      <c r="A723" s="1" t="s">
        <v>17</v>
      </c>
      <c r="B723" s="1" t="s">
        <v>9</v>
      </c>
      <c r="C723" s="1" t="s">
        <v>84</v>
      </c>
      <c r="D723" s="1" t="s">
        <v>11</v>
      </c>
      <c r="E723" s="1" t="s">
        <v>15</v>
      </c>
      <c r="F723" s="4">
        <v>88</v>
      </c>
      <c r="G723" s="4">
        <v>85</v>
      </c>
      <c r="H723" s="4" t="s">
        <v>90</v>
      </c>
      <c r="I723" s="4">
        <f>AVERAGE(Student­­Performance[[#This Row],[Math Score]],Student­­Performance[[#This Row],[Reading Score]],Student­­Performance[[#This Row],[Writing Score]])</f>
        <v>86.5</v>
      </c>
      <c r="J723" s="10" t="str">
        <f>IF(Student­­Performance[[#This Row],[Average Score]]&gt;=50,"Pass","Fail")</f>
        <v>Pass</v>
      </c>
      <c r="K72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723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723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723" s="4">
        <f>IF(ISNUMBER(Student­­Performance[[#This Row],[Math Score]]),Student­­Performance[[#This Row],[Math Score]],0)</f>
        <v>88</v>
      </c>
      <c r="O723" s="4">
        <f>IF(ISNUMBER(Student­­Performance[[#This Row],[Reading Score]]),Student­­Performance[[#This Row],[Reading Score]],0)</f>
        <v>85</v>
      </c>
      <c r="P723" s="4">
        <f>IF(ISNUMBER(Student­­Performance[[#This Row],[Writing Score]]),Student­­Performance[[#This Row],[Writing Score]],0)</f>
        <v>0</v>
      </c>
      <c r="Q723" s="4" t="str">
        <f>IF(Student­­Performance[[#This Row],[Math Score]]&gt;=50,"Pass","Fail")</f>
        <v>Pass</v>
      </c>
      <c r="R723" s="4" t="str">
        <f>IF(Student­­Performance[[#This Row],[Reading Score]]&gt;=50,"Pass","Fail")</f>
        <v>Pass</v>
      </c>
      <c r="S723" s="4" t="str">
        <f>IF(Student­­Performance[[#This Row],[Writing Score]]&gt;=50,"Pass","Fail")</f>
        <v>Pass</v>
      </c>
      <c r="T72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173</v>
      </c>
      <c r="U723" s="4" cm="1">
        <f t="array" ref="U723">IF(COUNT(F723:H723)=0,"", MAX(IF(ISNUMBER(F723:H723),F723:H723)) - MIN(IF(ISNUMBER(F723:H723),F723:H723)))</f>
        <v>3</v>
      </c>
      <c r="V723" s="4" t="str">
        <f>IF(U723="","",IF(U723&gt;25,"Outlier","Normal"))</f>
        <v>Normal</v>
      </c>
    </row>
    <row r="724" spans="1:22" x14ac:dyDescent="0.3">
      <c r="A724" s="1" t="s">
        <v>17</v>
      </c>
      <c r="B724" s="1" t="s">
        <v>21</v>
      </c>
      <c r="C724" s="1" t="s">
        <v>88</v>
      </c>
      <c r="D724" s="1" t="s">
        <v>11</v>
      </c>
      <c r="E724" s="1" t="s">
        <v>12</v>
      </c>
      <c r="F724" s="4">
        <v>60</v>
      </c>
      <c r="G724" s="4">
        <v>59</v>
      </c>
      <c r="H724" s="4">
        <v>54</v>
      </c>
      <c r="I724" s="4">
        <f>AVERAGE(Student­­Performance[[#This Row],[Math Score]],Student­­Performance[[#This Row],[Reading Score]],Student­­Performance[[#This Row],[Writing Score]])</f>
        <v>57.666666666666664</v>
      </c>
      <c r="J724" s="10" t="str">
        <f>IF(Student­­Performance[[#This Row],[Average Score]]&gt;=50,"Pass","Fail")</f>
        <v>Pass</v>
      </c>
      <c r="K72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72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72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724" s="4">
        <f>IF(ISNUMBER(Student­­Performance[[#This Row],[Math Score]]),Student­­Performance[[#This Row],[Math Score]],0)</f>
        <v>60</v>
      </c>
      <c r="O724" s="4">
        <f>IF(ISNUMBER(Student­­Performance[[#This Row],[Reading Score]]),Student­­Performance[[#This Row],[Reading Score]],0)</f>
        <v>59</v>
      </c>
      <c r="P724" s="4">
        <f>IF(ISNUMBER(Student­­Performance[[#This Row],[Writing Score]]),Student­­Performance[[#This Row],[Writing Score]],0)</f>
        <v>54</v>
      </c>
      <c r="Q724" s="4" t="str">
        <f>IF(Student­­Performance[[#This Row],[Math Score]]&gt;=50,"Pass","Fail")</f>
        <v>Pass</v>
      </c>
      <c r="R724" s="4" t="str">
        <f>IF(Student­­Performance[[#This Row],[Reading Score]]&gt;=50,"Pass","Fail")</f>
        <v>Pass</v>
      </c>
      <c r="S724" s="4" t="str">
        <f>IF(Student­­Performance[[#This Row],[Writing Score]]&gt;=50,"Pass","Fail")</f>
        <v>Pass</v>
      </c>
      <c r="T72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173</v>
      </c>
      <c r="U724" s="4" cm="1">
        <f t="array" ref="U724">IF(COUNT(F724:H724)=0,"", MAX(IF(ISNUMBER(F724:H724),F724:H724)) - MIN(IF(ISNUMBER(F724:H724),F724:H724)))</f>
        <v>6</v>
      </c>
      <c r="V724" s="4" t="str">
        <f>IF(U724="","",IF(U724&gt;25,"Outlier","Normal"))</f>
        <v>Normal</v>
      </c>
    </row>
    <row r="725" spans="1:22" x14ac:dyDescent="0.3">
      <c r="A725" s="1" t="s">
        <v>8</v>
      </c>
      <c r="B725" s="1" t="s">
        <v>13</v>
      </c>
      <c r="C725" s="1" t="s">
        <v>86</v>
      </c>
      <c r="D725" s="1" t="s">
        <v>11</v>
      </c>
      <c r="E725" s="1" t="s">
        <v>15</v>
      </c>
      <c r="F725" s="4">
        <v>83</v>
      </c>
      <c r="G725" s="4" t="s">
        <v>90</v>
      </c>
      <c r="H725" s="4">
        <v>90</v>
      </c>
      <c r="I725" s="4">
        <f>AVERAGE(Student­­Performance[[#This Row],[Math Score]],Student­­Performance[[#This Row],[Reading Score]],Student­­Performance[[#This Row],[Writing Score]])</f>
        <v>86.5</v>
      </c>
      <c r="J725" s="10" t="str">
        <f>IF(Student­­Performance[[#This Row],[Average Score]]&gt;=50,"Pass","Fail")</f>
        <v>Pass</v>
      </c>
      <c r="K725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725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72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725" s="4">
        <f>IF(ISNUMBER(Student­­Performance[[#This Row],[Math Score]]),Student­­Performance[[#This Row],[Math Score]],0)</f>
        <v>83</v>
      </c>
      <c r="O725" s="4">
        <f>IF(ISNUMBER(Student­­Performance[[#This Row],[Reading Score]]),Student­­Performance[[#This Row],[Reading Score]],0)</f>
        <v>0</v>
      </c>
      <c r="P725" s="4">
        <f>IF(ISNUMBER(Student­­Performance[[#This Row],[Writing Score]]),Student­­Performance[[#This Row],[Writing Score]],0)</f>
        <v>90</v>
      </c>
      <c r="Q725" s="4" t="str">
        <f>IF(Student­­Performance[[#This Row],[Math Score]]&gt;=50,"Pass","Fail")</f>
        <v>Pass</v>
      </c>
      <c r="R725" s="4" t="str">
        <f>IF(Student­­Performance[[#This Row],[Reading Score]]&gt;=50,"Pass","Fail")</f>
        <v>Pass</v>
      </c>
      <c r="S725" s="4" t="str">
        <f>IF(Student­­Performance[[#This Row],[Writing Score]]&gt;=50,"Pass","Fail")</f>
        <v>Pass</v>
      </c>
      <c r="T72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173</v>
      </c>
      <c r="U725" s="4" cm="1">
        <f t="array" ref="U725">IF(COUNT(F725:H725)=0,"", MAX(IF(ISNUMBER(F725:H725),F725:H725)) - MIN(IF(ISNUMBER(F725:H725),F725:H725)))</f>
        <v>7</v>
      </c>
      <c r="V725" s="4" t="str">
        <f>IF(U725="","",IF(U725&gt;25,"Outlier","Normal"))</f>
        <v>Normal</v>
      </c>
    </row>
    <row r="726" spans="1:22" x14ac:dyDescent="0.3">
      <c r="A726" s="1" t="s">
        <v>17</v>
      </c>
      <c r="B726" s="1" t="s">
        <v>21</v>
      </c>
      <c r="C726" s="1" t="s">
        <v>88</v>
      </c>
      <c r="D726" s="1" t="s">
        <v>20</v>
      </c>
      <c r="E726" s="1" t="s">
        <v>15</v>
      </c>
      <c r="F726" s="4">
        <v>55</v>
      </c>
      <c r="G726" s="4">
        <v>59</v>
      </c>
      <c r="H726" s="4">
        <v>59</v>
      </c>
      <c r="I726" s="4">
        <f>AVERAGE(Student­­Performance[[#This Row],[Math Score]],Student­­Performance[[#This Row],[Reading Score]],Student­­Performance[[#This Row],[Writing Score]])</f>
        <v>57.666666666666664</v>
      </c>
      <c r="J726" s="10" t="str">
        <f>IF(Student­­Performance[[#This Row],[Average Score]]&gt;=50,"Pass","Fail")</f>
        <v>Pass</v>
      </c>
      <c r="K72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72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72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726" s="4">
        <f>IF(ISNUMBER(Student­­Performance[[#This Row],[Math Score]]),Student­­Performance[[#This Row],[Math Score]],0)</f>
        <v>55</v>
      </c>
      <c r="O726" s="4">
        <f>IF(ISNUMBER(Student­­Performance[[#This Row],[Reading Score]]),Student­­Performance[[#This Row],[Reading Score]],0)</f>
        <v>59</v>
      </c>
      <c r="P726" s="4">
        <f>IF(ISNUMBER(Student­­Performance[[#This Row],[Writing Score]]),Student­­Performance[[#This Row],[Writing Score]],0)</f>
        <v>59</v>
      </c>
      <c r="Q726" s="4" t="str">
        <f>IF(Student­­Performance[[#This Row],[Math Score]]&gt;=50,"Pass","Fail")</f>
        <v>Pass</v>
      </c>
      <c r="R726" s="4" t="str">
        <f>IF(Student­­Performance[[#This Row],[Reading Score]]&gt;=50,"Pass","Fail")</f>
        <v>Pass</v>
      </c>
      <c r="S726" s="4" t="str">
        <f>IF(Student­­Performance[[#This Row],[Writing Score]]&gt;=50,"Pass","Fail")</f>
        <v>Pass</v>
      </c>
      <c r="T72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173</v>
      </c>
      <c r="U726" s="4" cm="1">
        <f t="array" ref="U726">IF(COUNT(F726:H726)=0,"", MAX(IF(ISNUMBER(F726:H726),F726:H726)) - MIN(IF(ISNUMBER(F726:H726),F726:H726)))</f>
        <v>4</v>
      </c>
      <c r="V726" s="4" t="str">
        <f>IF(U726="","",IF(U726&gt;25,"Outlier","Normal"))</f>
        <v>Normal</v>
      </c>
    </row>
    <row r="727" spans="1:22" x14ac:dyDescent="0.3">
      <c r="A727" s="1" t="s">
        <v>8</v>
      </c>
      <c r="B727" s="1" t="s">
        <v>13</v>
      </c>
      <c r="C727" s="1" t="s">
        <v>86</v>
      </c>
      <c r="D727" s="1" t="s">
        <v>11</v>
      </c>
      <c r="E727" s="1" t="s">
        <v>15</v>
      </c>
      <c r="F727" s="4">
        <v>52</v>
      </c>
      <c r="G727" s="4">
        <v>59</v>
      </c>
      <c r="H727" s="4">
        <v>62</v>
      </c>
      <c r="I727" s="4">
        <f>AVERAGE(Student­­Performance[[#This Row],[Math Score]],Student­­Performance[[#This Row],[Reading Score]],Student­­Performance[[#This Row],[Writing Score]])</f>
        <v>57.666666666666664</v>
      </c>
      <c r="J727" s="10" t="str">
        <f>IF(Student­­Performance[[#This Row],[Average Score]]&gt;=50,"Pass","Fail")</f>
        <v>Pass</v>
      </c>
      <c r="K72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72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72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727" s="4">
        <f>IF(ISNUMBER(Student­­Performance[[#This Row],[Math Score]]),Student­­Performance[[#This Row],[Math Score]],0)</f>
        <v>52</v>
      </c>
      <c r="O727" s="4">
        <f>IF(ISNUMBER(Student­­Performance[[#This Row],[Reading Score]]),Student­­Performance[[#This Row],[Reading Score]],0)</f>
        <v>59</v>
      </c>
      <c r="P727" s="4">
        <f>IF(ISNUMBER(Student­­Performance[[#This Row],[Writing Score]]),Student­­Performance[[#This Row],[Writing Score]],0)</f>
        <v>62</v>
      </c>
      <c r="Q727" s="4" t="str">
        <f>IF(Student­­Performance[[#This Row],[Math Score]]&gt;=50,"Pass","Fail")</f>
        <v>Pass</v>
      </c>
      <c r="R727" s="4" t="str">
        <f>IF(Student­­Performance[[#This Row],[Reading Score]]&gt;=50,"Pass","Fail")</f>
        <v>Pass</v>
      </c>
      <c r="S727" s="4" t="str">
        <f>IF(Student­­Performance[[#This Row],[Writing Score]]&gt;=50,"Pass","Fail")</f>
        <v>Pass</v>
      </c>
      <c r="T72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173</v>
      </c>
      <c r="U727" s="4" cm="1">
        <f t="array" ref="U727">IF(COUNT(F727:H727)=0,"", MAX(IF(ISNUMBER(F727:H727),F727:H727)) - MIN(IF(ISNUMBER(F727:H727),F727:H727)))</f>
        <v>10</v>
      </c>
      <c r="V727" s="4" t="str">
        <f>IF(U727="","",IF(U727&gt;25,"Outlier","Normal"))</f>
        <v>Normal</v>
      </c>
    </row>
    <row r="728" spans="1:22" x14ac:dyDescent="0.3">
      <c r="A728" s="1" t="s">
        <v>17</v>
      </c>
      <c r="B728" s="1" t="s">
        <v>13</v>
      </c>
      <c r="C728" s="1" t="s">
        <v>88</v>
      </c>
      <c r="D728" s="1" t="s">
        <v>11</v>
      </c>
      <c r="E728" s="1" t="s">
        <v>12</v>
      </c>
      <c r="F728" s="4">
        <v>64</v>
      </c>
      <c r="G728" s="4">
        <v>58</v>
      </c>
      <c r="H728" s="4">
        <v>51</v>
      </c>
      <c r="I728" s="4">
        <f>AVERAGE(Student­­Performance[[#This Row],[Math Score]],Student­­Performance[[#This Row],[Reading Score]],Student­­Performance[[#This Row],[Writing Score]])</f>
        <v>57.666666666666664</v>
      </c>
      <c r="J728" s="10" t="str">
        <f>IF(Student­­Performance[[#This Row],[Average Score]]&gt;=50,"Pass","Fail")</f>
        <v>Pass</v>
      </c>
      <c r="K72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72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72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-13</v>
      </c>
      <c r="N728" s="4">
        <f>IF(ISNUMBER(Student­­Performance[[#This Row],[Math Score]]),Student­­Performance[[#This Row],[Math Score]],0)</f>
        <v>64</v>
      </c>
      <c r="O728" s="4">
        <f>IF(ISNUMBER(Student­­Performance[[#This Row],[Reading Score]]),Student­­Performance[[#This Row],[Reading Score]],0)</f>
        <v>58</v>
      </c>
      <c r="P728" s="4">
        <f>IF(ISNUMBER(Student­­Performance[[#This Row],[Writing Score]]),Student­­Performance[[#This Row],[Writing Score]],0)</f>
        <v>51</v>
      </c>
      <c r="Q728" s="4" t="str">
        <f>IF(Student­­Performance[[#This Row],[Math Score]]&gt;=50,"Pass","Fail")</f>
        <v>Pass</v>
      </c>
      <c r="R728" s="4" t="str">
        <f>IF(Student­­Performance[[#This Row],[Reading Score]]&gt;=50,"Pass","Fail")</f>
        <v>Pass</v>
      </c>
      <c r="S728" s="4" t="str">
        <f>IF(Student­­Performance[[#This Row],[Writing Score]]&gt;=50,"Pass","Fail")</f>
        <v>Pass</v>
      </c>
      <c r="T72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173</v>
      </c>
      <c r="U728" s="4" cm="1">
        <f t="array" ref="U728">IF(COUNT(F728:H728)=0,"", MAX(IF(ISNUMBER(F728:H728),F728:H728)) - MIN(IF(ISNUMBER(F728:H728),F728:H728)))</f>
        <v>13</v>
      </c>
      <c r="V728" s="4" t="str">
        <f>IF(U728="","",IF(U728&gt;25,"Outlier","Normal"))</f>
        <v>Normal</v>
      </c>
    </row>
    <row r="729" spans="1:22" x14ac:dyDescent="0.3">
      <c r="A729" s="1" t="s">
        <v>8</v>
      </c>
      <c r="B729" s="1" t="s">
        <v>13</v>
      </c>
      <c r="C729" s="1" t="s">
        <v>86</v>
      </c>
      <c r="D729" s="1" t="s">
        <v>11</v>
      </c>
      <c r="E729" s="1" t="s">
        <v>12</v>
      </c>
      <c r="F729" s="4">
        <v>54</v>
      </c>
      <c r="G729" s="4">
        <v>61</v>
      </c>
      <c r="H729" s="4">
        <v>58</v>
      </c>
      <c r="I729" s="4">
        <f>AVERAGE(Student­­Performance[[#This Row],[Math Score]],Student­­Performance[[#This Row],[Reading Score]],Student­­Performance[[#This Row],[Writing Score]])</f>
        <v>57.666666666666664</v>
      </c>
      <c r="J729" s="10" t="str">
        <f>IF(Student­­Performance[[#This Row],[Average Score]]&gt;=50,"Pass","Fail")</f>
        <v>Pass</v>
      </c>
      <c r="K72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72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72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729" s="4">
        <f>IF(ISNUMBER(Student­­Performance[[#This Row],[Math Score]]),Student­­Performance[[#This Row],[Math Score]],0)</f>
        <v>54</v>
      </c>
      <c r="O729" s="4">
        <f>IF(ISNUMBER(Student­­Performance[[#This Row],[Reading Score]]),Student­­Performance[[#This Row],[Reading Score]],0)</f>
        <v>61</v>
      </c>
      <c r="P729" s="4">
        <f>IF(ISNUMBER(Student­­Performance[[#This Row],[Writing Score]]),Student­­Performance[[#This Row],[Writing Score]],0)</f>
        <v>58</v>
      </c>
      <c r="Q729" s="4" t="str">
        <f>IF(Student­­Performance[[#This Row],[Math Score]]&gt;=50,"Pass","Fail")</f>
        <v>Pass</v>
      </c>
      <c r="R729" s="4" t="str">
        <f>IF(Student­­Performance[[#This Row],[Reading Score]]&gt;=50,"Pass","Fail")</f>
        <v>Pass</v>
      </c>
      <c r="S729" s="4" t="str">
        <f>IF(Student­­Performance[[#This Row],[Writing Score]]&gt;=50,"Pass","Fail")</f>
        <v>Pass</v>
      </c>
      <c r="T72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173</v>
      </c>
      <c r="U729" s="4" cm="1">
        <f t="array" ref="U729">IF(COUNT(F729:H729)=0,"", MAX(IF(ISNUMBER(F729:H729),F729:H729)) - MIN(IF(ISNUMBER(F729:H729),F729:H729)))</f>
        <v>7</v>
      </c>
      <c r="V729" s="4" t="str">
        <f>IF(U729="","",IF(U729&gt;25,"Outlier","Normal"))</f>
        <v>Normal</v>
      </c>
    </row>
    <row r="730" spans="1:22" x14ac:dyDescent="0.3">
      <c r="A730" s="1" t="s">
        <v>17</v>
      </c>
      <c r="B730" s="1" t="s">
        <v>26</v>
      </c>
      <c r="C730" s="1" t="s">
        <v>88</v>
      </c>
      <c r="D730" s="1" t="s">
        <v>11</v>
      </c>
      <c r="E730" s="1" t="s">
        <v>12</v>
      </c>
      <c r="F730" s="4">
        <v>94</v>
      </c>
      <c r="G730" s="4" t="s">
        <v>90</v>
      </c>
      <c r="H730" s="4">
        <v>78</v>
      </c>
      <c r="I730" s="4">
        <f>AVERAGE(Student­­Performance[[#This Row],[Math Score]],Student­­Performance[[#This Row],[Reading Score]],Student­­Performance[[#This Row],[Writing Score]])</f>
        <v>86</v>
      </c>
      <c r="J730" s="10" t="str">
        <f>IF(Student­­Performance[[#This Row],[Average Score]]&gt;=50,"Pass","Fail")</f>
        <v>Pass</v>
      </c>
      <c r="K730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730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73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-16</v>
      </c>
      <c r="N730" s="4">
        <f>IF(ISNUMBER(Student­­Performance[[#This Row],[Math Score]]),Student­­Performance[[#This Row],[Math Score]],0)</f>
        <v>94</v>
      </c>
      <c r="O730" s="4">
        <f>IF(ISNUMBER(Student­­Performance[[#This Row],[Reading Score]]),Student­­Performance[[#This Row],[Reading Score]],0)</f>
        <v>0</v>
      </c>
      <c r="P730" s="4">
        <f>IF(ISNUMBER(Student­­Performance[[#This Row],[Writing Score]]),Student­­Performance[[#This Row],[Writing Score]],0)</f>
        <v>78</v>
      </c>
      <c r="Q730" s="4" t="str">
        <f>IF(Student­­Performance[[#This Row],[Math Score]]&gt;=50,"Pass","Fail")</f>
        <v>Pass</v>
      </c>
      <c r="R730" s="4" t="str">
        <f>IF(Student­­Performance[[#This Row],[Reading Score]]&gt;=50,"Pass","Fail")</f>
        <v>Pass</v>
      </c>
      <c r="S730" s="4" t="str">
        <f>IF(Student­­Performance[[#This Row],[Writing Score]]&gt;=50,"Pass","Fail")</f>
        <v>Pass</v>
      </c>
      <c r="T73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172</v>
      </c>
      <c r="U730" s="4" cm="1">
        <f t="array" ref="U730">IF(COUNT(F730:H730)=0,"", MAX(IF(ISNUMBER(F730:H730),F730:H730)) - MIN(IF(ISNUMBER(F730:H730),F730:H730)))</f>
        <v>16</v>
      </c>
      <c r="V730" s="4" t="str">
        <f>IF(U730="","",IF(U730&gt;25,"Outlier","Normal"))</f>
        <v>Normal</v>
      </c>
    </row>
    <row r="731" spans="1:22" x14ac:dyDescent="0.3">
      <c r="A731" s="1" t="s">
        <v>8</v>
      </c>
      <c r="B731" s="1" t="s">
        <v>21</v>
      </c>
      <c r="C731" s="1" t="s">
        <v>85</v>
      </c>
      <c r="D731" s="1" t="s">
        <v>20</v>
      </c>
      <c r="E731" s="1" t="s">
        <v>15</v>
      </c>
      <c r="F731" s="4">
        <v>47</v>
      </c>
      <c r="G731" s="4">
        <v>58</v>
      </c>
      <c r="H731" s="4">
        <v>67</v>
      </c>
      <c r="I731" s="4">
        <f>AVERAGE(Student­­Performance[[#This Row],[Math Score]],Student­­Performance[[#This Row],[Reading Score]],Student­­Performance[[#This Row],[Writing Score]])</f>
        <v>57.333333333333336</v>
      </c>
      <c r="J731" s="10" t="str">
        <f>IF(Student­­Performance[[#This Row],[Average Score]]&gt;=50,"Pass","Fail")</f>
        <v>Pass</v>
      </c>
      <c r="K73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73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9</v>
      </c>
      <c r="M73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20</v>
      </c>
      <c r="N731" s="4">
        <f>IF(ISNUMBER(Student­­Performance[[#This Row],[Math Score]]),Student­­Performance[[#This Row],[Math Score]],0)</f>
        <v>47</v>
      </c>
      <c r="O731" s="4">
        <f>IF(ISNUMBER(Student­­Performance[[#This Row],[Reading Score]]),Student­­Performance[[#This Row],[Reading Score]],0)</f>
        <v>58</v>
      </c>
      <c r="P731" s="4">
        <f>IF(ISNUMBER(Student­­Performance[[#This Row],[Writing Score]]),Student­­Performance[[#This Row],[Writing Score]],0)</f>
        <v>67</v>
      </c>
      <c r="Q731" s="4" t="str">
        <f>IF(Student­­Performance[[#This Row],[Math Score]]&gt;=50,"Pass","Fail")</f>
        <v>Fail</v>
      </c>
      <c r="R731" s="4" t="str">
        <f>IF(Student­­Performance[[#This Row],[Reading Score]]&gt;=50,"Pass","Fail")</f>
        <v>Pass</v>
      </c>
      <c r="S731" s="4" t="str">
        <f>IF(Student­­Performance[[#This Row],[Writing Score]]&gt;=50,"Pass","Fail")</f>
        <v>Pass</v>
      </c>
      <c r="T73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172</v>
      </c>
      <c r="U731" s="4" cm="1">
        <f t="array" ref="U731">IF(COUNT(F731:H731)=0,"", MAX(IF(ISNUMBER(F731:H731),F731:H731)) - MIN(IF(ISNUMBER(F731:H731),F731:H731)))</f>
        <v>20</v>
      </c>
      <c r="V731" s="4" t="str">
        <f>IF(U731="","",IF(U731&gt;25,"Outlier","Normal"))</f>
        <v>Normal</v>
      </c>
    </row>
    <row r="732" spans="1:22" x14ac:dyDescent="0.3">
      <c r="A732" s="1" t="s">
        <v>17</v>
      </c>
      <c r="B732" s="1" t="s">
        <v>13</v>
      </c>
      <c r="C732" s="1" t="s">
        <v>87</v>
      </c>
      <c r="D732" s="1" t="s">
        <v>11</v>
      </c>
      <c r="E732" s="1" t="s">
        <v>12</v>
      </c>
      <c r="F732" s="4">
        <v>61</v>
      </c>
      <c r="G732" s="4">
        <v>56</v>
      </c>
      <c r="H732" s="4">
        <v>55</v>
      </c>
      <c r="I732" s="4">
        <f>AVERAGE(Student­­Performance[[#This Row],[Math Score]],Student­­Performance[[#This Row],[Reading Score]],Student­­Performance[[#This Row],[Writing Score]])</f>
        <v>57.333333333333336</v>
      </c>
      <c r="J732" s="10" t="str">
        <f>IF(Student­­Performance[[#This Row],[Average Score]]&gt;=50,"Pass","Fail")</f>
        <v>Pass</v>
      </c>
      <c r="K73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73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73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732" s="4">
        <f>IF(ISNUMBER(Student­­Performance[[#This Row],[Math Score]]),Student­­Performance[[#This Row],[Math Score]],0)</f>
        <v>61</v>
      </c>
      <c r="O732" s="4">
        <f>IF(ISNUMBER(Student­­Performance[[#This Row],[Reading Score]]),Student­­Performance[[#This Row],[Reading Score]],0)</f>
        <v>56</v>
      </c>
      <c r="P732" s="4">
        <f>IF(ISNUMBER(Student­­Performance[[#This Row],[Writing Score]]),Student­­Performance[[#This Row],[Writing Score]],0)</f>
        <v>55</v>
      </c>
      <c r="Q732" s="4" t="str">
        <f>IF(Student­­Performance[[#This Row],[Math Score]]&gt;=50,"Pass","Fail")</f>
        <v>Pass</v>
      </c>
      <c r="R732" s="4" t="str">
        <f>IF(Student­­Performance[[#This Row],[Reading Score]]&gt;=50,"Pass","Fail")</f>
        <v>Pass</v>
      </c>
      <c r="S732" s="4" t="str">
        <f>IF(Student­­Performance[[#This Row],[Writing Score]]&gt;=50,"Pass","Fail")</f>
        <v>Pass</v>
      </c>
      <c r="T73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172</v>
      </c>
      <c r="U732" s="4" cm="1">
        <f t="array" ref="U732">IF(COUNT(F732:H732)=0,"", MAX(IF(ISNUMBER(F732:H732),F732:H732)) - MIN(IF(ISNUMBER(F732:H732),F732:H732)))</f>
        <v>6</v>
      </c>
      <c r="V732" s="4" t="str">
        <f>IF(U732="","",IF(U732&gt;25,"Outlier","Normal"))</f>
        <v>Normal</v>
      </c>
    </row>
    <row r="733" spans="1:22" x14ac:dyDescent="0.3">
      <c r="A733" s="1" t="s">
        <v>17</v>
      </c>
      <c r="B733" s="1" t="s">
        <v>13</v>
      </c>
      <c r="C733" s="1" t="s">
        <v>84</v>
      </c>
      <c r="D733" s="1" t="s">
        <v>20</v>
      </c>
      <c r="E733" s="1" t="s">
        <v>12</v>
      </c>
      <c r="F733" s="4">
        <v>65</v>
      </c>
      <c r="G733" s="4">
        <v>58</v>
      </c>
      <c r="H733" s="4">
        <v>49</v>
      </c>
      <c r="I733" s="4">
        <f>AVERAGE(Student­­Performance[[#This Row],[Math Score]],Student­­Performance[[#This Row],[Reading Score]],Student­­Performance[[#This Row],[Writing Score]])</f>
        <v>57.333333333333336</v>
      </c>
      <c r="J733" s="10" t="str">
        <f>IF(Student­­Performance[[#This Row],[Average Score]]&gt;=50,"Pass","Fail")</f>
        <v>Pass</v>
      </c>
      <c r="K73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-7</v>
      </c>
      <c r="L73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-9</v>
      </c>
      <c r="M73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-16</v>
      </c>
      <c r="N733" s="4">
        <f>IF(ISNUMBER(Student­­Performance[[#This Row],[Math Score]]),Student­­Performance[[#This Row],[Math Score]],0)</f>
        <v>65</v>
      </c>
      <c r="O733" s="4">
        <f>IF(ISNUMBER(Student­­Performance[[#This Row],[Reading Score]]),Student­­Performance[[#This Row],[Reading Score]],0)</f>
        <v>58</v>
      </c>
      <c r="P733" s="4">
        <f>IF(ISNUMBER(Student­­Performance[[#This Row],[Writing Score]]),Student­­Performance[[#This Row],[Writing Score]],0)</f>
        <v>49</v>
      </c>
      <c r="Q733" s="4" t="str">
        <f>IF(Student­­Performance[[#This Row],[Math Score]]&gt;=50,"Pass","Fail")</f>
        <v>Pass</v>
      </c>
      <c r="R733" s="4" t="str">
        <f>IF(Student­­Performance[[#This Row],[Reading Score]]&gt;=50,"Pass","Fail")</f>
        <v>Pass</v>
      </c>
      <c r="S733" s="4" t="str">
        <f>IF(Student­­Performance[[#This Row],[Writing Score]]&gt;=50,"Pass","Fail")</f>
        <v>Fail</v>
      </c>
      <c r="T73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172</v>
      </c>
      <c r="U733" s="4" cm="1">
        <f t="array" ref="U733">IF(COUNT(F733:H733)=0,"", MAX(IF(ISNUMBER(F733:H733),F733:H733)) - MIN(IF(ISNUMBER(F733:H733),F733:H733)))</f>
        <v>16</v>
      </c>
      <c r="V733" s="4" t="str">
        <f>IF(U733="","",IF(U733&gt;25,"Outlier","Normal"))</f>
        <v>Normal</v>
      </c>
    </row>
    <row r="734" spans="1:22" x14ac:dyDescent="0.3">
      <c r="A734" s="1" t="s">
        <v>17</v>
      </c>
      <c r="B734" s="1" t="s">
        <v>21</v>
      </c>
      <c r="C734" s="1" t="s">
        <v>84</v>
      </c>
      <c r="D734" s="1" t="s">
        <v>11</v>
      </c>
      <c r="E734" s="1" t="s">
        <v>12</v>
      </c>
      <c r="F734" s="4">
        <v>71</v>
      </c>
      <c r="G734" s="4">
        <v>49</v>
      </c>
      <c r="H734" s="4">
        <v>52</v>
      </c>
      <c r="I734" s="4">
        <f>AVERAGE(Student­­Performance[[#This Row],[Math Score]],Student­­Performance[[#This Row],[Reading Score]],Student­­Performance[[#This Row],[Writing Score]])</f>
        <v>57.333333333333336</v>
      </c>
      <c r="J734" s="10" t="str">
        <f>IF(Student­­Performance[[#This Row],[Average Score]]&gt;=50,"Pass","Fail")</f>
        <v>Pass</v>
      </c>
      <c r="K73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-22</v>
      </c>
      <c r="L73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73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-19</v>
      </c>
      <c r="N734" s="4">
        <f>IF(ISNUMBER(Student­­Performance[[#This Row],[Math Score]]),Student­­Performance[[#This Row],[Math Score]],0)</f>
        <v>71</v>
      </c>
      <c r="O734" s="4">
        <f>IF(ISNUMBER(Student­­Performance[[#This Row],[Reading Score]]),Student­­Performance[[#This Row],[Reading Score]],0)</f>
        <v>49</v>
      </c>
      <c r="P734" s="4">
        <f>IF(ISNUMBER(Student­­Performance[[#This Row],[Writing Score]]),Student­­Performance[[#This Row],[Writing Score]],0)</f>
        <v>52</v>
      </c>
      <c r="Q734" s="4" t="str">
        <f>IF(Student­­Performance[[#This Row],[Math Score]]&gt;=50,"Pass","Fail")</f>
        <v>Pass</v>
      </c>
      <c r="R734" s="4" t="str">
        <f>IF(Student­­Performance[[#This Row],[Reading Score]]&gt;=50,"Pass","Fail")</f>
        <v>Fail</v>
      </c>
      <c r="S734" s="4" t="str">
        <f>IF(Student­­Performance[[#This Row],[Writing Score]]&gt;=50,"Pass","Fail")</f>
        <v>Pass</v>
      </c>
      <c r="T73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172</v>
      </c>
      <c r="U734" s="4" cm="1">
        <f t="array" ref="U734">IF(COUNT(F734:H734)=0,"", MAX(IF(ISNUMBER(F734:H734),F734:H734)) - MIN(IF(ISNUMBER(F734:H734),F734:H734)))</f>
        <v>22</v>
      </c>
      <c r="V734" s="4" t="str">
        <f>IF(U734="","",IF(U734&gt;25,"Outlier","Normal"))</f>
        <v>Normal</v>
      </c>
    </row>
    <row r="735" spans="1:22" x14ac:dyDescent="0.3">
      <c r="A735" s="1" t="s">
        <v>17</v>
      </c>
      <c r="B735" s="1" t="s">
        <v>13</v>
      </c>
      <c r="C735" s="1" t="s">
        <v>88</v>
      </c>
      <c r="D735" s="1" t="s">
        <v>11</v>
      </c>
      <c r="E735" s="1" t="s">
        <v>12</v>
      </c>
      <c r="F735" s="4">
        <v>57</v>
      </c>
      <c r="G735" s="4">
        <v>61</v>
      </c>
      <c r="H735" s="4">
        <v>54</v>
      </c>
      <c r="I735" s="4">
        <f>AVERAGE(Student­­Performance[[#This Row],[Math Score]],Student­­Performance[[#This Row],[Reading Score]],Student­­Performance[[#This Row],[Writing Score]])</f>
        <v>57.333333333333336</v>
      </c>
      <c r="J735" s="10" t="str">
        <f>IF(Student­­Performance[[#This Row],[Average Score]]&gt;=50,"Pass","Fail")</f>
        <v>Pass</v>
      </c>
      <c r="K73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73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73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735" s="4">
        <f>IF(ISNUMBER(Student­­Performance[[#This Row],[Math Score]]),Student­­Performance[[#This Row],[Math Score]],0)</f>
        <v>57</v>
      </c>
      <c r="O735" s="4">
        <f>IF(ISNUMBER(Student­­Performance[[#This Row],[Reading Score]]),Student­­Performance[[#This Row],[Reading Score]],0)</f>
        <v>61</v>
      </c>
      <c r="P735" s="4">
        <f>IF(ISNUMBER(Student­­Performance[[#This Row],[Writing Score]]),Student­­Performance[[#This Row],[Writing Score]],0)</f>
        <v>54</v>
      </c>
      <c r="Q735" s="4" t="str">
        <f>IF(Student­­Performance[[#This Row],[Math Score]]&gt;=50,"Pass","Fail")</f>
        <v>Pass</v>
      </c>
      <c r="R735" s="4" t="str">
        <f>IF(Student­­Performance[[#This Row],[Reading Score]]&gt;=50,"Pass","Fail")</f>
        <v>Pass</v>
      </c>
      <c r="S735" s="4" t="str">
        <f>IF(Student­­Performance[[#This Row],[Writing Score]]&gt;=50,"Pass","Fail")</f>
        <v>Pass</v>
      </c>
      <c r="T73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172</v>
      </c>
      <c r="U735" s="4" cm="1">
        <f t="array" ref="U735">IF(COUNT(F735:H735)=0,"", MAX(IF(ISNUMBER(F735:H735),F735:H735)) - MIN(IF(ISNUMBER(F735:H735),F735:H735)))</f>
        <v>7</v>
      </c>
      <c r="V735" s="4" t="str">
        <f>IF(U735="","",IF(U735&gt;25,"Outlier","Normal"))</f>
        <v>Normal</v>
      </c>
    </row>
    <row r="736" spans="1:22" x14ac:dyDescent="0.3">
      <c r="A736" s="1" t="s">
        <v>17</v>
      </c>
      <c r="B736" s="1" t="s">
        <v>26</v>
      </c>
      <c r="C736" s="1" t="s">
        <v>86</v>
      </c>
      <c r="D736" s="1" t="s">
        <v>20</v>
      </c>
      <c r="E736" s="1" t="s">
        <v>12</v>
      </c>
      <c r="F736" s="4">
        <v>64</v>
      </c>
      <c r="G736" s="4">
        <v>56</v>
      </c>
      <c r="H736" s="4">
        <v>52</v>
      </c>
      <c r="I736" s="4">
        <f>AVERAGE(Student­­Performance[[#This Row],[Math Score]],Student­­Performance[[#This Row],[Reading Score]],Student­­Performance[[#This Row],[Writing Score]])</f>
        <v>57.333333333333336</v>
      </c>
      <c r="J736" s="10" t="str">
        <f>IF(Student­­Performance[[#This Row],[Average Score]]&gt;=50,"Pass","Fail")</f>
        <v>Pass</v>
      </c>
      <c r="K73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-8</v>
      </c>
      <c r="L73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73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-12</v>
      </c>
      <c r="N736" s="4">
        <f>IF(ISNUMBER(Student­­Performance[[#This Row],[Math Score]]),Student­­Performance[[#This Row],[Math Score]],0)</f>
        <v>64</v>
      </c>
      <c r="O736" s="4">
        <f>IF(ISNUMBER(Student­­Performance[[#This Row],[Reading Score]]),Student­­Performance[[#This Row],[Reading Score]],0)</f>
        <v>56</v>
      </c>
      <c r="P736" s="4">
        <f>IF(ISNUMBER(Student­­Performance[[#This Row],[Writing Score]]),Student­­Performance[[#This Row],[Writing Score]],0)</f>
        <v>52</v>
      </c>
      <c r="Q736" s="4" t="str">
        <f>IF(Student­­Performance[[#This Row],[Math Score]]&gt;=50,"Pass","Fail")</f>
        <v>Pass</v>
      </c>
      <c r="R736" s="4" t="str">
        <f>IF(Student­­Performance[[#This Row],[Reading Score]]&gt;=50,"Pass","Fail")</f>
        <v>Pass</v>
      </c>
      <c r="S736" s="4" t="str">
        <f>IF(Student­­Performance[[#This Row],[Writing Score]]&gt;=50,"Pass","Fail")</f>
        <v>Pass</v>
      </c>
      <c r="T73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172</v>
      </c>
      <c r="U736" s="4" cm="1">
        <f t="array" ref="U736">IF(COUNT(F736:H736)=0,"", MAX(IF(ISNUMBER(F736:H736),F736:H736)) - MIN(IF(ISNUMBER(F736:H736),F736:H736)))</f>
        <v>12</v>
      </c>
      <c r="V736" s="4" t="str">
        <f>IF(U736="","",IF(U736&gt;25,"Outlier","Normal"))</f>
        <v>Normal</v>
      </c>
    </row>
    <row r="737" spans="1:22" x14ac:dyDescent="0.3">
      <c r="A737" s="1" t="s">
        <v>8</v>
      </c>
      <c r="B737" s="1" t="s">
        <v>26</v>
      </c>
      <c r="C737" s="1" t="s">
        <v>87</v>
      </c>
      <c r="D737" s="1" t="s">
        <v>20</v>
      </c>
      <c r="E737" s="1" t="s">
        <v>12</v>
      </c>
      <c r="F737" s="4">
        <v>57</v>
      </c>
      <c r="G737" s="4">
        <v>58</v>
      </c>
      <c r="H737" s="4">
        <v>57</v>
      </c>
      <c r="I737" s="4">
        <f>AVERAGE(Student­­Performance[[#This Row],[Math Score]],Student­­Performance[[#This Row],[Reading Score]],Student­­Performance[[#This Row],[Writing Score]])</f>
        <v>57.333333333333336</v>
      </c>
      <c r="J737" s="10" t="str">
        <f>IF(Student­­Performance[[#This Row],[Average Score]]&gt;=50,"Pass","Fail")</f>
        <v>Pass</v>
      </c>
      <c r="K73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73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73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737" s="4">
        <f>IF(ISNUMBER(Student­­Performance[[#This Row],[Math Score]]),Student­­Performance[[#This Row],[Math Score]],0)</f>
        <v>57</v>
      </c>
      <c r="O737" s="4">
        <f>IF(ISNUMBER(Student­­Performance[[#This Row],[Reading Score]]),Student­­Performance[[#This Row],[Reading Score]],0)</f>
        <v>58</v>
      </c>
      <c r="P737" s="4">
        <f>IF(ISNUMBER(Student­­Performance[[#This Row],[Writing Score]]),Student­­Performance[[#This Row],[Writing Score]],0)</f>
        <v>57</v>
      </c>
      <c r="Q737" s="4" t="str">
        <f>IF(Student­­Performance[[#This Row],[Math Score]]&gt;=50,"Pass","Fail")</f>
        <v>Pass</v>
      </c>
      <c r="R737" s="4" t="str">
        <f>IF(Student­­Performance[[#This Row],[Reading Score]]&gt;=50,"Pass","Fail")</f>
        <v>Pass</v>
      </c>
      <c r="S737" s="4" t="str">
        <f>IF(Student­­Performance[[#This Row],[Writing Score]]&gt;=50,"Pass","Fail")</f>
        <v>Pass</v>
      </c>
      <c r="T73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172</v>
      </c>
      <c r="U737" s="4" cm="1">
        <f t="array" ref="U737">IF(COUNT(F737:H737)=0,"", MAX(IF(ISNUMBER(F737:H737),F737:H737)) - MIN(IF(ISNUMBER(F737:H737),F737:H737)))</f>
        <v>1</v>
      </c>
      <c r="V737" s="4" t="str">
        <f>IF(U737="","",IF(U737&gt;25,"Outlier","Normal"))</f>
        <v>Normal</v>
      </c>
    </row>
    <row r="738" spans="1:22" x14ac:dyDescent="0.3">
      <c r="A738" s="1" t="s">
        <v>17</v>
      </c>
      <c r="B738" s="1" t="s">
        <v>13</v>
      </c>
      <c r="C738" s="1" t="s">
        <v>87</v>
      </c>
      <c r="D738" s="1" t="s">
        <v>20</v>
      </c>
      <c r="E738" s="1" t="s">
        <v>12</v>
      </c>
      <c r="F738" s="4">
        <v>62</v>
      </c>
      <c r="G738" s="4">
        <v>55</v>
      </c>
      <c r="H738" s="4">
        <v>55</v>
      </c>
      <c r="I738" s="4">
        <f>AVERAGE(Student­­Performance[[#This Row],[Math Score]],Student­­Performance[[#This Row],[Reading Score]],Student­­Performance[[#This Row],[Writing Score]])</f>
        <v>57.333333333333336</v>
      </c>
      <c r="J738" s="10" t="str">
        <f>IF(Student­­Performance[[#This Row],[Average Score]]&gt;=50,"Pass","Fail")</f>
        <v>Pass</v>
      </c>
      <c r="K73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-7</v>
      </c>
      <c r="L73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73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738" s="4">
        <f>IF(ISNUMBER(Student­­Performance[[#This Row],[Math Score]]),Student­­Performance[[#This Row],[Math Score]],0)</f>
        <v>62</v>
      </c>
      <c r="O738" s="4">
        <f>IF(ISNUMBER(Student­­Performance[[#This Row],[Reading Score]]),Student­­Performance[[#This Row],[Reading Score]],0)</f>
        <v>55</v>
      </c>
      <c r="P738" s="4">
        <f>IF(ISNUMBER(Student­­Performance[[#This Row],[Writing Score]]),Student­­Performance[[#This Row],[Writing Score]],0)</f>
        <v>55</v>
      </c>
      <c r="Q738" s="4" t="str">
        <f>IF(Student­­Performance[[#This Row],[Math Score]]&gt;=50,"Pass","Fail")</f>
        <v>Pass</v>
      </c>
      <c r="R738" s="4" t="str">
        <f>IF(Student­­Performance[[#This Row],[Reading Score]]&gt;=50,"Pass","Fail")</f>
        <v>Pass</v>
      </c>
      <c r="S738" s="4" t="str">
        <f>IF(Student­­Performance[[#This Row],[Writing Score]]&gt;=50,"Pass","Fail")</f>
        <v>Pass</v>
      </c>
      <c r="T73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172</v>
      </c>
      <c r="U738" s="4" cm="1">
        <f t="array" ref="U738">IF(COUNT(F738:H738)=0,"", MAX(IF(ISNUMBER(F738:H738),F738:H738)) - MIN(IF(ISNUMBER(F738:H738),F738:H738)))</f>
        <v>7</v>
      </c>
      <c r="V738" s="4" t="str">
        <f>IF(U738="","",IF(U738&gt;25,"Outlier","Normal"))</f>
        <v>Normal</v>
      </c>
    </row>
    <row r="739" spans="1:22" x14ac:dyDescent="0.3">
      <c r="A739" s="1" t="s">
        <v>17</v>
      </c>
      <c r="B739" s="1" t="s">
        <v>26</v>
      </c>
      <c r="C739" s="1" t="s">
        <v>86</v>
      </c>
      <c r="D739" s="1" t="s">
        <v>11</v>
      </c>
      <c r="E739" s="1" t="s">
        <v>15</v>
      </c>
      <c r="F739" s="4">
        <v>62</v>
      </c>
      <c r="G739" s="4">
        <v>56</v>
      </c>
      <c r="H739" s="4">
        <v>53</v>
      </c>
      <c r="I739" s="4">
        <f>AVERAGE(Student­­Performance[[#This Row],[Math Score]],Student­­Performance[[#This Row],[Reading Score]],Student­­Performance[[#This Row],[Writing Score]])</f>
        <v>57</v>
      </c>
      <c r="J739" s="10" t="str">
        <f>IF(Student­­Performance[[#This Row],[Average Score]]&gt;=50,"Pass","Fail")</f>
        <v>Pass</v>
      </c>
      <c r="K73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73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73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-9</v>
      </c>
      <c r="N739" s="4">
        <f>IF(ISNUMBER(Student­­Performance[[#This Row],[Math Score]]),Student­­Performance[[#This Row],[Math Score]],0)</f>
        <v>62</v>
      </c>
      <c r="O739" s="4">
        <f>IF(ISNUMBER(Student­­Performance[[#This Row],[Reading Score]]),Student­­Performance[[#This Row],[Reading Score]],0)</f>
        <v>56</v>
      </c>
      <c r="P739" s="4">
        <f>IF(ISNUMBER(Student­­Performance[[#This Row],[Writing Score]]),Student­­Performance[[#This Row],[Writing Score]],0)</f>
        <v>53</v>
      </c>
      <c r="Q739" s="4" t="str">
        <f>IF(Student­­Performance[[#This Row],[Math Score]]&gt;=50,"Pass","Fail")</f>
        <v>Pass</v>
      </c>
      <c r="R739" s="4" t="str">
        <f>IF(Student­­Performance[[#This Row],[Reading Score]]&gt;=50,"Pass","Fail")</f>
        <v>Pass</v>
      </c>
      <c r="S739" s="4" t="str">
        <f>IF(Student­­Performance[[#This Row],[Writing Score]]&gt;=50,"Pass","Fail")</f>
        <v>Pass</v>
      </c>
      <c r="T73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171</v>
      </c>
      <c r="U739" s="4" cm="1">
        <f t="array" ref="U739">IF(COUNT(F739:H739)=0,"", MAX(IF(ISNUMBER(F739:H739),F739:H739)) - MIN(IF(ISNUMBER(F739:H739),F739:H739)))</f>
        <v>9</v>
      </c>
      <c r="V739" s="4" t="str">
        <f>IF(U739="","",IF(U739&gt;25,"Outlier","Normal"))</f>
        <v>Normal</v>
      </c>
    </row>
    <row r="740" spans="1:22" x14ac:dyDescent="0.3">
      <c r="A740" s="1" t="s">
        <v>17</v>
      </c>
      <c r="B740" s="1" t="s">
        <v>13</v>
      </c>
      <c r="C740" s="1" t="s">
        <v>87</v>
      </c>
      <c r="D740" s="1" t="s">
        <v>20</v>
      </c>
      <c r="E740" s="1" t="s">
        <v>12</v>
      </c>
      <c r="F740" s="4">
        <v>58</v>
      </c>
      <c r="G740" s="4">
        <v>61</v>
      </c>
      <c r="H740" s="4">
        <v>52</v>
      </c>
      <c r="I740" s="4">
        <f>AVERAGE(Student­­Performance[[#This Row],[Math Score]],Student­­Performance[[#This Row],[Reading Score]],Student­­Performance[[#This Row],[Writing Score]])</f>
        <v>57</v>
      </c>
      <c r="J740" s="10" t="str">
        <f>IF(Student­­Performance[[#This Row],[Average Score]]&gt;=50,"Pass","Fail")</f>
        <v>Pass</v>
      </c>
      <c r="K74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74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-9</v>
      </c>
      <c r="M74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740" s="4">
        <f>IF(ISNUMBER(Student­­Performance[[#This Row],[Math Score]]),Student­­Performance[[#This Row],[Math Score]],0)</f>
        <v>58</v>
      </c>
      <c r="O740" s="4">
        <f>IF(ISNUMBER(Student­­Performance[[#This Row],[Reading Score]]),Student­­Performance[[#This Row],[Reading Score]],0)</f>
        <v>61</v>
      </c>
      <c r="P740" s="4">
        <f>IF(ISNUMBER(Student­­Performance[[#This Row],[Writing Score]]),Student­­Performance[[#This Row],[Writing Score]],0)</f>
        <v>52</v>
      </c>
      <c r="Q740" s="4" t="str">
        <f>IF(Student­­Performance[[#This Row],[Math Score]]&gt;=50,"Pass","Fail")</f>
        <v>Pass</v>
      </c>
      <c r="R740" s="4" t="str">
        <f>IF(Student­­Performance[[#This Row],[Reading Score]]&gt;=50,"Pass","Fail")</f>
        <v>Pass</v>
      </c>
      <c r="S740" s="4" t="str">
        <f>IF(Student­­Performance[[#This Row],[Writing Score]]&gt;=50,"Pass","Fail")</f>
        <v>Pass</v>
      </c>
      <c r="T74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171</v>
      </c>
      <c r="U740" s="4" cm="1">
        <f t="array" ref="U740">IF(COUNT(F740:H740)=0,"", MAX(IF(ISNUMBER(F740:H740),F740:H740)) - MIN(IF(ISNUMBER(F740:H740),F740:H740)))</f>
        <v>9</v>
      </c>
      <c r="V740" s="4" t="str">
        <f>IF(U740="","",IF(U740&gt;25,"Outlier","Normal"))</f>
        <v>Normal</v>
      </c>
    </row>
    <row r="741" spans="1:22" x14ac:dyDescent="0.3">
      <c r="A741" s="1" t="s">
        <v>8</v>
      </c>
      <c r="B741" s="1" t="s">
        <v>13</v>
      </c>
      <c r="C741" s="1" t="s">
        <v>83</v>
      </c>
      <c r="D741" s="1" t="s">
        <v>11</v>
      </c>
      <c r="E741" s="1" t="s">
        <v>12</v>
      </c>
      <c r="F741" s="4">
        <v>81</v>
      </c>
      <c r="G741" s="4" t="s">
        <v>90</v>
      </c>
      <c r="H741" s="4">
        <v>90</v>
      </c>
      <c r="I741" s="4">
        <f>AVERAGE(Student­­Performance[[#This Row],[Math Score]],Student­­Performance[[#This Row],[Reading Score]],Student­­Performance[[#This Row],[Writing Score]])</f>
        <v>85.5</v>
      </c>
      <c r="J741" s="10" t="str">
        <f>IF(Student­­Performance[[#This Row],[Average Score]]&gt;=50,"Pass","Fail")</f>
        <v>Pass</v>
      </c>
      <c r="K741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741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74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741" s="4">
        <f>IF(ISNUMBER(Student­­Performance[[#This Row],[Math Score]]),Student­­Performance[[#This Row],[Math Score]],0)</f>
        <v>81</v>
      </c>
      <c r="O741" s="4">
        <f>IF(ISNUMBER(Student­­Performance[[#This Row],[Reading Score]]),Student­­Performance[[#This Row],[Reading Score]],0)</f>
        <v>0</v>
      </c>
      <c r="P741" s="4">
        <f>IF(ISNUMBER(Student­­Performance[[#This Row],[Writing Score]]),Student­­Performance[[#This Row],[Writing Score]],0)</f>
        <v>90</v>
      </c>
      <c r="Q741" s="4" t="str">
        <f>IF(Student­­Performance[[#This Row],[Math Score]]&gt;=50,"Pass","Fail")</f>
        <v>Pass</v>
      </c>
      <c r="R741" s="4" t="str">
        <f>IF(Student­­Performance[[#This Row],[Reading Score]]&gt;=50,"Pass","Fail")</f>
        <v>Pass</v>
      </c>
      <c r="S741" s="4" t="str">
        <f>IF(Student­­Performance[[#This Row],[Writing Score]]&gt;=50,"Pass","Fail")</f>
        <v>Pass</v>
      </c>
      <c r="T74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171</v>
      </c>
      <c r="U741" s="4" cm="1">
        <f t="array" ref="U741">IF(COUNT(F741:H741)=0,"", MAX(IF(ISNUMBER(F741:H741),F741:H741)) - MIN(IF(ISNUMBER(F741:H741),F741:H741)))</f>
        <v>9</v>
      </c>
      <c r="V741" s="4" t="str">
        <f>IF(U741="","",IF(U741&gt;25,"Outlier","Normal"))</f>
        <v>Normal</v>
      </c>
    </row>
    <row r="742" spans="1:22" x14ac:dyDescent="0.3">
      <c r="A742" s="1" t="s">
        <v>8</v>
      </c>
      <c r="B742" s="1" t="s">
        <v>13</v>
      </c>
      <c r="C742" s="1" t="s">
        <v>84</v>
      </c>
      <c r="D742" s="1" t="s">
        <v>11</v>
      </c>
      <c r="E742" s="1" t="s">
        <v>12</v>
      </c>
      <c r="F742" s="4">
        <v>53</v>
      </c>
      <c r="G742" s="4">
        <v>62</v>
      </c>
      <c r="H742" s="4">
        <v>56</v>
      </c>
      <c r="I742" s="4">
        <f>AVERAGE(Student­­Performance[[#This Row],[Math Score]],Student­­Performance[[#This Row],[Reading Score]],Student­­Performance[[#This Row],[Writing Score]])</f>
        <v>57</v>
      </c>
      <c r="J742" s="10" t="str">
        <f>IF(Student­­Performance[[#This Row],[Average Score]]&gt;=50,"Pass","Fail")</f>
        <v>Pass</v>
      </c>
      <c r="K74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74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74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742" s="4">
        <f>IF(ISNUMBER(Student­­Performance[[#This Row],[Math Score]]),Student­­Performance[[#This Row],[Math Score]],0)</f>
        <v>53</v>
      </c>
      <c r="O742" s="4">
        <f>IF(ISNUMBER(Student­­Performance[[#This Row],[Reading Score]]),Student­­Performance[[#This Row],[Reading Score]],0)</f>
        <v>62</v>
      </c>
      <c r="P742" s="4">
        <f>IF(ISNUMBER(Student­­Performance[[#This Row],[Writing Score]]),Student­­Performance[[#This Row],[Writing Score]],0)</f>
        <v>56</v>
      </c>
      <c r="Q742" s="4" t="str">
        <f>IF(Student­­Performance[[#This Row],[Math Score]]&gt;=50,"Pass","Fail")</f>
        <v>Pass</v>
      </c>
      <c r="R742" s="4" t="str">
        <f>IF(Student­­Performance[[#This Row],[Reading Score]]&gt;=50,"Pass","Fail")</f>
        <v>Pass</v>
      </c>
      <c r="S742" s="4" t="str">
        <f>IF(Student­­Performance[[#This Row],[Writing Score]]&gt;=50,"Pass","Fail")</f>
        <v>Pass</v>
      </c>
      <c r="T74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171</v>
      </c>
      <c r="U742" s="4" cm="1">
        <f t="array" ref="U742">IF(COUNT(F742:H742)=0,"", MAX(IF(ISNUMBER(F742:H742),F742:H742)) - MIN(IF(ISNUMBER(F742:H742),F742:H742)))</f>
        <v>9</v>
      </c>
      <c r="V742" s="4" t="str">
        <f>IF(U742="","",IF(U742&gt;25,"Outlier","Normal"))</f>
        <v>Normal</v>
      </c>
    </row>
    <row r="743" spans="1:22" x14ac:dyDescent="0.3">
      <c r="A743" s="1" t="s">
        <v>17</v>
      </c>
      <c r="B743" s="1" t="s">
        <v>9</v>
      </c>
      <c r="C743" s="1" t="s">
        <v>87</v>
      </c>
      <c r="D743" s="1" t="s">
        <v>11</v>
      </c>
      <c r="E743" s="1" t="s">
        <v>12</v>
      </c>
      <c r="F743" s="4">
        <v>62</v>
      </c>
      <c r="G743" s="4">
        <v>55</v>
      </c>
      <c r="H743" s="4">
        <v>54</v>
      </c>
      <c r="I743" s="4">
        <f>AVERAGE(Student­­Performance[[#This Row],[Math Score]],Student­­Performance[[#This Row],[Reading Score]],Student­­Performance[[#This Row],[Writing Score]])</f>
        <v>57</v>
      </c>
      <c r="J743" s="10" t="str">
        <f>IF(Student­­Performance[[#This Row],[Average Score]]&gt;=50,"Pass","Fail")</f>
        <v>Pass</v>
      </c>
      <c r="K74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-7</v>
      </c>
      <c r="L74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74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743" s="4">
        <f>IF(ISNUMBER(Student­­Performance[[#This Row],[Math Score]]),Student­­Performance[[#This Row],[Math Score]],0)</f>
        <v>62</v>
      </c>
      <c r="O743" s="4">
        <f>IF(ISNUMBER(Student­­Performance[[#This Row],[Reading Score]]),Student­­Performance[[#This Row],[Reading Score]],0)</f>
        <v>55</v>
      </c>
      <c r="P743" s="4">
        <f>IF(ISNUMBER(Student­­Performance[[#This Row],[Writing Score]]),Student­­Performance[[#This Row],[Writing Score]],0)</f>
        <v>54</v>
      </c>
      <c r="Q743" s="4" t="str">
        <f>IF(Student­­Performance[[#This Row],[Math Score]]&gt;=50,"Pass","Fail")</f>
        <v>Pass</v>
      </c>
      <c r="R743" s="4" t="str">
        <f>IF(Student­­Performance[[#This Row],[Reading Score]]&gt;=50,"Pass","Fail")</f>
        <v>Pass</v>
      </c>
      <c r="S743" s="4" t="str">
        <f>IF(Student­­Performance[[#This Row],[Writing Score]]&gt;=50,"Pass","Fail")</f>
        <v>Pass</v>
      </c>
      <c r="T74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171</v>
      </c>
      <c r="U743" s="4" cm="1">
        <f t="array" ref="U743">IF(COUNT(F743:H743)=0,"", MAX(IF(ISNUMBER(F743:H743),F743:H743)) - MIN(IF(ISNUMBER(F743:H743),F743:H743)))</f>
        <v>8</v>
      </c>
      <c r="V743" s="4" t="str">
        <f>IF(U743="","",IF(U743&gt;25,"Outlier","Normal"))</f>
        <v>Normal</v>
      </c>
    </row>
    <row r="744" spans="1:22" x14ac:dyDescent="0.3">
      <c r="A744" s="1" t="s">
        <v>17</v>
      </c>
      <c r="B744" s="1" t="s">
        <v>9</v>
      </c>
      <c r="C744" s="1" t="s">
        <v>84</v>
      </c>
      <c r="D744" s="1" t="s">
        <v>11</v>
      </c>
      <c r="E744" s="1" t="s">
        <v>15</v>
      </c>
      <c r="F744" s="4">
        <v>87</v>
      </c>
      <c r="G744" s="4">
        <v>84</v>
      </c>
      <c r="H744" s="4" t="s">
        <v>90</v>
      </c>
      <c r="I744" s="4">
        <f>AVERAGE(Student­­Performance[[#This Row],[Math Score]],Student­­Performance[[#This Row],[Reading Score]],Student­­Performance[[#This Row],[Writing Score]])</f>
        <v>85.5</v>
      </c>
      <c r="J744" s="10" t="str">
        <f>IF(Student­­Performance[[#This Row],[Average Score]]&gt;=50,"Pass","Fail")</f>
        <v>Pass</v>
      </c>
      <c r="K74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744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744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744" s="4">
        <f>IF(ISNUMBER(Student­­Performance[[#This Row],[Math Score]]),Student­­Performance[[#This Row],[Math Score]],0)</f>
        <v>87</v>
      </c>
      <c r="O744" s="4">
        <f>IF(ISNUMBER(Student­­Performance[[#This Row],[Reading Score]]),Student­­Performance[[#This Row],[Reading Score]],0)</f>
        <v>84</v>
      </c>
      <c r="P744" s="4">
        <f>IF(ISNUMBER(Student­­Performance[[#This Row],[Writing Score]]),Student­­Performance[[#This Row],[Writing Score]],0)</f>
        <v>0</v>
      </c>
      <c r="Q744" s="4" t="str">
        <f>IF(Student­­Performance[[#This Row],[Math Score]]&gt;=50,"Pass","Fail")</f>
        <v>Pass</v>
      </c>
      <c r="R744" s="4" t="str">
        <f>IF(Student­­Performance[[#This Row],[Reading Score]]&gt;=50,"Pass","Fail")</f>
        <v>Pass</v>
      </c>
      <c r="S744" s="4" t="str">
        <f>IF(Student­­Performance[[#This Row],[Writing Score]]&gt;=50,"Pass","Fail")</f>
        <v>Pass</v>
      </c>
      <c r="T74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171</v>
      </c>
      <c r="U744" s="4" cm="1">
        <f t="array" ref="U744">IF(COUNT(F744:H744)=0,"", MAX(IF(ISNUMBER(F744:H744),F744:H744)) - MIN(IF(ISNUMBER(F744:H744),F744:H744)))</f>
        <v>3</v>
      </c>
      <c r="V744" s="4" t="str">
        <f>IF(U744="","",IF(U744&gt;25,"Outlier","Normal"))</f>
        <v>Normal</v>
      </c>
    </row>
    <row r="745" spans="1:22" x14ac:dyDescent="0.3">
      <c r="A745" s="1" t="s">
        <v>17</v>
      </c>
      <c r="B745" s="1" t="s">
        <v>9</v>
      </c>
      <c r="C745" s="1" t="s">
        <v>86</v>
      </c>
      <c r="D745" s="1" t="s">
        <v>20</v>
      </c>
      <c r="E745" s="1" t="s">
        <v>12</v>
      </c>
      <c r="F745" s="4">
        <v>57</v>
      </c>
      <c r="G745" s="4">
        <v>56</v>
      </c>
      <c r="H745" s="4">
        <v>57</v>
      </c>
      <c r="I745" s="4">
        <f>AVERAGE(Student­­Performance[[#This Row],[Math Score]],Student­­Performance[[#This Row],[Reading Score]],Student­­Performance[[#This Row],[Writing Score]])</f>
        <v>56.666666666666664</v>
      </c>
      <c r="J745" s="10" t="str">
        <f>IF(Student­­Performance[[#This Row],[Average Score]]&gt;=50,"Pass","Fail")</f>
        <v>Pass</v>
      </c>
      <c r="K74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74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74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745" s="4">
        <f>IF(ISNUMBER(Student­­Performance[[#This Row],[Math Score]]),Student­­Performance[[#This Row],[Math Score]],0)</f>
        <v>57</v>
      </c>
      <c r="O745" s="4">
        <f>IF(ISNUMBER(Student­­Performance[[#This Row],[Reading Score]]),Student­­Performance[[#This Row],[Reading Score]],0)</f>
        <v>56</v>
      </c>
      <c r="P745" s="4">
        <f>IF(ISNUMBER(Student­­Performance[[#This Row],[Writing Score]]),Student­­Performance[[#This Row],[Writing Score]],0)</f>
        <v>57</v>
      </c>
      <c r="Q745" s="4" t="str">
        <f>IF(Student­­Performance[[#This Row],[Math Score]]&gt;=50,"Pass","Fail")</f>
        <v>Pass</v>
      </c>
      <c r="R745" s="4" t="str">
        <f>IF(Student­­Performance[[#This Row],[Reading Score]]&gt;=50,"Pass","Fail")</f>
        <v>Pass</v>
      </c>
      <c r="S745" s="4" t="str">
        <f>IF(Student­­Performance[[#This Row],[Writing Score]]&gt;=50,"Pass","Fail")</f>
        <v>Pass</v>
      </c>
      <c r="T74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170</v>
      </c>
      <c r="U745" s="4" cm="1">
        <f t="array" ref="U745">IF(COUNT(F745:H745)=0,"", MAX(IF(ISNUMBER(F745:H745),F745:H745)) - MIN(IF(ISNUMBER(F745:H745),F745:H745)))</f>
        <v>1</v>
      </c>
      <c r="V745" s="4" t="str">
        <f>IF(U745="","",IF(U745&gt;25,"Outlier","Normal"))</f>
        <v>Normal</v>
      </c>
    </row>
    <row r="746" spans="1:22" x14ac:dyDescent="0.3">
      <c r="A746" s="1" t="s">
        <v>17</v>
      </c>
      <c r="B746" s="1" t="s">
        <v>13</v>
      </c>
      <c r="C746" s="1" t="s">
        <v>86</v>
      </c>
      <c r="D746" s="1" t="s">
        <v>20</v>
      </c>
      <c r="E746" s="1" t="s">
        <v>12</v>
      </c>
      <c r="F746" s="4">
        <v>55</v>
      </c>
      <c r="G746" s="4">
        <v>61</v>
      </c>
      <c r="H746" s="4">
        <v>54</v>
      </c>
      <c r="I746" s="4">
        <f>AVERAGE(Student­­Performance[[#This Row],[Math Score]],Student­­Performance[[#This Row],[Reading Score]],Student­­Performance[[#This Row],[Writing Score]])</f>
        <v>56.666666666666664</v>
      </c>
      <c r="J746" s="10" t="str">
        <f>IF(Student­­Performance[[#This Row],[Average Score]]&gt;=50,"Pass","Fail")</f>
        <v>Pass</v>
      </c>
      <c r="K74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74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74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746" s="4">
        <f>IF(ISNUMBER(Student­­Performance[[#This Row],[Math Score]]),Student­­Performance[[#This Row],[Math Score]],0)</f>
        <v>55</v>
      </c>
      <c r="O746" s="4">
        <f>IF(ISNUMBER(Student­­Performance[[#This Row],[Reading Score]]),Student­­Performance[[#This Row],[Reading Score]],0)</f>
        <v>61</v>
      </c>
      <c r="P746" s="4">
        <f>IF(ISNUMBER(Student­­Performance[[#This Row],[Writing Score]]),Student­­Performance[[#This Row],[Writing Score]],0)</f>
        <v>54</v>
      </c>
      <c r="Q746" s="4" t="str">
        <f>IF(Student­­Performance[[#This Row],[Math Score]]&gt;=50,"Pass","Fail")</f>
        <v>Pass</v>
      </c>
      <c r="R746" s="4" t="str">
        <f>IF(Student­­Performance[[#This Row],[Reading Score]]&gt;=50,"Pass","Fail")</f>
        <v>Pass</v>
      </c>
      <c r="S746" s="4" t="str">
        <f>IF(Student­­Performance[[#This Row],[Writing Score]]&gt;=50,"Pass","Fail")</f>
        <v>Pass</v>
      </c>
      <c r="T74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170</v>
      </c>
      <c r="U746" s="4" cm="1">
        <f t="array" ref="U746">IF(COUNT(F746:H746)=0,"", MAX(IF(ISNUMBER(F746:H746),F746:H746)) - MIN(IF(ISNUMBER(F746:H746),F746:H746)))</f>
        <v>7</v>
      </c>
      <c r="V746" s="4" t="str">
        <f>IF(U746="","",IF(U746&gt;25,"Outlier","Normal"))</f>
        <v>Normal</v>
      </c>
    </row>
    <row r="747" spans="1:22" x14ac:dyDescent="0.3">
      <c r="A747" s="1" t="s">
        <v>8</v>
      </c>
      <c r="B747" s="1" t="s">
        <v>13</v>
      </c>
      <c r="C747" s="1" t="s">
        <v>88</v>
      </c>
      <c r="D747" s="1" t="s">
        <v>20</v>
      </c>
      <c r="E747" s="1" t="s">
        <v>15</v>
      </c>
      <c r="F747" s="4">
        <v>50</v>
      </c>
      <c r="G747" s="4">
        <v>60</v>
      </c>
      <c r="H747" s="4">
        <v>60</v>
      </c>
      <c r="I747" s="4">
        <f>AVERAGE(Student­­Performance[[#This Row],[Math Score]],Student­­Performance[[#This Row],[Reading Score]],Student­­Performance[[#This Row],[Writing Score]])</f>
        <v>56.666666666666664</v>
      </c>
      <c r="J747" s="10" t="str">
        <f>IF(Student­­Performance[[#This Row],[Average Score]]&gt;=50,"Pass","Fail")</f>
        <v>Pass</v>
      </c>
      <c r="K74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74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74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747" s="4">
        <f>IF(ISNUMBER(Student­­Performance[[#This Row],[Math Score]]),Student­­Performance[[#This Row],[Math Score]],0)</f>
        <v>50</v>
      </c>
      <c r="O747" s="4">
        <f>IF(ISNUMBER(Student­­Performance[[#This Row],[Reading Score]]),Student­­Performance[[#This Row],[Reading Score]],0)</f>
        <v>60</v>
      </c>
      <c r="P747" s="4">
        <f>IF(ISNUMBER(Student­­Performance[[#This Row],[Writing Score]]),Student­­Performance[[#This Row],[Writing Score]],0)</f>
        <v>60</v>
      </c>
      <c r="Q747" s="4" t="str">
        <f>IF(Student­­Performance[[#This Row],[Math Score]]&gt;=50,"Pass","Fail")</f>
        <v>Pass</v>
      </c>
      <c r="R747" s="4" t="str">
        <f>IF(Student­­Performance[[#This Row],[Reading Score]]&gt;=50,"Pass","Fail")</f>
        <v>Pass</v>
      </c>
      <c r="S747" s="4" t="str">
        <f>IF(Student­­Performance[[#This Row],[Writing Score]]&gt;=50,"Pass","Fail")</f>
        <v>Pass</v>
      </c>
      <c r="T74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170</v>
      </c>
      <c r="U747" s="4" cm="1">
        <f t="array" ref="U747">IF(COUNT(F747:H747)=0,"", MAX(IF(ISNUMBER(F747:H747),F747:H747)) - MIN(IF(ISNUMBER(F747:H747),F747:H747)))</f>
        <v>10</v>
      </c>
      <c r="V747" s="4" t="str">
        <f>IF(U747="","",IF(U747&gt;25,"Outlier","Normal"))</f>
        <v>Normal</v>
      </c>
    </row>
    <row r="748" spans="1:22" x14ac:dyDescent="0.3">
      <c r="A748" s="1" t="s">
        <v>8</v>
      </c>
      <c r="B748" s="1" t="s">
        <v>9</v>
      </c>
      <c r="C748" s="1" t="s">
        <v>87</v>
      </c>
      <c r="D748" s="1" t="s">
        <v>11</v>
      </c>
      <c r="E748" s="1" t="s">
        <v>12</v>
      </c>
      <c r="F748" s="4">
        <v>48</v>
      </c>
      <c r="G748" s="4">
        <v>62</v>
      </c>
      <c r="H748" s="4">
        <v>60</v>
      </c>
      <c r="I748" s="4">
        <f>AVERAGE(Student­­Performance[[#This Row],[Math Score]],Student­­Performance[[#This Row],[Reading Score]],Student­­Performance[[#This Row],[Writing Score]])</f>
        <v>56.666666666666664</v>
      </c>
      <c r="J748" s="10" t="str">
        <f>IF(Student­­Performance[[#This Row],[Average Score]]&gt;=50,"Pass","Fail")</f>
        <v>Pass</v>
      </c>
      <c r="K74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14</v>
      </c>
      <c r="L74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74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748" s="4">
        <f>IF(ISNUMBER(Student­­Performance[[#This Row],[Math Score]]),Student­­Performance[[#This Row],[Math Score]],0)</f>
        <v>48</v>
      </c>
      <c r="O748" s="4">
        <f>IF(ISNUMBER(Student­­Performance[[#This Row],[Reading Score]]),Student­­Performance[[#This Row],[Reading Score]],0)</f>
        <v>62</v>
      </c>
      <c r="P748" s="4">
        <f>IF(ISNUMBER(Student­­Performance[[#This Row],[Writing Score]]),Student­­Performance[[#This Row],[Writing Score]],0)</f>
        <v>60</v>
      </c>
      <c r="Q748" s="4" t="str">
        <f>IF(Student­­Performance[[#This Row],[Math Score]]&gt;=50,"Pass","Fail")</f>
        <v>Fail</v>
      </c>
      <c r="R748" s="4" t="str">
        <f>IF(Student­­Performance[[#This Row],[Reading Score]]&gt;=50,"Pass","Fail")</f>
        <v>Pass</v>
      </c>
      <c r="S748" s="4" t="str">
        <f>IF(Student­­Performance[[#This Row],[Writing Score]]&gt;=50,"Pass","Fail")</f>
        <v>Pass</v>
      </c>
      <c r="T74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170</v>
      </c>
      <c r="U748" s="4" cm="1">
        <f t="array" ref="U748">IF(COUNT(F748:H748)=0,"", MAX(IF(ISNUMBER(F748:H748),F748:H748)) - MIN(IF(ISNUMBER(F748:H748),F748:H748)))</f>
        <v>14</v>
      </c>
      <c r="V748" s="4" t="str">
        <f>IF(U748="","",IF(U748&gt;25,"Outlier","Normal"))</f>
        <v>Normal</v>
      </c>
    </row>
    <row r="749" spans="1:22" x14ac:dyDescent="0.3">
      <c r="A749" s="1" t="s">
        <v>8</v>
      </c>
      <c r="B749" s="1" t="s">
        <v>18</v>
      </c>
      <c r="C749" s="1" t="s">
        <v>84</v>
      </c>
      <c r="D749" s="1" t="s">
        <v>20</v>
      </c>
      <c r="E749" s="1" t="s">
        <v>12</v>
      </c>
      <c r="F749" s="4">
        <v>49</v>
      </c>
      <c r="G749" s="4">
        <v>65</v>
      </c>
      <c r="H749" s="4">
        <v>55</v>
      </c>
      <c r="I749" s="4">
        <f>AVERAGE(Student­­Performance[[#This Row],[Math Score]],Student­­Performance[[#This Row],[Reading Score]],Student­­Performance[[#This Row],[Writing Score]])</f>
        <v>56.333333333333336</v>
      </c>
      <c r="J749" s="10" t="str">
        <f>IF(Student­­Performance[[#This Row],[Average Score]]&gt;=50,"Pass","Fail")</f>
        <v>Pass</v>
      </c>
      <c r="K74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16</v>
      </c>
      <c r="L74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-10</v>
      </c>
      <c r="M74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749" s="4">
        <f>IF(ISNUMBER(Student­­Performance[[#This Row],[Math Score]]),Student­­Performance[[#This Row],[Math Score]],0)</f>
        <v>49</v>
      </c>
      <c r="O749" s="4">
        <f>IF(ISNUMBER(Student­­Performance[[#This Row],[Reading Score]]),Student­­Performance[[#This Row],[Reading Score]],0)</f>
        <v>65</v>
      </c>
      <c r="P749" s="4">
        <f>IF(ISNUMBER(Student­­Performance[[#This Row],[Writing Score]]),Student­­Performance[[#This Row],[Writing Score]],0)</f>
        <v>55</v>
      </c>
      <c r="Q749" s="4" t="str">
        <f>IF(Student­­Performance[[#This Row],[Math Score]]&gt;=50,"Pass","Fail")</f>
        <v>Fail</v>
      </c>
      <c r="R749" s="4" t="str">
        <f>IF(Student­­Performance[[#This Row],[Reading Score]]&gt;=50,"Pass","Fail")</f>
        <v>Pass</v>
      </c>
      <c r="S749" s="4" t="str">
        <f>IF(Student­­Performance[[#This Row],[Writing Score]]&gt;=50,"Pass","Fail")</f>
        <v>Pass</v>
      </c>
      <c r="T74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169</v>
      </c>
      <c r="U749" s="4" cm="1">
        <f t="array" ref="U749">IF(COUNT(F749:H749)=0,"", MAX(IF(ISNUMBER(F749:H749),F749:H749)) - MIN(IF(ISNUMBER(F749:H749),F749:H749)))</f>
        <v>16</v>
      </c>
      <c r="V749" s="4" t="str">
        <f>IF(U749="","",IF(U749&gt;25,"Outlier","Normal"))</f>
        <v>Normal</v>
      </c>
    </row>
    <row r="750" spans="1:22" x14ac:dyDescent="0.3">
      <c r="A750" s="1" t="s">
        <v>17</v>
      </c>
      <c r="B750" s="1" t="s">
        <v>13</v>
      </c>
      <c r="C750" s="1" t="s">
        <v>86</v>
      </c>
      <c r="D750" s="1" t="s">
        <v>11</v>
      </c>
      <c r="E750" s="1" t="s">
        <v>15</v>
      </c>
      <c r="F750" s="4">
        <v>51</v>
      </c>
      <c r="G750" s="4">
        <v>60</v>
      </c>
      <c r="H750" s="4">
        <v>58</v>
      </c>
      <c r="I750" s="4">
        <f>AVERAGE(Student­­Performance[[#This Row],[Math Score]],Student­­Performance[[#This Row],[Reading Score]],Student­­Performance[[#This Row],[Writing Score]])</f>
        <v>56.333333333333336</v>
      </c>
      <c r="J750" s="10" t="str">
        <f>IF(Student­­Performance[[#This Row],[Average Score]]&gt;=50,"Pass","Fail")</f>
        <v>Pass</v>
      </c>
      <c r="K75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75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75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750" s="4">
        <f>IF(ISNUMBER(Student­­Performance[[#This Row],[Math Score]]),Student­­Performance[[#This Row],[Math Score]],0)</f>
        <v>51</v>
      </c>
      <c r="O750" s="4">
        <f>IF(ISNUMBER(Student­­Performance[[#This Row],[Reading Score]]),Student­­Performance[[#This Row],[Reading Score]],0)</f>
        <v>60</v>
      </c>
      <c r="P750" s="4">
        <f>IF(ISNUMBER(Student­­Performance[[#This Row],[Writing Score]]),Student­­Performance[[#This Row],[Writing Score]],0)</f>
        <v>58</v>
      </c>
      <c r="Q750" s="4" t="str">
        <f>IF(Student­­Performance[[#This Row],[Math Score]]&gt;=50,"Pass","Fail")</f>
        <v>Pass</v>
      </c>
      <c r="R750" s="4" t="str">
        <f>IF(Student­­Performance[[#This Row],[Reading Score]]&gt;=50,"Pass","Fail")</f>
        <v>Pass</v>
      </c>
      <c r="S750" s="4" t="str">
        <f>IF(Student­­Performance[[#This Row],[Writing Score]]&gt;=50,"Pass","Fail")</f>
        <v>Pass</v>
      </c>
      <c r="T75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169</v>
      </c>
      <c r="U750" s="4" cm="1">
        <f t="array" ref="U750">IF(COUNT(F750:H750)=0,"", MAX(IF(ISNUMBER(F750:H750),F750:H750)) - MIN(IF(ISNUMBER(F750:H750),F750:H750)))</f>
        <v>9</v>
      </c>
      <c r="V750" s="4" t="str">
        <f>IF(U750="","",IF(U750&gt;25,"Outlier","Normal"))</f>
        <v>Normal</v>
      </c>
    </row>
    <row r="751" spans="1:22" x14ac:dyDescent="0.3">
      <c r="A751" s="1" t="s">
        <v>8</v>
      </c>
      <c r="B751" s="1" t="s">
        <v>13</v>
      </c>
      <c r="C751" s="1" t="s">
        <v>83</v>
      </c>
      <c r="D751" s="1" t="s">
        <v>20</v>
      </c>
      <c r="E751" s="1" t="s">
        <v>12</v>
      </c>
      <c r="F751" s="4">
        <v>44</v>
      </c>
      <c r="G751" s="4">
        <v>63</v>
      </c>
      <c r="H751" s="4">
        <v>62</v>
      </c>
      <c r="I751" s="4">
        <f>AVERAGE(Student­­Performance[[#This Row],[Math Score]],Student­­Performance[[#This Row],[Reading Score]],Student­­Performance[[#This Row],[Writing Score]])</f>
        <v>56.333333333333336</v>
      </c>
      <c r="J751" s="10" t="str">
        <f>IF(Student­­Performance[[#This Row],[Average Score]]&gt;=50,"Pass","Fail")</f>
        <v>Pass</v>
      </c>
      <c r="K75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19</v>
      </c>
      <c r="L75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75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18</v>
      </c>
      <c r="N751" s="4">
        <f>IF(ISNUMBER(Student­­Performance[[#This Row],[Math Score]]),Student­­Performance[[#This Row],[Math Score]],0)</f>
        <v>44</v>
      </c>
      <c r="O751" s="4">
        <f>IF(ISNUMBER(Student­­Performance[[#This Row],[Reading Score]]),Student­­Performance[[#This Row],[Reading Score]],0)</f>
        <v>63</v>
      </c>
      <c r="P751" s="4">
        <f>IF(ISNUMBER(Student­­Performance[[#This Row],[Writing Score]]),Student­­Performance[[#This Row],[Writing Score]],0)</f>
        <v>62</v>
      </c>
      <c r="Q751" s="4" t="str">
        <f>IF(Student­­Performance[[#This Row],[Math Score]]&gt;=50,"Pass","Fail")</f>
        <v>Fail</v>
      </c>
      <c r="R751" s="4" t="str">
        <f>IF(Student­­Performance[[#This Row],[Reading Score]]&gt;=50,"Pass","Fail")</f>
        <v>Pass</v>
      </c>
      <c r="S751" s="4" t="str">
        <f>IF(Student­­Performance[[#This Row],[Writing Score]]&gt;=50,"Pass","Fail")</f>
        <v>Pass</v>
      </c>
      <c r="T75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169</v>
      </c>
      <c r="U751" s="4" cm="1">
        <f t="array" ref="U751">IF(COUNT(F751:H751)=0,"", MAX(IF(ISNUMBER(F751:H751),F751:H751)) - MIN(IF(ISNUMBER(F751:H751),F751:H751)))</f>
        <v>19</v>
      </c>
      <c r="V751" s="4" t="str">
        <f>IF(U751="","",IF(U751&gt;25,"Outlier","Normal"))</f>
        <v>Normal</v>
      </c>
    </row>
    <row r="752" spans="1:22" x14ac:dyDescent="0.3">
      <c r="A752" s="1" t="s">
        <v>17</v>
      </c>
      <c r="B752" s="1" t="s">
        <v>13</v>
      </c>
      <c r="C752" s="1" t="s">
        <v>84</v>
      </c>
      <c r="D752" s="1" t="s">
        <v>20</v>
      </c>
      <c r="E752" s="1" t="s">
        <v>12</v>
      </c>
      <c r="F752" s="4">
        <v>58</v>
      </c>
      <c r="G752" s="4">
        <v>57</v>
      </c>
      <c r="H752" s="4">
        <v>54</v>
      </c>
      <c r="I752" s="4">
        <f>AVERAGE(Student­­Performance[[#This Row],[Math Score]],Student­­Performance[[#This Row],[Reading Score]],Student­­Performance[[#This Row],[Writing Score]])</f>
        <v>56.333333333333336</v>
      </c>
      <c r="J752" s="10" t="str">
        <f>IF(Student­­Performance[[#This Row],[Average Score]]&gt;=50,"Pass","Fail")</f>
        <v>Pass</v>
      </c>
      <c r="K75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75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75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752" s="4">
        <f>IF(ISNUMBER(Student­­Performance[[#This Row],[Math Score]]),Student­­Performance[[#This Row],[Math Score]],0)</f>
        <v>58</v>
      </c>
      <c r="O752" s="4">
        <f>IF(ISNUMBER(Student­­Performance[[#This Row],[Reading Score]]),Student­­Performance[[#This Row],[Reading Score]],0)</f>
        <v>57</v>
      </c>
      <c r="P752" s="4">
        <f>IF(ISNUMBER(Student­­Performance[[#This Row],[Writing Score]]),Student­­Performance[[#This Row],[Writing Score]],0)</f>
        <v>54</v>
      </c>
      <c r="Q752" s="4" t="str">
        <f>IF(Student­­Performance[[#This Row],[Math Score]]&gt;=50,"Pass","Fail")</f>
        <v>Pass</v>
      </c>
      <c r="R752" s="4" t="str">
        <f>IF(Student­­Performance[[#This Row],[Reading Score]]&gt;=50,"Pass","Fail")</f>
        <v>Pass</v>
      </c>
      <c r="S752" s="4" t="str">
        <f>IF(Student­­Performance[[#This Row],[Writing Score]]&gt;=50,"Pass","Fail")</f>
        <v>Pass</v>
      </c>
      <c r="T75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169</v>
      </c>
      <c r="U752" s="4" cm="1">
        <f t="array" ref="U752">IF(COUNT(F752:H752)=0,"", MAX(IF(ISNUMBER(F752:H752),F752:H752)) - MIN(IF(ISNUMBER(F752:H752),F752:H752)))</f>
        <v>4</v>
      </c>
      <c r="V752" s="4" t="str">
        <f>IF(U752="","",IF(U752&gt;25,"Outlier","Normal"))</f>
        <v>Normal</v>
      </c>
    </row>
    <row r="753" spans="1:22" x14ac:dyDescent="0.3">
      <c r="A753" s="1" t="s">
        <v>8</v>
      </c>
      <c r="B753" s="1" t="s">
        <v>13</v>
      </c>
      <c r="C753" s="1" t="s">
        <v>83</v>
      </c>
      <c r="D753" s="1" t="s">
        <v>20</v>
      </c>
      <c r="E753" s="1" t="s">
        <v>12</v>
      </c>
      <c r="F753" s="4">
        <v>50</v>
      </c>
      <c r="G753" s="4">
        <v>60</v>
      </c>
      <c r="H753" s="4">
        <v>59</v>
      </c>
      <c r="I753" s="4">
        <f>AVERAGE(Student­­Performance[[#This Row],[Math Score]],Student­­Performance[[#This Row],[Reading Score]],Student­­Performance[[#This Row],[Writing Score]])</f>
        <v>56.333333333333336</v>
      </c>
      <c r="J753" s="10" t="str">
        <f>IF(Student­­Performance[[#This Row],[Average Score]]&gt;=50,"Pass","Fail")</f>
        <v>Pass</v>
      </c>
      <c r="K75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75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75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753" s="4">
        <f>IF(ISNUMBER(Student­­Performance[[#This Row],[Math Score]]),Student­­Performance[[#This Row],[Math Score]],0)</f>
        <v>50</v>
      </c>
      <c r="O753" s="4">
        <f>IF(ISNUMBER(Student­­Performance[[#This Row],[Reading Score]]),Student­­Performance[[#This Row],[Reading Score]],0)</f>
        <v>60</v>
      </c>
      <c r="P753" s="4">
        <f>IF(ISNUMBER(Student­­Performance[[#This Row],[Writing Score]]),Student­­Performance[[#This Row],[Writing Score]],0)</f>
        <v>59</v>
      </c>
      <c r="Q753" s="4" t="str">
        <f>IF(Student­­Performance[[#This Row],[Math Score]]&gt;=50,"Pass","Fail")</f>
        <v>Pass</v>
      </c>
      <c r="R753" s="4" t="str">
        <f>IF(Student­­Performance[[#This Row],[Reading Score]]&gt;=50,"Pass","Fail")</f>
        <v>Pass</v>
      </c>
      <c r="S753" s="4" t="str">
        <f>IF(Student­­Performance[[#This Row],[Writing Score]]&gt;=50,"Pass","Fail")</f>
        <v>Pass</v>
      </c>
      <c r="T75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169</v>
      </c>
      <c r="U753" s="4" cm="1">
        <f t="array" ref="U753">IF(COUNT(F753:H753)=0,"", MAX(IF(ISNUMBER(F753:H753),F753:H753)) - MIN(IF(ISNUMBER(F753:H753),F753:H753)))</f>
        <v>10</v>
      </c>
      <c r="V753" s="4" t="str">
        <f>IF(U753="","",IF(U753&gt;25,"Outlier","Normal"))</f>
        <v>Normal</v>
      </c>
    </row>
    <row r="754" spans="1:22" x14ac:dyDescent="0.3">
      <c r="A754" s="1" t="s">
        <v>8</v>
      </c>
      <c r="B754" s="1" t="s">
        <v>21</v>
      </c>
      <c r="C754" s="1" t="s">
        <v>88</v>
      </c>
      <c r="D754" s="1" t="s">
        <v>20</v>
      </c>
      <c r="E754" s="1" t="s">
        <v>15</v>
      </c>
      <c r="F754" s="4">
        <v>40</v>
      </c>
      <c r="G754" s="4">
        <v>65</v>
      </c>
      <c r="H754" s="4">
        <v>64</v>
      </c>
      <c r="I754" s="4">
        <f>AVERAGE(Student­­Performance[[#This Row],[Math Score]],Student­­Performance[[#This Row],[Reading Score]],Student­­Performance[[#This Row],[Writing Score]])</f>
        <v>56.333333333333336</v>
      </c>
      <c r="J754" s="10" t="str">
        <f>IF(Student­­Performance[[#This Row],[Average Score]]&gt;=50,"Pass","Fail")</f>
        <v>Pass</v>
      </c>
      <c r="K75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25</v>
      </c>
      <c r="L75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75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24</v>
      </c>
      <c r="N754" s="4">
        <f>IF(ISNUMBER(Student­­Performance[[#This Row],[Math Score]]),Student­­Performance[[#This Row],[Math Score]],0)</f>
        <v>40</v>
      </c>
      <c r="O754" s="4">
        <f>IF(ISNUMBER(Student­­Performance[[#This Row],[Reading Score]]),Student­­Performance[[#This Row],[Reading Score]],0)</f>
        <v>65</v>
      </c>
      <c r="P754" s="4">
        <f>IF(ISNUMBER(Student­­Performance[[#This Row],[Writing Score]]),Student­­Performance[[#This Row],[Writing Score]],0)</f>
        <v>64</v>
      </c>
      <c r="Q754" s="4" t="str">
        <f>IF(Student­­Performance[[#This Row],[Math Score]]&gt;=50,"Pass","Fail")</f>
        <v>Fail</v>
      </c>
      <c r="R754" s="4" t="str">
        <f>IF(Student­­Performance[[#This Row],[Reading Score]]&gt;=50,"Pass","Fail")</f>
        <v>Pass</v>
      </c>
      <c r="S754" s="4" t="str">
        <f>IF(Student­­Performance[[#This Row],[Writing Score]]&gt;=50,"Pass","Fail")</f>
        <v>Pass</v>
      </c>
      <c r="T75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169</v>
      </c>
      <c r="U754" s="4" cm="1">
        <f t="array" ref="U754">IF(COUNT(F754:H754)=0,"", MAX(IF(ISNUMBER(F754:H754),F754:H754)) - MIN(IF(ISNUMBER(F754:H754),F754:H754)))</f>
        <v>25</v>
      </c>
      <c r="V754" s="4" t="str">
        <f>IF(U754="","",IF(U754&gt;25,"Outlier","Normal"))</f>
        <v>Normal</v>
      </c>
    </row>
    <row r="755" spans="1:22" x14ac:dyDescent="0.3">
      <c r="A755" s="1" t="s">
        <v>17</v>
      </c>
      <c r="B755" s="1" t="s">
        <v>21</v>
      </c>
      <c r="C755" s="1" t="s">
        <v>86</v>
      </c>
      <c r="D755" s="1" t="s">
        <v>11</v>
      </c>
      <c r="E755" s="1" t="s">
        <v>12</v>
      </c>
      <c r="F755" s="4">
        <v>61</v>
      </c>
      <c r="G755" s="4">
        <v>55</v>
      </c>
      <c r="H755" s="4">
        <v>52</v>
      </c>
      <c r="I755" s="4">
        <f>AVERAGE(Student­­Performance[[#This Row],[Math Score]],Student­­Performance[[#This Row],[Reading Score]],Student­­Performance[[#This Row],[Writing Score]])</f>
        <v>56</v>
      </c>
      <c r="J755" s="10" t="str">
        <f>IF(Student­­Performance[[#This Row],[Average Score]]&gt;=50,"Pass","Fail")</f>
        <v>Pass</v>
      </c>
      <c r="K75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75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75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-9</v>
      </c>
      <c r="N755" s="4">
        <f>IF(ISNUMBER(Student­­Performance[[#This Row],[Math Score]]),Student­­Performance[[#This Row],[Math Score]],0)</f>
        <v>61</v>
      </c>
      <c r="O755" s="4">
        <f>IF(ISNUMBER(Student­­Performance[[#This Row],[Reading Score]]),Student­­Performance[[#This Row],[Reading Score]],0)</f>
        <v>55</v>
      </c>
      <c r="P755" s="4">
        <f>IF(ISNUMBER(Student­­Performance[[#This Row],[Writing Score]]),Student­­Performance[[#This Row],[Writing Score]],0)</f>
        <v>52</v>
      </c>
      <c r="Q755" s="4" t="str">
        <f>IF(Student­­Performance[[#This Row],[Math Score]]&gt;=50,"Pass","Fail")</f>
        <v>Pass</v>
      </c>
      <c r="R755" s="4" t="str">
        <f>IF(Student­­Performance[[#This Row],[Reading Score]]&gt;=50,"Pass","Fail")</f>
        <v>Pass</v>
      </c>
      <c r="S755" s="4" t="str">
        <f>IF(Student­­Performance[[#This Row],[Writing Score]]&gt;=50,"Pass","Fail")</f>
        <v>Pass</v>
      </c>
      <c r="T75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168</v>
      </c>
      <c r="U755" s="4" cm="1">
        <f t="array" ref="U755">IF(COUNT(F755:H755)=0,"", MAX(IF(ISNUMBER(F755:H755),F755:H755)) - MIN(IF(ISNUMBER(F755:H755),F755:H755)))</f>
        <v>9</v>
      </c>
      <c r="V755" s="4" t="str">
        <f>IF(U755="","",IF(U755&gt;25,"Outlier","Normal"))</f>
        <v>Normal</v>
      </c>
    </row>
    <row r="756" spans="1:22" x14ac:dyDescent="0.3">
      <c r="A756" s="1" t="s">
        <v>8</v>
      </c>
      <c r="B756" s="1" t="s">
        <v>13</v>
      </c>
      <c r="C756" s="1" t="s">
        <v>84</v>
      </c>
      <c r="D756" s="1" t="s">
        <v>11</v>
      </c>
      <c r="E756" s="1" t="s">
        <v>12</v>
      </c>
      <c r="F756" s="4">
        <v>52</v>
      </c>
      <c r="G756" s="4">
        <v>58</v>
      </c>
      <c r="H756" s="4">
        <v>58</v>
      </c>
      <c r="I756" s="4">
        <f>AVERAGE(Student­­Performance[[#This Row],[Math Score]],Student­­Performance[[#This Row],[Reading Score]],Student­­Performance[[#This Row],[Writing Score]])</f>
        <v>56</v>
      </c>
      <c r="J756" s="10" t="str">
        <f>IF(Student­­Performance[[#This Row],[Average Score]]&gt;=50,"Pass","Fail")</f>
        <v>Pass</v>
      </c>
      <c r="K75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75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75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756" s="4">
        <f>IF(ISNUMBER(Student­­Performance[[#This Row],[Math Score]]),Student­­Performance[[#This Row],[Math Score]],0)</f>
        <v>52</v>
      </c>
      <c r="O756" s="4">
        <f>IF(ISNUMBER(Student­­Performance[[#This Row],[Reading Score]]),Student­­Performance[[#This Row],[Reading Score]],0)</f>
        <v>58</v>
      </c>
      <c r="P756" s="4">
        <f>IF(ISNUMBER(Student­­Performance[[#This Row],[Writing Score]]),Student­­Performance[[#This Row],[Writing Score]],0)</f>
        <v>58</v>
      </c>
      <c r="Q756" s="4" t="str">
        <f>IF(Student­­Performance[[#This Row],[Math Score]]&gt;=50,"Pass","Fail")</f>
        <v>Pass</v>
      </c>
      <c r="R756" s="4" t="str">
        <f>IF(Student­­Performance[[#This Row],[Reading Score]]&gt;=50,"Pass","Fail")</f>
        <v>Pass</v>
      </c>
      <c r="S756" s="4" t="str">
        <f>IF(Student­­Performance[[#This Row],[Writing Score]]&gt;=50,"Pass","Fail")</f>
        <v>Pass</v>
      </c>
      <c r="T75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168</v>
      </c>
      <c r="U756" s="4" cm="1">
        <f t="array" ref="U756">IF(COUNT(F756:H756)=0,"", MAX(IF(ISNUMBER(F756:H756),F756:H756)) - MIN(IF(ISNUMBER(F756:H756),F756:H756)))</f>
        <v>6</v>
      </c>
      <c r="V756" s="4" t="str">
        <f>IF(U756="","",IF(U756&gt;25,"Outlier","Normal"))</f>
        <v>Normal</v>
      </c>
    </row>
    <row r="757" spans="1:22" x14ac:dyDescent="0.3">
      <c r="A757" s="1" t="s">
        <v>17</v>
      </c>
      <c r="B757" s="1" t="s">
        <v>9</v>
      </c>
      <c r="C757" s="1" t="s">
        <v>83</v>
      </c>
      <c r="D757" s="1" t="s">
        <v>20</v>
      </c>
      <c r="E757" s="1" t="s">
        <v>12</v>
      </c>
      <c r="F757" s="4">
        <v>55</v>
      </c>
      <c r="G757" s="4">
        <v>59</v>
      </c>
      <c r="H757" s="4">
        <v>54</v>
      </c>
      <c r="I757" s="4">
        <f>AVERAGE(Student­­Performance[[#This Row],[Math Score]],Student­­Performance[[#This Row],[Reading Score]],Student­­Performance[[#This Row],[Writing Score]])</f>
        <v>56</v>
      </c>
      <c r="J757" s="10" t="str">
        <f>IF(Student­­Performance[[#This Row],[Average Score]]&gt;=50,"Pass","Fail")</f>
        <v>Pass</v>
      </c>
      <c r="K75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75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75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757" s="4">
        <f>IF(ISNUMBER(Student­­Performance[[#This Row],[Math Score]]),Student­­Performance[[#This Row],[Math Score]],0)</f>
        <v>55</v>
      </c>
      <c r="O757" s="4">
        <f>IF(ISNUMBER(Student­­Performance[[#This Row],[Reading Score]]),Student­­Performance[[#This Row],[Reading Score]],0)</f>
        <v>59</v>
      </c>
      <c r="P757" s="4">
        <f>IF(ISNUMBER(Student­­Performance[[#This Row],[Writing Score]]),Student­­Performance[[#This Row],[Writing Score]],0)</f>
        <v>54</v>
      </c>
      <c r="Q757" s="4" t="str">
        <f>IF(Student­­Performance[[#This Row],[Math Score]]&gt;=50,"Pass","Fail")</f>
        <v>Pass</v>
      </c>
      <c r="R757" s="4" t="str">
        <f>IF(Student­­Performance[[#This Row],[Reading Score]]&gt;=50,"Pass","Fail")</f>
        <v>Pass</v>
      </c>
      <c r="S757" s="4" t="str">
        <f>IF(Student­­Performance[[#This Row],[Writing Score]]&gt;=50,"Pass","Fail")</f>
        <v>Pass</v>
      </c>
      <c r="T75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168</v>
      </c>
      <c r="U757" s="4" cm="1">
        <f t="array" ref="U757">IF(COUNT(F757:H757)=0,"", MAX(IF(ISNUMBER(F757:H757),F757:H757)) - MIN(IF(ISNUMBER(F757:H757),F757:H757)))</f>
        <v>5</v>
      </c>
      <c r="V757" s="4" t="str">
        <f>IF(U757="","",IF(U757&gt;25,"Outlier","Normal"))</f>
        <v>Normal</v>
      </c>
    </row>
    <row r="758" spans="1:22" x14ac:dyDescent="0.3">
      <c r="A758" s="1" t="s">
        <v>17</v>
      </c>
      <c r="B758" s="1" t="s">
        <v>21</v>
      </c>
      <c r="C758" s="1" t="s">
        <v>87</v>
      </c>
      <c r="D758" s="1" t="s">
        <v>20</v>
      </c>
      <c r="E758" s="1" t="s">
        <v>12</v>
      </c>
      <c r="F758" s="4">
        <v>60</v>
      </c>
      <c r="G758" s="4">
        <v>57</v>
      </c>
      <c r="H758" s="4">
        <v>51</v>
      </c>
      <c r="I758" s="4">
        <f>AVERAGE(Student­­Performance[[#This Row],[Math Score]],Student­­Performance[[#This Row],[Reading Score]],Student­­Performance[[#This Row],[Writing Score]])</f>
        <v>56</v>
      </c>
      <c r="J758" s="10" t="str">
        <f>IF(Student­­Performance[[#This Row],[Average Score]]&gt;=50,"Pass","Fail")</f>
        <v>Pass</v>
      </c>
      <c r="K75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75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75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-9</v>
      </c>
      <c r="N758" s="4">
        <f>IF(ISNUMBER(Student­­Performance[[#This Row],[Math Score]]),Student­­Performance[[#This Row],[Math Score]],0)</f>
        <v>60</v>
      </c>
      <c r="O758" s="4">
        <f>IF(ISNUMBER(Student­­Performance[[#This Row],[Reading Score]]),Student­­Performance[[#This Row],[Reading Score]],0)</f>
        <v>57</v>
      </c>
      <c r="P758" s="4">
        <f>IF(ISNUMBER(Student­­Performance[[#This Row],[Writing Score]]),Student­­Performance[[#This Row],[Writing Score]],0)</f>
        <v>51</v>
      </c>
      <c r="Q758" s="4" t="str">
        <f>IF(Student­­Performance[[#This Row],[Math Score]]&gt;=50,"Pass","Fail")</f>
        <v>Pass</v>
      </c>
      <c r="R758" s="4" t="str">
        <f>IF(Student­­Performance[[#This Row],[Reading Score]]&gt;=50,"Pass","Fail")</f>
        <v>Pass</v>
      </c>
      <c r="S758" s="4" t="str">
        <f>IF(Student­­Performance[[#This Row],[Writing Score]]&gt;=50,"Pass","Fail")</f>
        <v>Pass</v>
      </c>
      <c r="T75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168</v>
      </c>
      <c r="U758" s="4" cm="1">
        <f t="array" ref="U758">IF(COUNT(F758:H758)=0,"", MAX(IF(ISNUMBER(F758:H758),F758:H758)) - MIN(IF(ISNUMBER(F758:H758),F758:H758)))</f>
        <v>9</v>
      </c>
      <c r="V758" s="4" t="str">
        <f>IF(U758="","",IF(U758&gt;25,"Outlier","Normal"))</f>
        <v>Normal</v>
      </c>
    </row>
    <row r="759" spans="1:22" x14ac:dyDescent="0.3">
      <c r="A759" s="1" t="s">
        <v>8</v>
      </c>
      <c r="B759" s="1" t="s">
        <v>13</v>
      </c>
      <c r="C759" s="1" t="s">
        <v>88</v>
      </c>
      <c r="D759" s="1" t="s">
        <v>11</v>
      </c>
      <c r="E759" s="1" t="s">
        <v>12</v>
      </c>
      <c r="F759" s="4">
        <v>49</v>
      </c>
      <c r="G759" s="4">
        <v>63</v>
      </c>
      <c r="H759" s="4">
        <v>56</v>
      </c>
      <c r="I759" s="4">
        <f>AVERAGE(Student­­Performance[[#This Row],[Math Score]],Student­­Performance[[#This Row],[Reading Score]],Student­­Performance[[#This Row],[Writing Score]])</f>
        <v>56</v>
      </c>
      <c r="J759" s="10" t="str">
        <f>IF(Student­­Performance[[#This Row],[Average Score]]&gt;=50,"Pass","Fail")</f>
        <v>Pass</v>
      </c>
      <c r="K75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14</v>
      </c>
      <c r="L75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75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759" s="4">
        <f>IF(ISNUMBER(Student­­Performance[[#This Row],[Math Score]]),Student­­Performance[[#This Row],[Math Score]],0)</f>
        <v>49</v>
      </c>
      <c r="O759" s="4">
        <f>IF(ISNUMBER(Student­­Performance[[#This Row],[Reading Score]]),Student­­Performance[[#This Row],[Reading Score]],0)</f>
        <v>63</v>
      </c>
      <c r="P759" s="4">
        <f>IF(ISNUMBER(Student­­Performance[[#This Row],[Writing Score]]),Student­­Performance[[#This Row],[Writing Score]],0)</f>
        <v>56</v>
      </c>
      <c r="Q759" s="4" t="str">
        <f>IF(Student­­Performance[[#This Row],[Math Score]]&gt;=50,"Pass","Fail")</f>
        <v>Fail</v>
      </c>
      <c r="R759" s="4" t="str">
        <f>IF(Student­­Performance[[#This Row],[Reading Score]]&gt;=50,"Pass","Fail")</f>
        <v>Pass</v>
      </c>
      <c r="S759" s="4" t="str">
        <f>IF(Student­­Performance[[#This Row],[Writing Score]]&gt;=50,"Pass","Fail")</f>
        <v>Pass</v>
      </c>
      <c r="T75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168</v>
      </c>
      <c r="U759" s="4" cm="1">
        <f t="array" ref="U759">IF(COUNT(F759:H759)=0,"", MAX(IF(ISNUMBER(F759:H759),F759:H759)) - MIN(IF(ISNUMBER(F759:H759),F759:H759)))</f>
        <v>14</v>
      </c>
      <c r="V759" s="4" t="str">
        <f>IF(U759="","",IF(U759&gt;25,"Outlier","Normal"))</f>
        <v>Normal</v>
      </c>
    </row>
    <row r="760" spans="1:22" x14ac:dyDescent="0.3">
      <c r="A760" s="1" t="s">
        <v>8</v>
      </c>
      <c r="B760" s="1" t="s">
        <v>26</v>
      </c>
      <c r="C760" s="1" t="s">
        <v>84</v>
      </c>
      <c r="D760" s="1" t="s">
        <v>20</v>
      </c>
      <c r="E760" s="1" t="s">
        <v>12</v>
      </c>
      <c r="F760" s="4">
        <v>53</v>
      </c>
      <c r="G760" s="4">
        <v>58</v>
      </c>
      <c r="H760" s="4">
        <v>57</v>
      </c>
      <c r="I760" s="4">
        <f>AVERAGE(Student­­Performance[[#This Row],[Math Score]],Student­­Performance[[#This Row],[Reading Score]],Student­­Performance[[#This Row],[Writing Score]])</f>
        <v>56</v>
      </c>
      <c r="J760" s="10" t="str">
        <f>IF(Student­­Performance[[#This Row],[Average Score]]&gt;=50,"Pass","Fail")</f>
        <v>Pass</v>
      </c>
      <c r="K76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76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76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760" s="4">
        <f>IF(ISNUMBER(Student­­Performance[[#This Row],[Math Score]]),Student­­Performance[[#This Row],[Math Score]],0)</f>
        <v>53</v>
      </c>
      <c r="O760" s="4">
        <f>IF(ISNUMBER(Student­­Performance[[#This Row],[Reading Score]]),Student­­Performance[[#This Row],[Reading Score]],0)</f>
        <v>58</v>
      </c>
      <c r="P760" s="4">
        <f>IF(ISNUMBER(Student­­Performance[[#This Row],[Writing Score]]),Student­­Performance[[#This Row],[Writing Score]],0)</f>
        <v>57</v>
      </c>
      <c r="Q760" s="4" t="str">
        <f>IF(Student­­Performance[[#This Row],[Math Score]]&gt;=50,"Pass","Fail")</f>
        <v>Pass</v>
      </c>
      <c r="R760" s="4" t="str">
        <f>IF(Student­­Performance[[#This Row],[Reading Score]]&gt;=50,"Pass","Fail")</f>
        <v>Pass</v>
      </c>
      <c r="S760" s="4" t="str">
        <f>IF(Student­­Performance[[#This Row],[Writing Score]]&gt;=50,"Pass","Fail")</f>
        <v>Pass</v>
      </c>
      <c r="T76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168</v>
      </c>
      <c r="U760" s="4" cm="1">
        <f t="array" ref="U760">IF(COUNT(F760:H760)=0,"", MAX(IF(ISNUMBER(F760:H760),F760:H760)) - MIN(IF(ISNUMBER(F760:H760),F760:H760)))</f>
        <v>5</v>
      </c>
      <c r="V760" s="4" t="str">
        <f>IF(U760="","",IF(U760&gt;25,"Outlier","Normal"))</f>
        <v>Normal</v>
      </c>
    </row>
    <row r="761" spans="1:22" x14ac:dyDescent="0.3">
      <c r="A761" s="1" t="s">
        <v>8</v>
      </c>
      <c r="B761" s="1" t="s">
        <v>18</v>
      </c>
      <c r="C761" s="1" t="s">
        <v>83</v>
      </c>
      <c r="D761" s="1" t="s">
        <v>11</v>
      </c>
      <c r="E761" s="1" t="s">
        <v>12</v>
      </c>
      <c r="F761" s="4">
        <v>45</v>
      </c>
      <c r="G761" s="4">
        <v>59</v>
      </c>
      <c r="H761" s="4">
        <v>64</v>
      </c>
      <c r="I761" s="4">
        <f>AVERAGE(Student­­Performance[[#This Row],[Math Score]],Student­­Performance[[#This Row],[Reading Score]],Student­­Performance[[#This Row],[Writing Score]])</f>
        <v>56</v>
      </c>
      <c r="J761" s="10" t="str">
        <f>IF(Student­­Performance[[#This Row],[Average Score]]&gt;=50,"Pass","Fail")</f>
        <v>Pass</v>
      </c>
      <c r="K76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14</v>
      </c>
      <c r="L76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76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19</v>
      </c>
      <c r="N761" s="4">
        <f>IF(ISNUMBER(Student­­Performance[[#This Row],[Math Score]]),Student­­Performance[[#This Row],[Math Score]],0)</f>
        <v>45</v>
      </c>
      <c r="O761" s="4">
        <f>IF(ISNUMBER(Student­­Performance[[#This Row],[Reading Score]]),Student­­Performance[[#This Row],[Reading Score]],0)</f>
        <v>59</v>
      </c>
      <c r="P761" s="4">
        <f>IF(ISNUMBER(Student­­Performance[[#This Row],[Writing Score]]),Student­­Performance[[#This Row],[Writing Score]],0)</f>
        <v>64</v>
      </c>
      <c r="Q761" s="4" t="str">
        <f>IF(Student­­Performance[[#This Row],[Math Score]]&gt;=50,"Pass","Fail")</f>
        <v>Fail</v>
      </c>
      <c r="R761" s="4" t="str">
        <f>IF(Student­­Performance[[#This Row],[Reading Score]]&gt;=50,"Pass","Fail")</f>
        <v>Pass</v>
      </c>
      <c r="S761" s="4" t="str">
        <f>IF(Student­­Performance[[#This Row],[Writing Score]]&gt;=50,"Pass","Fail")</f>
        <v>Pass</v>
      </c>
      <c r="T76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168</v>
      </c>
      <c r="U761" s="4" cm="1">
        <f t="array" ref="U761">IF(COUNT(F761:H761)=0,"", MAX(IF(ISNUMBER(F761:H761),F761:H761)) - MIN(IF(ISNUMBER(F761:H761),F761:H761)))</f>
        <v>19</v>
      </c>
      <c r="V761" s="4" t="str">
        <f>IF(U761="","",IF(U761&gt;25,"Outlier","Normal"))</f>
        <v>Normal</v>
      </c>
    </row>
    <row r="762" spans="1:22" x14ac:dyDescent="0.3">
      <c r="A762" s="1" t="s">
        <v>17</v>
      </c>
      <c r="B762" s="1" t="s">
        <v>9</v>
      </c>
      <c r="C762" s="1" t="s">
        <v>86</v>
      </c>
      <c r="D762" s="1" t="s">
        <v>20</v>
      </c>
      <c r="E762" s="1" t="s">
        <v>15</v>
      </c>
      <c r="F762" s="4">
        <v>58</v>
      </c>
      <c r="G762" s="4">
        <v>57</v>
      </c>
      <c r="H762" s="4">
        <v>53</v>
      </c>
      <c r="I762" s="4">
        <f>AVERAGE(Student­­Performance[[#This Row],[Math Score]],Student­­Performance[[#This Row],[Reading Score]],Student­­Performance[[#This Row],[Writing Score]])</f>
        <v>56</v>
      </c>
      <c r="J762" s="10" t="str">
        <f>IF(Student­­Performance[[#This Row],[Average Score]]&gt;=50,"Pass","Fail")</f>
        <v>Pass</v>
      </c>
      <c r="K76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76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76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-5</v>
      </c>
      <c r="N762" s="4">
        <f>IF(ISNUMBER(Student­­Performance[[#This Row],[Math Score]]),Student­­Performance[[#This Row],[Math Score]],0)</f>
        <v>58</v>
      </c>
      <c r="O762" s="4">
        <f>IF(ISNUMBER(Student­­Performance[[#This Row],[Reading Score]]),Student­­Performance[[#This Row],[Reading Score]],0)</f>
        <v>57</v>
      </c>
      <c r="P762" s="4">
        <f>IF(ISNUMBER(Student­­Performance[[#This Row],[Writing Score]]),Student­­Performance[[#This Row],[Writing Score]],0)</f>
        <v>53</v>
      </c>
      <c r="Q762" s="4" t="str">
        <f>IF(Student­­Performance[[#This Row],[Math Score]]&gt;=50,"Pass","Fail")</f>
        <v>Pass</v>
      </c>
      <c r="R762" s="4" t="str">
        <f>IF(Student­­Performance[[#This Row],[Reading Score]]&gt;=50,"Pass","Fail")</f>
        <v>Pass</v>
      </c>
      <c r="S762" s="4" t="str">
        <f>IF(Student­­Performance[[#This Row],[Writing Score]]&gt;=50,"Pass","Fail")</f>
        <v>Pass</v>
      </c>
      <c r="T76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168</v>
      </c>
      <c r="U762" s="4" cm="1">
        <f t="array" ref="U762">IF(COUNT(F762:H762)=0,"", MAX(IF(ISNUMBER(F762:H762),F762:H762)) - MIN(IF(ISNUMBER(F762:H762),F762:H762)))</f>
        <v>5</v>
      </c>
      <c r="V762" s="4" t="str">
        <f>IF(U762="","",IF(U762&gt;25,"Outlier","Normal"))</f>
        <v>Normal</v>
      </c>
    </row>
    <row r="763" spans="1:22" x14ac:dyDescent="0.3">
      <c r="A763" s="1" t="s">
        <v>17</v>
      </c>
      <c r="B763" s="1" t="s">
        <v>21</v>
      </c>
      <c r="C763" s="1" t="s">
        <v>87</v>
      </c>
      <c r="D763" s="1" t="s">
        <v>11</v>
      </c>
      <c r="E763" s="1" t="s">
        <v>12</v>
      </c>
      <c r="F763" s="4">
        <v>64</v>
      </c>
      <c r="G763" s="4">
        <v>54</v>
      </c>
      <c r="H763" s="4">
        <v>50</v>
      </c>
      <c r="I763" s="4">
        <f>AVERAGE(Student­­Performance[[#This Row],[Math Score]],Student­­Performance[[#This Row],[Reading Score]],Student­­Performance[[#This Row],[Writing Score]])</f>
        <v>56</v>
      </c>
      <c r="J763" s="10" t="str">
        <f>IF(Student­­Performance[[#This Row],[Average Score]]&gt;=50,"Pass","Fail")</f>
        <v>Pass</v>
      </c>
      <c r="K76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-10</v>
      </c>
      <c r="L76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76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-14</v>
      </c>
      <c r="N763" s="4">
        <f>IF(ISNUMBER(Student­­Performance[[#This Row],[Math Score]]),Student­­Performance[[#This Row],[Math Score]],0)</f>
        <v>64</v>
      </c>
      <c r="O763" s="4">
        <f>IF(ISNUMBER(Student­­Performance[[#This Row],[Reading Score]]),Student­­Performance[[#This Row],[Reading Score]],0)</f>
        <v>54</v>
      </c>
      <c r="P763" s="4">
        <f>IF(ISNUMBER(Student­­Performance[[#This Row],[Writing Score]]),Student­­Performance[[#This Row],[Writing Score]],0)</f>
        <v>50</v>
      </c>
      <c r="Q763" s="4" t="str">
        <f>IF(Student­­Performance[[#This Row],[Math Score]]&gt;=50,"Pass","Fail")</f>
        <v>Pass</v>
      </c>
      <c r="R763" s="4" t="str">
        <f>IF(Student­­Performance[[#This Row],[Reading Score]]&gt;=50,"Pass","Fail")</f>
        <v>Pass</v>
      </c>
      <c r="S763" s="4" t="str">
        <f>IF(Student­­Performance[[#This Row],[Writing Score]]&gt;=50,"Pass","Fail")</f>
        <v>Pass</v>
      </c>
      <c r="T76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168</v>
      </c>
      <c r="U763" s="4" cm="1">
        <f t="array" ref="U763">IF(COUNT(F763:H763)=0,"", MAX(IF(ISNUMBER(F763:H763),F763:H763)) - MIN(IF(ISNUMBER(F763:H763),F763:H763)))</f>
        <v>14</v>
      </c>
      <c r="V763" s="4" t="str">
        <f>IF(U763="","",IF(U763&gt;25,"Outlier","Normal"))</f>
        <v>Normal</v>
      </c>
    </row>
    <row r="764" spans="1:22" x14ac:dyDescent="0.3">
      <c r="A764" s="1" t="s">
        <v>8</v>
      </c>
      <c r="B764" s="1" t="s">
        <v>13</v>
      </c>
      <c r="C764" s="1" t="s">
        <v>86</v>
      </c>
      <c r="D764" s="1" t="s">
        <v>11</v>
      </c>
      <c r="E764" s="1" t="s">
        <v>12</v>
      </c>
      <c r="F764" s="4">
        <v>53</v>
      </c>
      <c r="G764" s="4">
        <v>62</v>
      </c>
      <c r="H764" s="4">
        <v>53</v>
      </c>
      <c r="I764" s="4">
        <f>AVERAGE(Student­­Performance[[#This Row],[Math Score]],Student­­Performance[[#This Row],[Reading Score]],Student­­Performance[[#This Row],[Writing Score]])</f>
        <v>56</v>
      </c>
      <c r="J764" s="10" t="str">
        <f>IF(Student­­Performance[[#This Row],[Average Score]]&gt;=50,"Pass","Fail")</f>
        <v>Pass</v>
      </c>
      <c r="K76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76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-9</v>
      </c>
      <c r="M76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764" s="4">
        <f>IF(ISNUMBER(Student­­Performance[[#This Row],[Math Score]]),Student­­Performance[[#This Row],[Math Score]],0)</f>
        <v>53</v>
      </c>
      <c r="O764" s="4">
        <f>IF(ISNUMBER(Student­­Performance[[#This Row],[Reading Score]]),Student­­Performance[[#This Row],[Reading Score]],0)</f>
        <v>62</v>
      </c>
      <c r="P764" s="4">
        <f>IF(ISNUMBER(Student­­Performance[[#This Row],[Writing Score]]),Student­­Performance[[#This Row],[Writing Score]],0)</f>
        <v>53</v>
      </c>
      <c r="Q764" s="4" t="str">
        <f>IF(Student­­Performance[[#This Row],[Math Score]]&gt;=50,"Pass","Fail")</f>
        <v>Pass</v>
      </c>
      <c r="R764" s="4" t="str">
        <f>IF(Student­­Performance[[#This Row],[Reading Score]]&gt;=50,"Pass","Fail")</f>
        <v>Pass</v>
      </c>
      <c r="S764" s="4" t="str">
        <f>IF(Student­­Performance[[#This Row],[Writing Score]]&gt;=50,"Pass","Fail")</f>
        <v>Pass</v>
      </c>
      <c r="T76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168</v>
      </c>
      <c r="U764" s="4" cm="1">
        <f t="array" ref="U764">IF(COUNT(F764:H764)=0,"", MAX(IF(ISNUMBER(F764:H764),F764:H764)) - MIN(IF(ISNUMBER(F764:H764),F764:H764)))</f>
        <v>9</v>
      </c>
      <c r="V764" s="4" t="str">
        <f>IF(U764="","",IF(U764&gt;25,"Outlier","Normal"))</f>
        <v>Normal</v>
      </c>
    </row>
    <row r="765" spans="1:22" x14ac:dyDescent="0.3">
      <c r="A765" s="1" t="s">
        <v>17</v>
      </c>
      <c r="B765" s="1" t="s">
        <v>13</v>
      </c>
      <c r="C765" s="1" t="s">
        <v>86</v>
      </c>
      <c r="D765" s="1" t="s">
        <v>20</v>
      </c>
      <c r="E765" s="1" t="s">
        <v>15</v>
      </c>
      <c r="F765" s="4">
        <v>60</v>
      </c>
      <c r="G765" s="4">
        <v>51</v>
      </c>
      <c r="H765" s="4">
        <v>56</v>
      </c>
      <c r="I765" s="4">
        <f>AVERAGE(Student­­Performance[[#This Row],[Math Score]],Student­­Performance[[#This Row],[Reading Score]],Student­­Performance[[#This Row],[Writing Score]])</f>
        <v>55.666666666666664</v>
      </c>
      <c r="J765" s="10" t="str">
        <f>IF(Student­­Performance[[#This Row],[Average Score]]&gt;=50,"Pass","Fail")</f>
        <v>Pass</v>
      </c>
      <c r="K76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-9</v>
      </c>
      <c r="L76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76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765" s="4">
        <f>IF(ISNUMBER(Student­­Performance[[#This Row],[Math Score]]),Student­­Performance[[#This Row],[Math Score]],0)</f>
        <v>60</v>
      </c>
      <c r="O765" s="4">
        <f>IF(ISNUMBER(Student­­Performance[[#This Row],[Reading Score]]),Student­­Performance[[#This Row],[Reading Score]],0)</f>
        <v>51</v>
      </c>
      <c r="P765" s="4">
        <f>IF(ISNUMBER(Student­­Performance[[#This Row],[Writing Score]]),Student­­Performance[[#This Row],[Writing Score]],0)</f>
        <v>56</v>
      </c>
      <c r="Q765" s="4" t="str">
        <f>IF(Student­­Performance[[#This Row],[Math Score]]&gt;=50,"Pass","Fail")</f>
        <v>Pass</v>
      </c>
      <c r="R765" s="4" t="str">
        <f>IF(Student­­Performance[[#This Row],[Reading Score]]&gt;=50,"Pass","Fail")</f>
        <v>Pass</v>
      </c>
      <c r="S765" s="4" t="str">
        <f>IF(Student­­Performance[[#This Row],[Writing Score]]&gt;=50,"Pass","Fail")</f>
        <v>Pass</v>
      </c>
      <c r="T76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167</v>
      </c>
      <c r="U765" s="4" cm="1">
        <f t="array" ref="U765">IF(COUNT(F765:H765)=0,"", MAX(IF(ISNUMBER(F765:H765),F765:H765)) - MIN(IF(ISNUMBER(F765:H765),F765:H765)))</f>
        <v>9</v>
      </c>
      <c r="V765" s="4" t="str">
        <f>IF(U765="","",IF(U765&gt;25,"Outlier","Normal"))</f>
        <v>Normal</v>
      </c>
    </row>
    <row r="766" spans="1:22" x14ac:dyDescent="0.3">
      <c r="A766" s="1" t="s">
        <v>17</v>
      </c>
      <c r="B766" s="1" t="s">
        <v>18</v>
      </c>
      <c r="C766" s="1" t="s">
        <v>83</v>
      </c>
      <c r="D766" s="1" t="s">
        <v>20</v>
      </c>
      <c r="E766" s="1" t="s">
        <v>15</v>
      </c>
      <c r="F766" s="4">
        <v>49</v>
      </c>
      <c r="G766" s="4">
        <v>58</v>
      </c>
      <c r="H766" s="4">
        <v>60</v>
      </c>
      <c r="I766" s="4">
        <f>AVERAGE(Student­­Performance[[#This Row],[Math Score]],Student­­Performance[[#This Row],[Reading Score]],Student­­Performance[[#This Row],[Writing Score]])</f>
        <v>55.666666666666664</v>
      </c>
      <c r="J766" s="10" t="str">
        <f>IF(Student­­Performance[[#This Row],[Average Score]]&gt;=50,"Pass","Fail")</f>
        <v>Pass</v>
      </c>
      <c r="K76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76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76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766" s="4">
        <f>IF(ISNUMBER(Student­­Performance[[#This Row],[Math Score]]),Student­­Performance[[#This Row],[Math Score]],0)</f>
        <v>49</v>
      </c>
      <c r="O766" s="4">
        <f>IF(ISNUMBER(Student­­Performance[[#This Row],[Reading Score]]),Student­­Performance[[#This Row],[Reading Score]],0)</f>
        <v>58</v>
      </c>
      <c r="P766" s="4">
        <f>IF(ISNUMBER(Student­­Performance[[#This Row],[Writing Score]]),Student­­Performance[[#This Row],[Writing Score]],0)</f>
        <v>60</v>
      </c>
      <c r="Q766" s="4" t="str">
        <f>IF(Student­­Performance[[#This Row],[Math Score]]&gt;=50,"Pass","Fail")</f>
        <v>Fail</v>
      </c>
      <c r="R766" s="4" t="str">
        <f>IF(Student­­Performance[[#This Row],[Reading Score]]&gt;=50,"Pass","Fail")</f>
        <v>Pass</v>
      </c>
      <c r="S766" s="4" t="str">
        <f>IF(Student­­Performance[[#This Row],[Writing Score]]&gt;=50,"Pass","Fail")</f>
        <v>Pass</v>
      </c>
      <c r="T76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167</v>
      </c>
      <c r="U766" s="4" cm="1">
        <f t="array" ref="U766">IF(COUNT(F766:H766)=0,"", MAX(IF(ISNUMBER(F766:H766),F766:H766)) - MIN(IF(ISNUMBER(F766:H766),F766:H766)))</f>
        <v>11</v>
      </c>
      <c r="V766" s="4" t="str">
        <f>IF(U766="","",IF(U766&gt;25,"Outlier","Normal"))</f>
        <v>Normal</v>
      </c>
    </row>
    <row r="767" spans="1:22" x14ac:dyDescent="0.3">
      <c r="A767" s="1" t="s">
        <v>17</v>
      </c>
      <c r="B767" s="1" t="s">
        <v>13</v>
      </c>
      <c r="C767" s="1" t="s">
        <v>86</v>
      </c>
      <c r="D767" s="1" t="s">
        <v>11</v>
      </c>
      <c r="E767" s="1" t="s">
        <v>15</v>
      </c>
      <c r="F767" s="4">
        <v>57</v>
      </c>
      <c r="G767" s="4">
        <v>54</v>
      </c>
      <c r="H767" s="4">
        <v>56</v>
      </c>
      <c r="I767" s="4">
        <f>AVERAGE(Student­­Performance[[#This Row],[Math Score]],Student­­Performance[[#This Row],[Reading Score]],Student­­Performance[[#This Row],[Writing Score]])</f>
        <v>55.666666666666664</v>
      </c>
      <c r="J767" s="10" t="str">
        <f>IF(Student­­Performance[[#This Row],[Average Score]]&gt;=50,"Pass","Fail")</f>
        <v>Pass</v>
      </c>
      <c r="K76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76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76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767" s="4">
        <f>IF(ISNUMBER(Student­­Performance[[#This Row],[Math Score]]),Student­­Performance[[#This Row],[Math Score]],0)</f>
        <v>57</v>
      </c>
      <c r="O767" s="4">
        <f>IF(ISNUMBER(Student­­Performance[[#This Row],[Reading Score]]),Student­­Performance[[#This Row],[Reading Score]],0)</f>
        <v>54</v>
      </c>
      <c r="P767" s="4">
        <f>IF(ISNUMBER(Student­­Performance[[#This Row],[Writing Score]]),Student­­Performance[[#This Row],[Writing Score]],0)</f>
        <v>56</v>
      </c>
      <c r="Q767" s="4" t="str">
        <f>IF(Student­­Performance[[#This Row],[Math Score]]&gt;=50,"Pass","Fail")</f>
        <v>Pass</v>
      </c>
      <c r="R767" s="4" t="str">
        <f>IF(Student­­Performance[[#This Row],[Reading Score]]&gt;=50,"Pass","Fail")</f>
        <v>Pass</v>
      </c>
      <c r="S767" s="4" t="str">
        <f>IF(Student­­Performance[[#This Row],[Writing Score]]&gt;=50,"Pass","Fail")</f>
        <v>Pass</v>
      </c>
      <c r="T76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167</v>
      </c>
      <c r="U767" s="4" cm="1">
        <f t="array" ref="U767">IF(COUNT(F767:H767)=0,"", MAX(IF(ISNUMBER(F767:H767),F767:H767)) - MIN(IF(ISNUMBER(F767:H767),F767:H767)))</f>
        <v>3</v>
      </c>
      <c r="V767" s="4" t="str">
        <f>IF(U767="","",IF(U767&gt;25,"Outlier","Normal"))</f>
        <v>Normal</v>
      </c>
    </row>
    <row r="768" spans="1:22" x14ac:dyDescent="0.3">
      <c r="A768" s="1" t="s">
        <v>17</v>
      </c>
      <c r="B768" s="1" t="s">
        <v>26</v>
      </c>
      <c r="C768" s="1" t="s">
        <v>87</v>
      </c>
      <c r="D768" s="1" t="s">
        <v>20</v>
      </c>
      <c r="E768" s="1" t="s">
        <v>15</v>
      </c>
      <c r="F768" s="4">
        <v>57</v>
      </c>
      <c r="G768" s="4">
        <v>56</v>
      </c>
      <c r="H768" s="4">
        <v>54</v>
      </c>
      <c r="I768" s="4">
        <f>AVERAGE(Student­­Performance[[#This Row],[Math Score]],Student­­Performance[[#This Row],[Reading Score]],Student­­Performance[[#This Row],[Writing Score]])</f>
        <v>55.666666666666664</v>
      </c>
      <c r="J768" s="10" t="str">
        <f>IF(Student­­Performance[[#This Row],[Average Score]]&gt;=50,"Pass","Fail")</f>
        <v>Pass</v>
      </c>
      <c r="K76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76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76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768" s="4">
        <f>IF(ISNUMBER(Student­­Performance[[#This Row],[Math Score]]),Student­­Performance[[#This Row],[Math Score]],0)</f>
        <v>57</v>
      </c>
      <c r="O768" s="4">
        <f>IF(ISNUMBER(Student­­Performance[[#This Row],[Reading Score]]),Student­­Performance[[#This Row],[Reading Score]],0)</f>
        <v>56</v>
      </c>
      <c r="P768" s="4">
        <f>IF(ISNUMBER(Student­­Performance[[#This Row],[Writing Score]]),Student­­Performance[[#This Row],[Writing Score]],0)</f>
        <v>54</v>
      </c>
      <c r="Q768" s="4" t="str">
        <f>IF(Student­­Performance[[#This Row],[Math Score]]&gt;=50,"Pass","Fail")</f>
        <v>Pass</v>
      </c>
      <c r="R768" s="4" t="str">
        <f>IF(Student­­Performance[[#This Row],[Reading Score]]&gt;=50,"Pass","Fail")</f>
        <v>Pass</v>
      </c>
      <c r="S768" s="4" t="str">
        <f>IF(Student­­Performance[[#This Row],[Writing Score]]&gt;=50,"Pass","Fail")</f>
        <v>Pass</v>
      </c>
      <c r="T76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167</v>
      </c>
      <c r="U768" s="4" cm="1">
        <f t="array" ref="U768">IF(COUNT(F768:H768)=0,"", MAX(IF(ISNUMBER(F768:H768),F768:H768)) - MIN(IF(ISNUMBER(F768:H768),F768:H768)))</f>
        <v>3</v>
      </c>
      <c r="V768" s="4" t="str">
        <f>IF(U768="","",IF(U768&gt;25,"Outlier","Normal"))</f>
        <v>Normal</v>
      </c>
    </row>
    <row r="769" spans="1:22" x14ac:dyDescent="0.3">
      <c r="A769" s="1" t="s">
        <v>8</v>
      </c>
      <c r="B769" s="1" t="s">
        <v>21</v>
      </c>
      <c r="C769" s="1" t="s">
        <v>86</v>
      </c>
      <c r="D769" s="1" t="s">
        <v>20</v>
      </c>
      <c r="E769" s="1" t="s">
        <v>12</v>
      </c>
      <c r="F769" s="4">
        <v>52</v>
      </c>
      <c r="G769" s="4">
        <v>59</v>
      </c>
      <c r="H769" s="4">
        <v>56</v>
      </c>
      <c r="I769" s="4">
        <f>AVERAGE(Student­­Performance[[#This Row],[Math Score]],Student­­Performance[[#This Row],[Reading Score]],Student­­Performance[[#This Row],[Writing Score]])</f>
        <v>55.666666666666664</v>
      </c>
      <c r="J769" s="10" t="str">
        <f>IF(Student­­Performance[[#This Row],[Average Score]]&gt;=50,"Pass","Fail")</f>
        <v>Pass</v>
      </c>
      <c r="K76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76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76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769" s="4">
        <f>IF(ISNUMBER(Student­­Performance[[#This Row],[Math Score]]),Student­­Performance[[#This Row],[Math Score]],0)</f>
        <v>52</v>
      </c>
      <c r="O769" s="4">
        <f>IF(ISNUMBER(Student­­Performance[[#This Row],[Reading Score]]),Student­­Performance[[#This Row],[Reading Score]],0)</f>
        <v>59</v>
      </c>
      <c r="P769" s="4">
        <f>IF(ISNUMBER(Student­­Performance[[#This Row],[Writing Score]]),Student­­Performance[[#This Row],[Writing Score]],0)</f>
        <v>56</v>
      </c>
      <c r="Q769" s="4" t="str">
        <f>IF(Student­­Performance[[#This Row],[Math Score]]&gt;=50,"Pass","Fail")</f>
        <v>Pass</v>
      </c>
      <c r="R769" s="4" t="str">
        <f>IF(Student­­Performance[[#This Row],[Reading Score]]&gt;=50,"Pass","Fail")</f>
        <v>Pass</v>
      </c>
      <c r="S769" s="4" t="str">
        <f>IF(Student­­Performance[[#This Row],[Writing Score]]&gt;=50,"Pass","Fail")</f>
        <v>Pass</v>
      </c>
      <c r="T76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167</v>
      </c>
      <c r="U769" s="4" cm="1">
        <f t="array" ref="U769">IF(COUNT(F769:H769)=0,"", MAX(IF(ISNUMBER(F769:H769),F769:H769)) - MIN(IF(ISNUMBER(F769:H769),F769:H769)))</f>
        <v>7</v>
      </c>
      <c r="V769" s="4" t="str">
        <f>IF(U769="","",IF(U769&gt;25,"Outlier","Normal"))</f>
        <v>Normal</v>
      </c>
    </row>
    <row r="770" spans="1:22" x14ac:dyDescent="0.3">
      <c r="A770" s="1" t="s">
        <v>8</v>
      </c>
      <c r="B770" s="1" t="s">
        <v>21</v>
      </c>
      <c r="C770" s="1" t="s">
        <v>84</v>
      </c>
      <c r="D770" s="1" t="s">
        <v>20</v>
      </c>
      <c r="E770" s="1" t="s">
        <v>12</v>
      </c>
      <c r="F770" s="4">
        <v>49</v>
      </c>
      <c r="G770" s="4">
        <v>58</v>
      </c>
      <c r="H770" s="4">
        <v>60</v>
      </c>
      <c r="I770" s="4">
        <f>AVERAGE(Student­­Performance[[#This Row],[Math Score]],Student­­Performance[[#This Row],[Reading Score]],Student­­Performance[[#This Row],[Writing Score]])</f>
        <v>55.666666666666664</v>
      </c>
      <c r="J770" s="10" t="str">
        <f>IF(Student­­Performance[[#This Row],[Average Score]]&gt;=50,"Pass","Fail")</f>
        <v>Pass</v>
      </c>
      <c r="K77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77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77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770" s="4">
        <f>IF(ISNUMBER(Student­­Performance[[#This Row],[Math Score]]),Student­­Performance[[#This Row],[Math Score]],0)</f>
        <v>49</v>
      </c>
      <c r="O770" s="4">
        <f>IF(ISNUMBER(Student­­Performance[[#This Row],[Reading Score]]),Student­­Performance[[#This Row],[Reading Score]],0)</f>
        <v>58</v>
      </c>
      <c r="P770" s="4">
        <f>IF(ISNUMBER(Student­­Performance[[#This Row],[Writing Score]]),Student­­Performance[[#This Row],[Writing Score]],0)</f>
        <v>60</v>
      </c>
      <c r="Q770" s="4" t="str">
        <f>IF(Student­­Performance[[#This Row],[Math Score]]&gt;=50,"Pass","Fail")</f>
        <v>Fail</v>
      </c>
      <c r="R770" s="4" t="str">
        <f>IF(Student­­Performance[[#This Row],[Reading Score]]&gt;=50,"Pass","Fail")</f>
        <v>Pass</v>
      </c>
      <c r="S770" s="4" t="str">
        <f>IF(Student­­Performance[[#This Row],[Writing Score]]&gt;=50,"Pass","Fail")</f>
        <v>Pass</v>
      </c>
      <c r="T77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167</v>
      </c>
      <c r="U770" s="4" cm="1">
        <f t="array" ref="U770">IF(COUNT(F770:H770)=0,"", MAX(IF(ISNUMBER(F770:H770),F770:H770)) - MIN(IF(ISNUMBER(F770:H770),F770:H770)))</f>
        <v>11</v>
      </c>
      <c r="V770" s="4" t="str">
        <f>IF(U770="","",IF(U770&gt;25,"Outlier","Normal"))</f>
        <v>Normal</v>
      </c>
    </row>
    <row r="771" spans="1:22" x14ac:dyDescent="0.3">
      <c r="A771" s="1" t="s">
        <v>8</v>
      </c>
      <c r="B771" s="1" t="s">
        <v>21</v>
      </c>
      <c r="C771" s="1" t="s">
        <v>87</v>
      </c>
      <c r="D771" s="1" t="s">
        <v>11</v>
      </c>
      <c r="E771" s="1" t="s">
        <v>12</v>
      </c>
      <c r="F771" s="4">
        <v>45</v>
      </c>
      <c r="G771" s="4">
        <v>63</v>
      </c>
      <c r="H771" s="4">
        <v>59</v>
      </c>
      <c r="I771" s="4">
        <f>AVERAGE(Student­­Performance[[#This Row],[Math Score]],Student­­Performance[[#This Row],[Reading Score]],Student­­Performance[[#This Row],[Writing Score]])</f>
        <v>55.666666666666664</v>
      </c>
      <c r="J771" s="10" t="str">
        <f>IF(Student­­Performance[[#This Row],[Average Score]]&gt;=50,"Pass","Fail")</f>
        <v>Pass</v>
      </c>
      <c r="K77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18</v>
      </c>
      <c r="L77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77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14</v>
      </c>
      <c r="N771" s="4">
        <f>IF(ISNUMBER(Student­­Performance[[#This Row],[Math Score]]),Student­­Performance[[#This Row],[Math Score]],0)</f>
        <v>45</v>
      </c>
      <c r="O771" s="4">
        <f>IF(ISNUMBER(Student­­Performance[[#This Row],[Reading Score]]),Student­­Performance[[#This Row],[Reading Score]],0)</f>
        <v>63</v>
      </c>
      <c r="P771" s="4">
        <f>IF(ISNUMBER(Student­­Performance[[#This Row],[Writing Score]]),Student­­Performance[[#This Row],[Writing Score]],0)</f>
        <v>59</v>
      </c>
      <c r="Q771" s="4" t="str">
        <f>IF(Student­­Performance[[#This Row],[Math Score]]&gt;=50,"Pass","Fail")</f>
        <v>Fail</v>
      </c>
      <c r="R771" s="4" t="str">
        <f>IF(Student­­Performance[[#This Row],[Reading Score]]&gt;=50,"Pass","Fail")</f>
        <v>Pass</v>
      </c>
      <c r="S771" s="4" t="str">
        <f>IF(Student­­Performance[[#This Row],[Writing Score]]&gt;=50,"Pass","Fail")</f>
        <v>Pass</v>
      </c>
      <c r="T77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167</v>
      </c>
      <c r="U771" s="4" cm="1">
        <f t="array" ref="U771">IF(COUNT(F771:H771)=0,"", MAX(IF(ISNUMBER(F771:H771),F771:H771)) - MIN(IF(ISNUMBER(F771:H771),F771:H771)))</f>
        <v>18</v>
      </c>
      <c r="V771" s="4" t="str">
        <f>IF(U771="","",IF(U771&gt;25,"Outlier","Normal"))</f>
        <v>Normal</v>
      </c>
    </row>
    <row r="772" spans="1:22" x14ac:dyDescent="0.3">
      <c r="A772" s="1" t="s">
        <v>17</v>
      </c>
      <c r="B772" s="1" t="s">
        <v>13</v>
      </c>
      <c r="C772" s="1" t="s">
        <v>87</v>
      </c>
      <c r="D772" s="1" t="s">
        <v>11</v>
      </c>
      <c r="E772" s="1" t="s">
        <v>12</v>
      </c>
      <c r="F772" s="4">
        <v>62</v>
      </c>
      <c r="G772" s="4">
        <v>55</v>
      </c>
      <c r="H772" s="4">
        <v>49</v>
      </c>
      <c r="I772" s="4">
        <f>AVERAGE(Student­­Performance[[#This Row],[Math Score]],Student­­Performance[[#This Row],[Reading Score]],Student­­Performance[[#This Row],[Writing Score]])</f>
        <v>55.333333333333336</v>
      </c>
      <c r="J772" s="10" t="str">
        <f>IF(Student­­Performance[[#This Row],[Average Score]]&gt;=50,"Pass","Fail")</f>
        <v>Pass</v>
      </c>
      <c r="K77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-7</v>
      </c>
      <c r="L77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77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-13</v>
      </c>
      <c r="N772" s="4">
        <f>IF(ISNUMBER(Student­­Performance[[#This Row],[Math Score]]),Student­­Performance[[#This Row],[Math Score]],0)</f>
        <v>62</v>
      </c>
      <c r="O772" s="4">
        <f>IF(ISNUMBER(Student­­Performance[[#This Row],[Reading Score]]),Student­­Performance[[#This Row],[Reading Score]],0)</f>
        <v>55</v>
      </c>
      <c r="P772" s="4">
        <f>IF(ISNUMBER(Student­­Performance[[#This Row],[Writing Score]]),Student­­Performance[[#This Row],[Writing Score]],0)</f>
        <v>49</v>
      </c>
      <c r="Q772" s="4" t="str">
        <f>IF(Student­­Performance[[#This Row],[Math Score]]&gt;=50,"Pass","Fail")</f>
        <v>Pass</v>
      </c>
      <c r="R772" s="4" t="str">
        <f>IF(Student­­Performance[[#This Row],[Reading Score]]&gt;=50,"Pass","Fail")</f>
        <v>Pass</v>
      </c>
      <c r="S772" s="4" t="str">
        <f>IF(Student­­Performance[[#This Row],[Writing Score]]&gt;=50,"Pass","Fail")</f>
        <v>Fail</v>
      </c>
      <c r="T77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166</v>
      </c>
      <c r="U772" s="4" cm="1">
        <f t="array" ref="U772">IF(COUNT(F772:H772)=0,"", MAX(IF(ISNUMBER(F772:H772),F772:H772)) - MIN(IF(ISNUMBER(F772:H772),F772:H772)))</f>
        <v>13</v>
      </c>
      <c r="V772" s="4" t="str">
        <f>IF(U772="","",IF(U772&gt;25,"Outlier","Normal"))</f>
        <v>Normal</v>
      </c>
    </row>
    <row r="773" spans="1:22" x14ac:dyDescent="0.3">
      <c r="A773" s="1" t="s">
        <v>17</v>
      </c>
      <c r="B773" s="1" t="s">
        <v>13</v>
      </c>
      <c r="C773" s="1" t="s">
        <v>83</v>
      </c>
      <c r="D773" s="1" t="s">
        <v>20</v>
      </c>
      <c r="E773" s="1" t="s">
        <v>12</v>
      </c>
      <c r="F773" s="4">
        <v>53</v>
      </c>
      <c r="G773" s="4">
        <v>58</v>
      </c>
      <c r="H773" s="4">
        <v>55</v>
      </c>
      <c r="I773" s="4">
        <f>AVERAGE(Student­­Performance[[#This Row],[Math Score]],Student­­Performance[[#This Row],[Reading Score]],Student­­Performance[[#This Row],[Writing Score]])</f>
        <v>55.333333333333336</v>
      </c>
      <c r="J773" s="10" t="str">
        <f>IF(Student­­Performance[[#This Row],[Average Score]]&gt;=50,"Pass","Fail")</f>
        <v>Pass</v>
      </c>
      <c r="K77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77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77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773" s="4">
        <f>IF(ISNUMBER(Student­­Performance[[#This Row],[Math Score]]),Student­­Performance[[#This Row],[Math Score]],0)</f>
        <v>53</v>
      </c>
      <c r="O773" s="4">
        <f>IF(ISNUMBER(Student­­Performance[[#This Row],[Reading Score]]),Student­­Performance[[#This Row],[Reading Score]],0)</f>
        <v>58</v>
      </c>
      <c r="P773" s="4">
        <f>IF(ISNUMBER(Student­­Performance[[#This Row],[Writing Score]]),Student­­Performance[[#This Row],[Writing Score]],0)</f>
        <v>55</v>
      </c>
      <c r="Q773" s="4" t="str">
        <f>IF(Student­­Performance[[#This Row],[Math Score]]&gt;=50,"Pass","Fail")</f>
        <v>Pass</v>
      </c>
      <c r="R773" s="4" t="str">
        <f>IF(Student­­Performance[[#This Row],[Reading Score]]&gt;=50,"Pass","Fail")</f>
        <v>Pass</v>
      </c>
      <c r="S773" s="4" t="str">
        <f>IF(Student­­Performance[[#This Row],[Writing Score]]&gt;=50,"Pass","Fail")</f>
        <v>Pass</v>
      </c>
      <c r="T77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166</v>
      </c>
      <c r="U773" s="4" cm="1">
        <f t="array" ref="U773">IF(COUNT(F773:H773)=0,"", MAX(IF(ISNUMBER(F773:H773),F773:H773)) - MIN(IF(ISNUMBER(F773:H773),F773:H773)))</f>
        <v>5</v>
      </c>
      <c r="V773" s="4" t="str">
        <f>IF(U773="","",IF(U773&gt;25,"Outlier","Normal"))</f>
        <v>Normal</v>
      </c>
    </row>
    <row r="774" spans="1:22" x14ac:dyDescent="0.3">
      <c r="A774" s="1" t="s">
        <v>17</v>
      </c>
      <c r="B774" s="1" t="s">
        <v>13</v>
      </c>
      <c r="C774" s="1" t="s">
        <v>86</v>
      </c>
      <c r="D774" s="1" t="s">
        <v>20</v>
      </c>
      <c r="E774" s="1" t="s">
        <v>12</v>
      </c>
      <c r="F774" s="4">
        <v>58</v>
      </c>
      <c r="G774" s="4">
        <v>55</v>
      </c>
      <c r="H774" s="4">
        <v>53</v>
      </c>
      <c r="I774" s="4">
        <f>AVERAGE(Student­­Performance[[#This Row],[Math Score]],Student­­Performance[[#This Row],[Reading Score]],Student­­Performance[[#This Row],[Writing Score]])</f>
        <v>55.333333333333336</v>
      </c>
      <c r="J774" s="10" t="str">
        <f>IF(Student­­Performance[[#This Row],[Average Score]]&gt;=50,"Pass","Fail")</f>
        <v>Pass</v>
      </c>
      <c r="K77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77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77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-5</v>
      </c>
      <c r="N774" s="4">
        <f>IF(ISNUMBER(Student­­Performance[[#This Row],[Math Score]]),Student­­Performance[[#This Row],[Math Score]],0)</f>
        <v>58</v>
      </c>
      <c r="O774" s="4">
        <f>IF(ISNUMBER(Student­­Performance[[#This Row],[Reading Score]]),Student­­Performance[[#This Row],[Reading Score]],0)</f>
        <v>55</v>
      </c>
      <c r="P774" s="4">
        <f>IF(ISNUMBER(Student­­Performance[[#This Row],[Writing Score]]),Student­­Performance[[#This Row],[Writing Score]],0)</f>
        <v>53</v>
      </c>
      <c r="Q774" s="4" t="str">
        <f>IF(Student­­Performance[[#This Row],[Math Score]]&gt;=50,"Pass","Fail")</f>
        <v>Pass</v>
      </c>
      <c r="R774" s="4" t="str">
        <f>IF(Student­­Performance[[#This Row],[Reading Score]]&gt;=50,"Pass","Fail")</f>
        <v>Pass</v>
      </c>
      <c r="S774" s="4" t="str">
        <f>IF(Student­­Performance[[#This Row],[Writing Score]]&gt;=50,"Pass","Fail")</f>
        <v>Pass</v>
      </c>
      <c r="T77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166</v>
      </c>
      <c r="U774" s="4" cm="1">
        <f t="array" ref="U774">IF(COUNT(F774:H774)=0,"", MAX(IF(ISNUMBER(F774:H774),F774:H774)) - MIN(IF(ISNUMBER(F774:H774),F774:H774)))</f>
        <v>5</v>
      </c>
      <c r="V774" s="4" t="str">
        <f>IF(U774="","",IF(U774&gt;25,"Outlier","Normal"))</f>
        <v>Normal</v>
      </c>
    </row>
    <row r="775" spans="1:22" x14ac:dyDescent="0.3">
      <c r="A775" s="1" t="s">
        <v>8</v>
      </c>
      <c r="B775" s="1" t="s">
        <v>13</v>
      </c>
      <c r="C775" s="1" t="s">
        <v>83</v>
      </c>
      <c r="D775" s="1" t="s">
        <v>20</v>
      </c>
      <c r="E775" s="1" t="s">
        <v>12</v>
      </c>
      <c r="F775" s="4">
        <v>43</v>
      </c>
      <c r="G775" s="4">
        <v>62</v>
      </c>
      <c r="H775" s="4">
        <v>61</v>
      </c>
      <c r="I775" s="4">
        <f>AVERAGE(Student­­Performance[[#This Row],[Math Score]],Student­­Performance[[#This Row],[Reading Score]],Student­­Performance[[#This Row],[Writing Score]])</f>
        <v>55.333333333333336</v>
      </c>
      <c r="J775" s="10" t="str">
        <f>IF(Student­­Performance[[#This Row],[Average Score]]&gt;=50,"Pass","Fail")</f>
        <v>Pass</v>
      </c>
      <c r="K77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19</v>
      </c>
      <c r="L77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77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18</v>
      </c>
      <c r="N775" s="4">
        <f>IF(ISNUMBER(Student­­Performance[[#This Row],[Math Score]]),Student­­Performance[[#This Row],[Math Score]],0)</f>
        <v>43</v>
      </c>
      <c r="O775" s="4">
        <f>IF(ISNUMBER(Student­­Performance[[#This Row],[Reading Score]]),Student­­Performance[[#This Row],[Reading Score]],0)</f>
        <v>62</v>
      </c>
      <c r="P775" s="4">
        <f>IF(ISNUMBER(Student­­Performance[[#This Row],[Writing Score]]),Student­­Performance[[#This Row],[Writing Score]],0)</f>
        <v>61</v>
      </c>
      <c r="Q775" s="4" t="str">
        <f>IF(Student­­Performance[[#This Row],[Math Score]]&gt;=50,"Pass","Fail")</f>
        <v>Fail</v>
      </c>
      <c r="R775" s="4" t="str">
        <f>IF(Student­­Performance[[#This Row],[Reading Score]]&gt;=50,"Pass","Fail")</f>
        <v>Pass</v>
      </c>
      <c r="S775" s="4" t="str">
        <f>IF(Student­­Performance[[#This Row],[Writing Score]]&gt;=50,"Pass","Fail")</f>
        <v>Pass</v>
      </c>
      <c r="T77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166</v>
      </c>
      <c r="U775" s="4" cm="1">
        <f t="array" ref="U775">IF(COUNT(F775:H775)=0,"", MAX(IF(ISNUMBER(F775:H775),F775:H775)) - MIN(IF(ISNUMBER(F775:H775),F775:H775)))</f>
        <v>19</v>
      </c>
      <c r="V775" s="4" t="str">
        <f>IF(U775="","",IF(U775&gt;25,"Outlier","Normal"))</f>
        <v>Normal</v>
      </c>
    </row>
    <row r="776" spans="1:22" x14ac:dyDescent="0.3">
      <c r="A776" s="1" t="s">
        <v>8</v>
      </c>
      <c r="B776" s="1" t="s">
        <v>21</v>
      </c>
      <c r="C776" s="1" t="s">
        <v>87</v>
      </c>
      <c r="D776" s="1" t="s">
        <v>20</v>
      </c>
      <c r="E776" s="1" t="s">
        <v>15</v>
      </c>
      <c r="F776" s="4">
        <v>52</v>
      </c>
      <c r="G776" s="4">
        <v>57</v>
      </c>
      <c r="H776" s="4">
        <v>56</v>
      </c>
      <c r="I776" s="4">
        <f>AVERAGE(Student­­Performance[[#This Row],[Math Score]],Student­­Performance[[#This Row],[Reading Score]],Student­­Performance[[#This Row],[Writing Score]])</f>
        <v>55</v>
      </c>
      <c r="J776" s="10" t="str">
        <f>IF(Student­­Performance[[#This Row],[Average Score]]&gt;=50,"Pass","Fail")</f>
        <v>Pass</v>
      </c>
      <c r="K77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77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77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776" s="4">
        <f>IF(ISNUMBER(Student­­Performance[[#This Row],[Math Score]]),Student­­Performance[[#This Row],[Math Score]],0)</f>
        <v>52</v>
      </c>
      <c r="O776" s="4">
        <f>IF(ISNUMBER(Student­­Performance[[#This Row],[Reading Score]]),Student­­Performance[[#This Row],[Reading Score]],0)</f>
        <v>57</v>
      </c>
      <c r="P776" s="4">
        <f>IF(ISNUMBER(Student­­Performance[[#This Row],[Writing Score]]),Student­­Performance[[#This Row],[Writing Score]],0)</f>
        <v>56</v>
      </c>
      <c r="Q776" s="4" t="str">
        <f>IF(Student­­Performance[[#This Row],[Math Score]]&gt;=50,"Pass","Fail")</f>
        <v>Pass</v>
      </c>
      <c r="R776" s="4" t="str">
        <f>IF(Student­­Performance[[#This Row],[Reading Score]]&gt;=50,"Pass","Fail")</f>
        <v>Pass</v>
      </c>
      <c r="S776" s="4" t="str">
        <f>IF(Student­­Performance[[#This Row],[Writing Score]]&gt;=50,"Pass","Fail")</f>
        <v>Pass</v>
      </c>
      <c r="T77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165</v>
      </c>
      <c r="U776" s="4" cm="1">
        <f t="array" ref="U776">IF(COUNT(F776:H776)=0,"", MAX(IF(ISNUMBER(F776:H776),F776:H776)) - MIN(IF(ISNUMBER(F776:H776),F776:H776)))</f>
        <v>5</v>
      </c>
      <c r="V776" s="4" t="str">
        <f>IF(U776="","",IF(U776&gt;25,"Outlier","Normal"))</f>
        <v>Normal</v>
      </c>
    </row>
    <row r="777" spans="1:22" x14ac:dyDescent="0.3">
      <c r="A777" s="1" t="s">
        <v>8</v>
      </c>
      <c r="B777" s="1" t="s">
        <v>26</v>
      </c>
      <c r="C777" s="1" t="s">
        <v>88</v>
      </c>
      <c r="D777" s="1" t="s">
        <v>11</v>
      </c>
      <c r="E777" s="1" t="s">
        <v>15</v>
      </c>
      <c r="F777" s="4">
        <v>80</v>
      </c>
      <c r="G777" s="4">
        <v>85</v>
      </c>
      <c r="H777" s="4" t="s">
        <v>90</v>
      </c>
      <c r="I777" s="4">
        <f>AVERAGE(Student­­Performance[[#This Row],[Math Score]],Student­­Performance[[#This Row],[Reading Score]],Student­­Performance[[#This Row],[Writing Score]])</f>
        <v>82.5</v>
      </c>
      <c r="J777" s="10" t="str">
        <f>IF(Student­­Performance[[#This Row],[Average Score]]&gt;=50,"Pass","Fail")</f>
        <v>Pass</v>
      </c>
      <c r="K77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777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777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777" s="4">
        <f>IF(ISNUMBER(Student­­Performance[[#This Row],[Math Score]]),Student­­Performance[[#This Row],[Math Score]],0)</f>
        <v>80</v>
      </c>
      <c r="O777" s="4">
        <f>IF(ISNUMBER(Student­­Performance[[#This Row],[Reading Score]]),Student­­Performance[[#This Row],[Reading Score]],0)</f>
        <v>85</v>
      </c>
      <c r="P777" s="4">
        <f>IF(ISNUMBER(Student­­Performance[[#This Row],[Writing Score]]),Student­­Performance[[#This Row],[Writing Score]],0)</f>
        <v>0</v>
      </c>
      <c r="Q777" s="4" t="str">
        <f>IF(Student­­Performance[[#This Row],[Math Score]]&gt;=50,"Pass","Fail")</f>
        <v>Pass</v>
      </c>
      <c r="R777" s="4" t="str">
        <f>IF(Student­­Performance[[#This Row],[Reading Score]]&gt;=50,"Pass","Fail")</f>
        <v>Pass</v>
      </c>
      <c r="S777" s="4" t="str">
        <f>IF(Student­­Performance[[#This Row],[Writing Score]]&gt;=50,"Pass","Fail")</f>
        <v>Pass</v>
      </c>
      <c r="T77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165</v>
      </c>
      <c r="U777" s="4" cm="1">
        <f t="array" ref="U777">IF(COUNT(F777:H777)=0,"", MAX(IF(ISNUMBER(F777:H777),F777:H777)) - MIN(IF(ISNUMBER(F777:H777),F777:H777)))</f>
        <v>5</v>
      </c>
      <c r="V777" s="4" t="str">
        <f>IF(U777="","",IF(U777&gt;25,"Outlier","Normal"))</f>
        <v>Normal</v>
      </c>
    </row>
    <row r="778" spans="1:22" x14ac:dyDescent="0.3">
      <c r="A778" s="1" t="s">
        <v>17</v>
      </c>
      <c r="B778" s="1" t="s">
        <v>21</v>
      </c>
      <c r="C778" s="1" t="s">
        <v>84</v>
      </c>
      <c r="D778" s="1" t="s">
        <v>11</v>
      </c>
      <c r="E778" s="1" t="s">
        <v>12</v>
      </c>
      <c r="F778" s="4">
        <v>55</v>
      </c>
      <c r="G778" s="4">
        <v>58</v>
      </c>
      <c r="H778" s="4">
        <v>52</v>
      </c>
      <c r="I778" s="4">
        <f>AVERAGE(Student­­Performance[[#This Row],[Math Score]],Student­­Performance[[#This Row],[Reading Score]],Student­­Performance[[#This Row],[Writing Score]])</f>
        <v>55</v>
      </c>
      <c r="J778" s="10" t="str">
        <f>IF(Student­­Performance[[#This Row],[Average Score]]&gt;=50,"Pass","Fail")</f>
        <v>Pass</v>
      </c>
      <c r="K77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77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77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778" s="4">
        <f>IF(ISNUMBER(Student­­Performance[[#This Row],[Math Score]]),Student­­Performance[[#This Row],[Math Score]],0)</f>
        <v>55</v>
      </c>
      <c r="O778" s="4">
        <f>IF(ISNUMBER(Student­­Performance[[#This Row],[Reading Score]]),Student­­Performance[[#This Row],[Reading Score]],0)</f>
        <v>58</v>
      </c>
      <c r="P778" s="4">
        <f>IF(ISNUMBER(Student­­Performance[[#This Row],[Writing Score]]),Student­­Performance[[#This Row],[Writing Score]],0)</f>
        <v>52</v>
      </c>
      <c r="Q778" s="4" t="str">
        <f>IF(Student­­Performance[[#This Row],[Math Score]]&gt;=50,"Pass","Fail")</f>
        <v>Pass</v>
      </c>
      <c r="R778" s="4" t="str">
        <f>IF(Student­­Performance[[#This Row],[Reading Score]]&gt;=50,"Pass","Fail")</f>
        <v>Pass</v>
      </c>
      <c r="S778" s="4" t="str">
        <f>IF(Student­­Performance[[#This Row],[Writing Score]]&gt;=50,"Pass","Fail")</f>
        <v>Pass</v>
      </c>
      <c r="T77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165</v>
      </c>
      <c r="U778" s="4" cm="1">
        <f t="array" ref="U778">IF(COUNT(F778:H778)=0,"", MAX(IF(ISNUMBER(F778:H778),F778:H778)) - MIN(IF(ISNUMBER(F778:H778),F778:H778)))</f>
        <v>6</v>
      </c>
      <c r="V778" s="4" t="str">
        <f>IF(U778="","",IF(U778&gt;25,"Outlier","Normal"))</f>
        <v>Normal</v>
      </c>
    </row>
    <row r="779" spans="1:22" x14ac:dyDescent="0.3">
      <c r="A779" s="1" t="s">
        <v>17</v>
      </c>
      <c r="B779" s="1" t="s">
        <v>13</v>
      </c>
      <c r="C779" s="1" t="s">
        <v>86</v>
      </c>
      <c r="D779" s="1" t="s">
        <v>11</v>
      </c>
      <c r="E779" s="1" t="s">
        <v>12</v>
      </c>
      <c r="F779" s="4">
        <v>58</v>
      </c>
      <c r="G779" s="4">
        <v>54</v>
      </c>
      <c r="H779" s="4">
        <v>52</v>
      </c>
      <c r="I779" s="4">
        <f>AVERAGE(Student­­Performance[[#This Row],[Math Score]],Student­­Performance[[#This Row],[Reading Score]],Student­­Performance[[#This Row],[Writing Score]])</f>
        <v>54.666666666666664</v>
      </c>
      <c r="J779" s="10" t="str">
        <f>IF(Student­­Performance[[#This Row],[Average Score]]&gt;=50,"Pass","Fail")</f>
        <v>Pass</v>
      </c>
      <c r="K77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77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77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779" s="4">
        <f>IF(ISNUMBER(Student­­Performance[[#This Row],[Math Score]]),Student­­Performance[[#This Row],[Math Score]],0)</f>
        <v>58</v>
      </c>
      <c r="O779" s="4">
        <f>IF(ISNUMBER(Student­­Performance[[#This Row],[Reading Score]]),Student­­Performance[[#This Row],[Reading Score]],0)</f>
        <v>54</v>
      </c>
      <c r="P779" s="4">
        <f>IF(ISNUMBER(Student­­Performance[[#This Row],[Writing Score]]),Student­­Performance[[#This Row],[Writing Score]],0)</f>
        <v>52</v>
      </c>
      <c r="Q779" s="4" t="str">
        <f>IF(Student­­Performance[[#This Row],[Math Score]]&gt;=50,"Pass","Fail")</f>
        <v>Pass</v>
      </c>
      <c r="R779" s="4" t="str">
        <f>IF(Student­­Performance[[#This Row],[Reading Score]]&gt;=50,"Pass","Fail")</f>
        <v>Pass</v>
      </c>
      <c r="S779" s="4" t="str">
        <f>IF(Student­­Performance[[#This Row],[Writing Score]]&gt;=50,"Pass","Fail")</f>
        <v>Pass</v>
      </c>
      <c r="T77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164</v>
      </c>
      <c r="U779" s="4" cm="1">
        <f t="array" ref="U779">IF(COUNT(F779:H779)=0,"", MAX(IF(ISNUMBER(F779:H779),F779:H779)) - MIN(IF(ISNUMBER(F779:H779),F779:H779)))</f>
        <v>6</v>
      </c>
      <c r="V779" s="4" t="str">
        <f>IF(U779="","",IF(U779&gt;25,"Outlier","Normal"))</f>
        <v>Normal</v>
      </c>
    </row>
    <row r="780" spans="1:22" x14ac:dyDescent="0.3">
      <c r="A780" s="1" t="s">
        <v>8</v>
      </c>
      <c r="B780" s="1" t="s">
        <v>13</v>
      </c>
      <c r="C780" s="1" t="s">
        <v>87</v>
      </c>
      <c r="D780" s="1" t="s">
        <v>20</v>
      </c>
      <c r="E780" s="1" t="s">
        <v>12</v>
      </c>
      <c r="F780" s="4">
        <v>42</v>
      </c>
      <c r="G780" s="4">
        <v>62</v>
      </c>
      <c r="H780" s="4">
        <v>60</v>
      </c>
      <c r="I780" s="4">
        <f>AVERAGE(Student­­Performance[[#This Row],[Math Score]],Student­­Performance[[#This Row],[Reading Score]],Student­­Performance[[#This Row],[Writing Score]])</f>
        <v>54.666666666666664</v>
      </c>
      <c r="J780" s="10" t="str">
        <f>IF(Student­­Performance[[#This Row],[Average Score]]&gt;=50,"Pass","Fail")</f>
        <v>Pass</v>
      </c>
      <c r="K78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20</v>
      </c>
      <c r="L78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78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18</v>
      </c>
      <c r="N780" s="4">
        <f>IF(ISNUMBER(Student­­Performance[[#This Row],[Math Score]]),Student­­Performance[[#This Row],[Math Score]],0)</f>
        <v>42</v>
      </c>
      <c r="O780" s="4">
        <f>IF(ISNUMBER(Student­­Performance[[#This Row],[Reading Score]]),Student­­Performance[[#This Row],[Reading Score]],0)</f>
        <v>62</v>
      </c>
      <c r="P780" s="4">
        <f>IF(ISNUMBER(Student­­Performance[[#This Row],[Writing Score]]),Student­­Performance[[#This Row],[Writing Score]],0)</f>
        <v>60</v>
      </c>
      <c r="Q780" s="4" t="str">
        <f>IF(Student­­Performance[[#This Row],[Math Score]]&gt;=50,"Pass","Fail")</f>
        <v>Fail</v>
      </c>
      <c r="R780" s="4" t="str">
        <f>IF(Student­­Performance[[#This Row],[Reading Score]]&gt;=50,"Pass","Fail")</f>
        <v>Pass</v>
      </c>
      <c r="S780" s="4" t="str">
        <f>IF(Student­­Performance[[#This Row],[Writing Score]]&gt;=50,"Pass","Fail")</f>
        <v>Pass</v>
      </c>
      <c r="T78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164</v>
      </c>
      <c r="U780" s="4" cm="1">
        <f t="array" ref="U780">IF(COUNT(F780:H780)=0,"", MAX(IF(ISNUMBER(F780:H780),F780:H780)) - MIN(IF(ISNUMBER(F780:H780),F780:H780)))</f>
        <v>20</v>
      </c>
      <c r="V780" s="4" t="str">
        <f>IF(U780="","",IF(U780&gt;25,"Outlier","Normal"))</f>
        <v>Normal</v>
      </c>
    </row>
    <row r="781" spans="1:22" x14ac:dyDescent="0.3">
      <c r="A781" s="1" t="s">
        <v>17</v>
      </c>
      <c r="B781" s="1" t="s">
        <v>21</v>
      </c>
      <c r="C781" s="1" t="s">
        <v>84</v>
      </c>
      <c r="D781" s="1" t="s">
        <v>20</v>
      </c>
      <c r="E781" s="1" t="s">
        <v>12</v>
      </c>
      <c r="F781" s="4">
        <v>61</v>
      </c>
      <c r="G781" s="4">
        <v>47</v>
      </c>
      <c r="H781" s="4">
        <v>56</v>
      </c>
      <c r="I781" s="4">
        <f>AVERAGE(Student­­Performance[[#This Row],[Math Score]],Student­­Performance[[#This Row],[Reading Score]],Student­­Performance[[#This Row],[Writing Score]])</f>
        <v>54.666666666666664</v>
      </c>
      <c r="J781" s="10" t="str">
        <f>IF(Student­­Performance[[#This Row],[Average Score]]&gt;=50,"Pass","Fail")</f>
        <v>Pass</v>
      </c>
      <c r="K78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-14</v>
      </c>
      <c r="L78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9</v>
      </c>
      <c r="M78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-5</v>
      </c>
      <c r="N781" s="4">
        <f>IF(ISNUMBER(Student­­Performance[[#This Row],[Math Score]]),Student­­Performance[[#This Row],[Math Score]],0)</f>
        <v>61</v>
      </c>
      <c r="O781" s="4">
        <f>IF(ISNUMBER(Student­­Performance[[#This Row],[Reading Score]]),Student­­Performance[[#This Row],[Reading Score]],0)</f>
        <v>47</v>
      </c>
      <c r="P781" s="4">
        <f>IF(ISNUMBER(Student­­Performance[[#This Row],[Writing Score]]),Student­­Performance[[#This Row],[Writing Score]],0)</f>
        <v>56</v>
      </c>
      <c r="Q781" s="4" t="str">
        <f>IF(Student­­Performance[[#This Row],[Math Score]]&gt;=50,"Pass","Fail")</f>
        <v>Pass</v>
      </c>
      <c r="R781" s="4" t="str">
        <f>IF(Student­­Performance[[#This Row],[Reading Score]]&gt;=50,"Pass","Fail")</f>
        <v>Fail</v>
      </c>
      <c r="S781" s="4" t="str">
        <f>IF(Student­­Performance[[#This Row],[Writing Score]]&gt;=50,"Pass","Fail")</f>
        <v>Pass</v>
      </c>
      <c r="T78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164</v>
      </c>
      <c r="U781" s="4" cm="1">
        <f t="array" ref="U781">IF(COUNT(F781:H781)=0,"", MAX(IF(ISNUMBER(F781:H781),F781:H781)) - MIN(IF(ISNUMBER(F781:H781),F781:H781)))</f>
        <v>14</v>
      </c>
      <c r="V781" s="4" t="str">
        <f>IF(U781="","",IF(U781&gt;25,"Outlier","Normal"))</f>
        <v>Normal</v>
      </c>
    </row>
    <row r="782" spans="1:22" x14ac:dyDescent="0.3">
      <c r="A782" s="1" t="s">
        <v>17</v>
      </c>
      <c r="B782" s="1" t="s">
        <v>18</v>
      </c>
      <c r="C782" s="1" t="s">
        <v>84</v>
      </c>
      <c r="D782" s="1" t="s">
        <v>11</v>
      </c>
      <c r="E782" s="1" t="s">
        <v>15</v>
      </c>
      <c r="F782" s="4">
        <v>61</v>
      </c>
      <c r="G782" s="4">
        <v>51</v>
      </c>
      <c r="H782" s="4">
        <v>52</v>
      </c>
      <c r="I782" s="4">
        <f>AVERAGE(Student­­Performance[[#This Row],[Math Score]],Student­­Performance[[#This Row],[Reading Score]],Student­­Performance[[#This Row],[Writing Score]])</f>
        <v>54.666666666666664</v>
      </c>
      <c r="J782" s="10" t="str">
        <f>IF(Student­­Performance[[#This Row],[Average Score]]&gt;=50,"Pass","Fail")</f>
        <v>Pass</v>
      </c>
      <c r="K78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-10</v>
      </c>
      <c r="L78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78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-9</v>
      </c>
      <c r="N782" s="4">
        <f>IF(ISNUMBER(Student­­Performance[[#This Row],[Math Score]]),Student­­Performance[[#This Row],[Math Score]],0)</f>
        <v>61</v>
      </c>
      <c r="O782" s="4">
        <f>IF(ISNUMBER(Student­­Performance[[#This Row],[Reading Score]]),Student­­Performance[[#This Row],[Reading Score]],0)</f>
        <v>51</v>
      </c>
      <c r="P782" s="4">
        <f>IF(ISNUMBER(Student­­Performance[[#This Row],[Writing Score]]),Student­­Performance[[#This Row],[Writing Score]],0)</f>
        <v>52</v>
      </c>
      <c r="Q782" s="4" t="str">
        <f>IF(Student­­Performance[[#This Row],[Math Score]]&gt;=50,"Pass","Fail")</f>
        <v>Pass</v>
      </c>
      <c r="R782" s="4" t="str">
        <f>IF(Student­­Performance[[#This Row],[Reading Score]]&gt;=50,"Pass","Fail")</f>
        <v>Pass</v>
      </c>
      <c r="S782" s="4" t="str">
        <f>IF(Student­­Performance[[#This Row],[Writing Score]]&gt;=50,"Pass","Fail")</f>
        <v>Pass</v>
      </c>
      <c r="T78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164</v>
      </c>
      <c r="U782" s="4" cm="1">
        <f t="array" ref="U782">IF(COUNT(F782:H782)=0,"", MAX(IF(ISNUMBER(F782:H782),F782:H782)) - MIN(IF(ISNUMBER(F782:H782),F782:H782)))</f>
        <v>10</v>
      </c>
      <c r="V782" s="4" t="str">
        <f>IF(U782="","",IF(U782&gt;25,"Outlier","Normal"))</f>
        <v>Normal</v>
      </c>
    </row>
    <row r="783" spans="1:22" x14ac:dyDescent="0.3">
      <c r="A783" s="1" t="s">
        <v>8</v>
      </c>
      <c r="B783" s="1" t="s">
        <v>13</v>
      </c>
      <c r="C783" s="1" t="s">
        <v>86</v>
      </c>
      <c r="D783" s="1" t="s">
        <v>11</v>
      </c>
      <c r="E783" s="1" t="s">
        <v>12</v>
      </c>
      <c r="F783" s="4">
        <v>52</v>
      </c>
      <c r="G783" s="4">
        <v>55</v>
      </c>
      <c r="H783" s="4">
        <v>57</v>
      </c>
      <c r="I783" s="4">
        <f>AVERAGE(Student­­Performance[[#This Row],[Math Score]],Student­­Performance[[#This Row],[Reading Score]],Student­­Performance[[#This Row],[Writing Score]])</f>
        <v>54.666666666666664</v>
      </c>
      <c r="J783" s="10" t="str">
        <f>IF(Student­­Performance[[#This Row],[Average Score]]&gt;=50,"Pass","Fail")</f>
        <v>Pass</v>
      </c>
      <c r="K78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78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78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783" s="4">
        <f>IF(ISNUMBER(Student­­Performance[[#This Row],[Math Score]]),Student­­Performance[[#This Row],[Math Score]],0)</f>
        <v>52</v>
      </c>
      <c r="O783" s="4">
        <f>IF(ISNUMBER(Student­­Performance[[#This Row],[Reading Score]]),Student­­Performance[[#This Row],[Reading Score]],0)</f>
        <v>55</v>
      </c>
      <c r="P783" s="4">
        <f>IF(ISNUMBER(Student­­Performance[[#This Row],[Writing Score]]),Student­­Performance[[#This Row],[Writing Score]],0)</f>
        <v>57</v>
      </c>
      <c r="Q783" s="4" t="str">
        <f>IF(Student­­Performance[[#This Row],[Math Score]]&gt;=50,"Pass","Fail")</f>
        <v>Pass</v>
      </c>
      <c r="R783" s="4" t="str">
        <f>IF(Student­­Performance[[#This Row],[Reading Score]]&gt;=50,"Pass","Fail")</f>
        <v>Pass</v>
      </c>
      <c r="S783" s="4" t="str">
        <f>IF(Student­­Performance[[#This Row],[Writing Score]]&gt;=50,"Pass","Fail")</f>
        <v>Pass</v>
      </c>
      <c r="T78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164</v>
      </c>
      <c r="U783" s="4" cm="1">
        <f t="array" ref="U783">IF(COUNT(F783:H783)=0,"", MAX(IF(ISNUMBER(F783:H783),F783:H783)) - MIN(IF(ISNUMBER(F783:H783),F783:H783)))</f>
        <v>5</v>
      </c>
      <c r="V783" s="4" t="str">
        <f>IF(U783="","",IF(U783&gt;25,"Outlier","Normal"))</f>
        <v>Normal</v>
      </c>
    </row>
    <row r="784" spans="1:22" x14ac:dyDescent="0.3">
      <c r="A784" s="1" t="s">
        <v>17</v>
      </c>
      <c r="B784" s="1" t="s">
        <v>9</v>
      </c>
      <c r="C784" s="1" t="s">
        <v>83</v>
      </c>
      <c r="D784" s="1" t="s">
        <v>11</v>
      </c>
      <c r="E784" s="1" t="s">
        <v>12</v>
      </c>
      <c r="F784" s="4">
        <v>59</v>
      </c>
      <c r="G784" s="4">
        <v>54</v>
      </c>
      <c r="H784" s="4">
        <v>51</v>
      </c>
      <c r="I784" s="4">
        <f>AVERAGE(Student­­Performance[[#This Row],[Math Score]],Student­­Performance[[#This Row],[Reading Score]],Student­­Performance[[#This Row],[Writing Score]])</f>
        <v>54.666666666666664</v>
      </c>
      <c r="J784" s="10" t="str">
        <f>IF(Student­­Performance[[#This Row],[Average Score]]&gt;=50,"Pass","Fail")</f>
        <v>Pass</v>
      </c>
      <c r="K78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78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78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784" s="4">
        <f>IF(ISNUMBER(Student­­Performance[[#This Row],[Math Score]]),Student­­Performance[[#This Row],[Math Score]],0)</f>
        <v>59</v>
      </c>
      <c r="O784" s="4">
        <f>IF(ISNUMBER(Student­­Performance[[#This Row],[Reading Score]]),Student­­Performance[[#This Row],[Reading Score]],0)</f>
        <v>54</v>
      </c>
      <c r="P784" s="4">
        <f>IF(ISNUMBER(Student­­Performance[[#This Row],[Writing Score]]),Student­­Performance[[#This Row],[Writing Score]],0)</f>
        <v>51</v>
      </c>
      <c r="Q784" s="4" t="str">
        <f>IF(Student­­Performance[[#This Row],[Math Score]]&gt;=50,"Pass","Fail")</f>
        <v>Pass</v>
      </c>
      <c r="R784" s="4" t="str">
        <f>IF(Student­­Performance[[#This Row],[Reading Score]]&gt;=50,"Pass","Fail")</f>
        <v>Pass</v>
      </c>
      <c r="S784" s="4" t="str">
        <f>IF(Student­­Performance[[#This Row],[Writing Score]]&gt;=50,"Pass","Fail")</f>
        <v>Pass</v>
      </c>
      <c r="T78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164</v>
      </c>
      <c r="U784" s="4" cm="1">
        <f t="array" ref="U784">IF(COUNT(F784:H784)=0,"", MAX(IF(ISNUMBER(F784:H784),F784:H784)) - MIN(IF(ISNUMBER(F784:H784),F784:H784)))</f>
        <v>8</v>
      </c>
      <c r="V784" s="4" t="str">
        <f>IF(U784="","",IF(U784&gt;25,"Outlier","Normal"))</f>
        <v>Normal</v>
      </c>
    </row>
    <row r="785" spans="1:22" x14ac:dyDescent="0.3">
      <c r="A785" s="1" t="s">
        <v>17</v>
      </c>
      <c r="B785" s="1" t="s">
        <v>13</v>
      </c>
      <c r="C785" s="1" t="s">
        <v>87</v>
      </c>
      <c r="D785" s="1" t="s">
        <v>20</v>
      </c>
      <c r="E785" s="1" t="s">
        <v>12</v>
      </c>
      <c r="F785" s="4">
        <v>59</v>
      </c>
      <c r="G785" s="4">
        <v>53</v>
      </c>
      <c r="H785" s="4">
        <v>52</v>
      </c>
      <c r="I785" s="4">
        <f>AVERAGE(Student­­Performance[[#This Row],[Math Score]],Student­­Performance[[#This Row],[Reading Score]],Student­­Performance[[#This Row],[Writing Score]])</f>
        <v>54.666666666666664</v>
      </c>
      <c r="J785" s="10" t="str">
        <f>IF(Student­­Performance[[#This Row],[Average Score]]&gt;=50,"Pass","Fail")</f>
        <v>Pass</v>
      </c>
      <c r="K78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78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78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785" s="4">
        <f>IF(ISNUMBER(Student­­Performance[[#This Row],[Math Score]]),Student­­Performance[[#This Row],[Math Score]],0)</f>
        <v>59</v>
      </c>
      <c r="O785" s="4">
        <f>IF(ISNUMBER(Student­­Performance[[#This Row],[Reading Score]]),Student­­Performance[[#This Row],[Reading Score]],0)</f>
        <v>53</v>
      </c>
      <c r="P785" s="4">
        <f>IF(ISNUMBER(Student­­Performance[[#This Row],[Writing Score]]),Student­­Performance[[#This Row],[Writing Score]],0)</f>
        <v>52</v>
      </c>
      <c r="Q785" s="4" t="str">
        <f>IF(Student­­Performance[[#This Row],[Math Score]]&gt;=50,"Pass","Fail")</f>
        <v>Pass</v>
      </c>
      <c r="R785" s="4" t="str">
        <f>IF(Student­­Performance[[#This Row],[Reading Score]]&gt;=50,"Pass","Fail")</f>
        <v>Pass</v>
      </c>
      <c r="S785" s="4" t="str">
        <f>IF(Student­­Performance[[#This Row],[Writing Score]]&gt;=50,"Pass","Fail")</f>
        <v>Pass</v>
      </c>
      <c r="T78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164</v>
      </c>
      <c r="U785" s="4" cm="1">
        <f t="array" ref="U785">IF(COUNT(F785:H785)=0,"", MAX(IF(ISNUMBER(F785:H785),F785:H785)) - MIN(IF(ISNUMBER(F785:H785),F785:H785)))</f>
        <v>7</v>
      </c>
      <c r="V785" s="4" t="str">
        <f>IF(U785="","",IF(U785&gt;25,"Outlier","Normal"))</f>
        <v>Normal</v>
      </c>
    </row>
    <row r="786" spans="1:22" x14ac:dyDescent="0.3">
      <c r="A786" s="1" t="s">
        <v>17</v>
      </c>
      <c r="B786" s="1" t="s">
        <v>13</v>
      </c>
      <c r="C786" s="1" t="s">
        <v>87</v>
      </c>
      <c r="D786" s="1" t="s">
        <v>11</v>
      </c>
      <c r="E786" s="1" t="s">
        <v>15</v>
      </c>
      <c r="F786" s="4">
        <v>58</v>
      </c>
      <c r="G786" s="4">
        <v>52</v>
      </c>
      <c r="H786" s="4">
        <v>54</v>
      </c>
      <c r="I786" s="4">
        <f>AVERAGE(Student­­Performance[[#This Row],[Math Score]],Student­­Performance[[#This Row],[Reading Score]],Student­­Performance[[#This Row],[Writing Score]])</f>
        <v>54.666666666666664</v>
      </c>
      <c r="J786" s="10" t="str">
        <f>IF(Student­­Performance[[#This Row],[Average Score]]&gt;=50,"Pass","Fail")</f>
        <v>Pass</v>
      </c>
      <c r="K78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78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78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786" s="4">
        <f>IF(ISNUMBER(Student­­Performance[[#This Row],[Math Score]]),Student­­Performance[[#This Row],[Math Score]],0)</f>
        <v>58</v>
      </c>
      <c r="O786" s="4">
        <f>IF(ISNUMBER(Student­­Performance[[#This Row],[Reading Score]]),Student­­Performance[[#This Row],[Reading Score]],0)</f>
        <v>52</v>
      </c>
      <c r="P786" s="4">
        <f>IF(ISNUMBER(Student­­Performance[[#This Row],[Writing Score]]),Student­­Performance[[#This Row],[Writing Score]],0)</f>
        <v>54</v>
      </c>
      <c r="Q786" s="4" t="str">
        <f>IF(Student­­Performance[[#This Row],[Math Score]]&gt;=50,"Pass","Fail")</f>
        <v>Pass</v>
      </c>
      <c r="R786" s="4" t="str">
        <f>IF(Student­­Performance[[#This Row],[Reading Score]]&gt;=50,"Pass","Fail")</f>
        <v>Pass</v>
      </c>
      <c r="S786" s="4" t="str">
        <f>IF(Student­­Performance[[#This Row],[Writing Score]]&gt;=50,"Pass","Fail")</f>
        <v>Pass</v>
      </c>
      <c r="T78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164</v>
      </c>
      <c r="U786" s="4" cm="1">
        <f t="array" ref="U786">IF(COUNT(F786:H786)=0,"", MAX(IF(ISNUMBER(F786:H786),F786:H786)) - MIN(IF(ISNUMBER(F786:H786),F786:H786)))</f>
        <v>6</v>
      </c>
      <c r="V786" s="4" t="str">
        <f>IF(U786="","",IF(U786&gt;25,"Outlier","Normal"))</f>
        <v>Normal</v>
      </c>
    </row>
    <row r="787" spans="1:22" x14ac:dyDescent="0.3">
      <c r="A787" s="1" t="s">
        <v>8</v>
      </c>
      <c r="B787" s="1" t="s">
        <v>21</v>
      </c>
      <c r="C787" s="1" t="s">
        <v>84</v>
      </c>
      <c r="D787" s="1" t="s">
        <v>11</v>
      </c>
      <c r="E787" s="1" t="s">
        <v>12</v>
      </c>
      <c r="F787" s="4">
        <v>51</v>
      </c>
      <c r="G787" s="4">
        <v>58</v>
      </c>
      <c r="H787" s="4">
        <v>54</v>
      </c>
      <c r="I787" s="4">
        <f>AVERAGE(Student­­Performance[[#This Row],[Math Score]],Student­­Performance[[#This Row],[Reading Score]],Student­­Performance[[#This Row],[Writing Score]])</f>
        <v>54.333333333333336</v>
      </c>
      <c r="J787" s="10" t="str">
        <f>IF(Student­­Performance[[#This Row],[Average Score]]&gt;=50,"Pass","Fail")</f>
        <v>Pass</v>
      </c>
      <c r="K78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78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78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787" s="4">
        <f>IF(ISNUMBER(Student­­Performance[[#This Row],[Math Score]]),Student­­Performance[[#This Row],[Math Score]],0)</f>
        <v>51</v>
      </c>
      <c r="O787" s="4">
        <f>IF(ISNUMBER(Student­­Performance[[#This Row],[Reading Score]]),Student­­Performance[[#This Row],[Reading Score]],0)</f>
        <v>58</v>
      </c>
      <c r="P787" s="4">
        <f>IF(ISNUMBER(Student­­Performance[[#This Row],[Writing Score]]),Student­­Performance[[#This Row],[Writing Score]],0)</f>
        <v>54</v>
      </c>
      <c r="Q787" s="4" t="str">
        <f>IF(Student­­Performance[[#This Row],[Math Score]]&gt;=50,"Pass","Fail")</f>
        <v>Pass</v>
      </c>
      <c r="R787" s="4" t="str">
        <f>IF(Student­­Performance[[#This Row],[Reading Score]]&gt;=50,"Pass","Fail")</f>
        <v>Pass</v>
      </c>
      <c r="S787" s="4" t="str">
        <f>IF(Student­­Performance[[#This Row],[Writing Score]]&gt;=50,"Pass","Fail")</f>
        <v>Pass</v>
      </c>
      <c r="T78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163</v>
      </c>
      <c r="U787" s="4" cm="1">
        <f t="array" ref="U787">IF(COUNT(F787:H787)=0,"", MAX(IF(ISNUMBER(F787:H787),F787:H787)) - MIN(IF(ISNUMBER(F787:H787),F787:H787)))</f>
        <v>7</v>
      </c>
      <c r="V787" s="4" t="str">
        <f>IF(U787="","",IF(U787&gt;25,"Outlier","Normal"))</f>
        <v>Normal</v>
      </c>
    </row>
    <row r="788" spans="1:22" x14ac:dyDescent="0.3">
      <c r="A788" s="1" t="s">
        <v>8</v>
      </c>
      <c r="B788" s="1" t="s">
        <v>21</v>
      </c>
      <c r="C788" s="1" t="s">
        <v>87</v>
      </c>
      <c r="D788" s="1" t="s">
        <v>11</v>
      </c>
      <c r="E788" s="1" t="s">
        <v>12</v>
      </c>
      <c r="F788" s="4">
        <v>56</v>
      </c>
      <c r="G788" s="4">
        <v>52</v>
      </c>
      <c r="H788" s="4">
        <v>55</v>
      </c>
      <c r="I788" s="4">
        <f>AVERAGE(Student­­Performance[[#This Row],[Math Score]],Student­­Performance[[#This Row],[Reading Score]],Student­­Performance[[#This Row],[Writing Score]])</f>
        <v>54.333333333333336</v>
      </c>
      <c r="J788" s="10" t="str">
        <f>IF(Student­­Performance[[#This Row],[Average Score]]&gt;=50,"Pass","Fail")</f>
        <v>Pass</v>
      </c>
      <c r="K78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78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78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788" s="4">
        <f>IF(ISNUMBER(Student­­Performance[[#This Row],[Math Score]]),Student­­Performance[[#This Row],[Math Score]],0)</f>
        <v>56</v>
      </c>
      <c r="O788" s="4">
        <f>IF(ISNUMBER(Student­­Performance[[#This Row],[Reading Score]]),Student­­Performance[[#This Row],[Reading Score]],0)</f>
        <v>52</v>
      </c>
      <c r="P788" s="4">
        <f>IF(ISNUMBER(Student­­Performance[[#This Row],[Writing Score]]),Student­­Performance[[#This Row],[Writing Score]],0)</f>
        <v>55</v>
      </c>
      <c r="Q788" s="4" t="str">
        <f>IF(Student­­Performance[[#This Row],[Math Score]]&gt;=50,"Pass","Fail")</f>
        <v>Pass</v>
      </c>
      <c r="R788" s="4" t="str">
        <f>IF(Student­­Performance[[#This Row],[Reading Score]]&gt;=50,"Pass","Fail")</f>
        <v>Pass</v>
      </c>
      <c r="S788" s="4" t="str">
        <f>IF(Student­­Performance[[#This Row],[Writing Score]]&gt;=50,"Pass","Fail")</f>
        <v>Pass</v>
      </c>
      <c r="T78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163</v>
      </c>
      <c r="U788" s="4" cm="1">
        <f t="array" ref="U788">IF(COUNT(F788:H788)=0,"", MAX(IF(ISNUMBER(F788:H788),F788:H788)) - MIN(IF(ISNUMBER(F788:H788),F788:H788)))</f>
        <v>4</v>
      </c>
      <c r="V788" s="4" t="str">
        <f>IF(U788="","",IF(U788&gt;25,"Outlier","Normal"))</f>
        <v>Normal</v>
      </c>
    </row>
    <row r="789" spans="1:22" x14ac:dyDescent="0.3">
      <c r="A789" s="1" t="s">
        <v>17</v>
      </c>
      <c r="B789" s="1" t="s">
        <v>13</v>
      </c>
      <c r="C789" s="1" t="s">
        <v>85</v>
      </c>
      <c r="D789" s="1" t="s">
        <v>20</v>
      </c>
      <c r="E789" s="1" t="s">
        <v>12</v>
      </c>
      <c r="F789" s="4">
        <v>54</v>
      </c>
      <c r="G789" s="4">
        <v>59</v>
      </c>
      <c r="H789" s="4">
        <v>50</v>
      </c>
      <c r="I789" s="4">
        <f>AVERAGE(Student­­Performance[[#This Row],[Math Score]],Student­­Performance[[#This Row],[Reading Score]],Student­­Performance[[#This Row],[Writing Score]])</f>
        <v>54.333333333333336</v>
      </c>
      <c r="J789" s="10" t="str">
        <f>IF(Student­­Performance[[#This Row],[Average Score]]&gt;=50,"Pass","Fail")</f>
        <v>Pass</v>
      </c>
      <c r="K78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78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-9</v>
      </c>
      <c r="M78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789" s="4">
        <f>IF(ISNUMBER(Student­­Performance[[#This Row],[Math Score]]),Student­­Performance[[#This Row],[Math Score]],0)</f>
        <v>54</v>
      </c>
      <c r="O789" s="4">
        <f>IF(ISNUMBER(Student­­Performance[[#This Row],[Reading Score]]),Student­­Performance[[#This Row],[Reading Score]],0)</f>
        <v>59</v>
      </c>
      <c r="P789" s="4">
        <f>IF(ISNUMBER(Student­­Performance[[#This Row],[Writing Score]]),Student­­Performance[[#This Row],[Writing Score]],0)</f>
        <v>50</v>
      </c>
      <c r="Q789" s="4" t="str">
        <f>IF(Student­­Performance[[#This Row],[Math Score]]&gt;=50,"Pass","Fail")</f>
        <v>Pass</v>
      </c>
      <c r="R789" s="4" t="str">
        <f>IF(Student­­Performance[[#This Row],[Reading Score]]&gt;=50,"Pass","Fail")</f>
        <v>Pass</v>
      </c>
      <c r="S789" s="4" t="str">
        <f>IF(Student­­Performance[[#This Row],[Writing Score]]&gt;=50,"Pass","Fail")</f>
        <v>Pass</v>
      </c>
      <c r="T78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163</v>
      </c>
      <c r="U789" s="4" cm="1">
        <f t="array" ref="U789">IF(COUNT(F789:H789)=0,"", MAX(IF(ISNUMBER(F789:H789),F789:H789)) - MIN(IF(ISNUMBER(F789:H789),F789:H789)))</f>
        <v>9</v>
      </c>
      <c r="V789" s="4" t="str">
        <f>IF(U789="","",IF(U789&gt;25,"Outlier","Normal"))</f>
        <v>Normal</v>
      </c>
    </row>
    <row r="790" spans="1:22" x14ac:dyDescent="0.3">
      <c r="A790" s="1" t="s">
        <v>8</v>
      </c>
      <c r="B790" s="1" t="s">
        <v>18</v>
      </c>
      <c r="C790" s="1" t="s">
        <v>87</v>
      </c>
      <c r="D790" s="1" t="s">
        <v>20</v>
      </c>
      <c r="E790" s="1" t="s">
        <v>15</v>
      </c>
      <c r="F790" s="4">
        <v>53</v>
      </c>
      <c r="G790" s="4">
        <v>50</v>
      </c>
      <c r="H790" s="4">
        <v>60</v>
      </c>
      <c r="I790" s="4">
        <f>AVERAGE(Student­­Performance[[#This Row],[Math Score]],Student­­Performance[[#This Row],[Reading Score]],Student­­Performance[[#This Row],[Writing Score]])</f>
        <v>54.333333333333336</v>
      </c>
      <c r="J790" s="10" t="str">
        <f>IF(Student­­Performance[[#This Row],[Average Score]]&gt;=50,"Pass","Fail")</f>
        <v>Pass</v>
      </c>
      <c r="K79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79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10</v>
      </c>
      <c r="M79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790" s="4">
        <f>IF(ISNUMBER(Student­­Performance[[#This Row],[Math Score]]),Student­­Performance[[#This Row],[Math Score]],0)</f>
        <v>53</v>
      </c>
      <c r="O790" s="4">
        <f>IF(ISNUMBER(Student­­Performance[[#This Row],[Reading Score]]),Student­­Performance[[#This Row],[Reading Score]],0)</f>
        <v>50</v>
      </c>
      <c r="P790" s="4">
        <f>IF(ISNUMBER(Student­­Performance[[#This Row],[Writing Score]]),Student­­Performance[[#This Row],[Writing Score]],0)</f>
        <v>60</v>
      </c>
      <c r="Q790" s="4" t="str">
        <f>IF(Student­­Performance[[#This Row],[Math Score]]&gt;=50,"Pass","Fail")</f>
        <v>Pass</v>
      </c>
      <c r="R790" s="4" t="str">
        <f>IF(Student­­Performance[[#This Row],[Reading Score]]&gt;=50,"Pass","Fail")</f>
        <v>Pass</v>
      </c>
      <c r="S790" s="4" t="str">
        <f>IF(Student­­Performance[[#This Row],[Writing Score]]&gt;=50,"Pass","Fail")</f>
        <v>Pass</v>
      </c>
      <c r="T79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163</v>
      </c>
      <c r="U790" s="4" cm="1">
        <f t="array" ref="U790">IF(COUNT(F790:H790)=0,"", MAX(IF(ISNUMBER(F790:H790),F790:H790)) - MIN(IF(ISNUMBER(F790:H790),F790:H790)))</f>
        <v>10</v>
      </c>
      <c r="V790" s="4" t="str">
        <f>IF(U790="","",IF(U790&gt;25,"Outlier","Normal"))</f>
        <v>Normal</v>
      </c>
    </row>
    <row r="791" spans="1:22" x14ac:dyDescent="0.3">
      <c r="A791" s="1" t="s">
        <v>17</v>
      </c>
      <c r="B791" s="1" t="s">
        <v>26</v>
      </c>
      <c r="C791" s="1" t="s">
        <v>87</v>
      </c>
      <c r="D791" s="1" t="s">
        <v>20</v>
      </c>
      <c r="E791" s="1" t="s">
        <v>12</v>
      </c>
      <c r="F791" s="4">
        <v>55</v>
      </c>
      <c r="G791" s="4">
        <v>56</v>
      </c>
      <c r="H791" s="4">
        <v>51</v>
      </c>
      <c r="I791" s="4">
        <f>AVERAGE(Student­­Performance[[#This Row],[Math Score]],Student­­Performance[[#This Row],[Reading Score]],Student­­Performance[[#This Row],[Writing Score]])</f>
        <v>54</v>
      </c>
      <c r="J791" s="10" t="str">
        <f>IF(Student­­Performance[[#This Row],[Average Score]]&gt;=50,"Pass","Fail")</f>
        <v>Pass</v>
      </c>
      <c r="K79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79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79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791" s="4">
        <f>IF(ISNUMBER(Student­­Performance[[#This Row],[Math Score]]),Student­­Performance[[#This Row],[Math Score]],0)</f>
        <v>55</v>
      </c>
      <c r="O791" s="4">
        <f>IF(ISNUMBER(Student­­Performance[[#This Row],[Reading Score]]),Student­­Performance[[#This Row],[Reading Score]],0)</f>
        <v>56</v>
      </c>
      <c r="P791" s="4">
        <f>IF(ISNUMBER(Student­­Performance[[#This Row],[Writing Score]]),Student­­Performance[[#This Row],[Writing Score]],0)</f>
        <v>51</v>
      </c>
      <c r="Q791" s="4" t="str">
        <f>IF(Student­­Performance[[#This Row],[Math Score]]&gt;=50,"Pass","Fail")</f>
        <v>Pass</v>
      </c>
      <c r="R791" s="4" t="str">
        <f>IF(Student­­Performance[[#This Row],[Reading Score]]&gt;=50,"Pass","Fail")</f>
        <v>Pass</v>
      </c>
      <c r="S791" s="4" t="str">
        <f>IF(Student­­Performance[[#This Row],[Writing Score]]&gt;=50,"Pass","Fail")</f>
        <v>Pass</v>
      </c>
      <c r="T79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162</v>
      </c>
      <c r="U791" s="4" cm="1">
        <f t="array" ref="U791">IF(COUNT(F791:H791)=0,"", MAX(IF(ISNUMBER(F791:H791),F791:H791)) - MIN(IF(ISNUMBER(F791:H791),F791:H791)))</f>
        <v>5</v>
      </c>
      <c r="V791" s="4" t="str">
        <f>IF(U791="","",IF(U791&gt;25,"Outlier","Normal"))</f>
        <v>Normal</v>
      </c>
    </row>
    <row r="792" spans="1:22" x14ac:dyDescent="0.3">
      <c r="A792" s="1" t="s">
        <v>17</v>
      </c>
      <c r="B792" s="1" t="s">
        <v>21</v>
      </c>
      <c r="C792" s="1" t="s">
        <v>88</v>
      </c>
      <c r="D792" s="1" t="s">
        <v>20</v>
      </c>
      <c r="E792" s="1" t="s">
        <v>12</v>
      </c>
      <c r="F792" s="4">
        <v>56</v>
      </c>
      <c r="G792" s="4">
        <v>54</v>
      </c>
      <c r="H792" s="4">
        <v>52</v>
      </c>
      <c r="I792" s="4">
        <f>AVERAGE(Student­­Performance[[#This Row],[Math Score]],Student­­Performance[[#This Row],[Reading Score]],Student­­Performance[[#This Row],[Writing Score]])</f>
        <v>54</v>
      </c>
      <c r="J792" s="10" t="str">
        <f>IF(Student­­Performance[[#This Row],[Average Score]]&gt;=50,"Pass","Fail")</f>
        <v>Pass</v>
      </c>
      <c r="K79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</v>
      </c>
      <c r="L79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79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792" s="4">
        <f>IF(ISNUMBER(Student­­Performance[[#This Row],[Math Score]]),Student­­Performance[[#This Row],[Math Score]],0)</f>
        <v>56</v>
      </c>
      <c r="O792" s="4">
        <f>IF(ISNUMBER(Student­­Performance[[#This Row],[Reading Score]]),Student­­Performance[[#This Row],[Reading Score]],0)</f>
        <v>54</v>
      </c>
      <c r="P792" s="4">
        <f>IF(ISNUMBER(Student­­Performance[[#This Row],[Writing Score]]),Student­­Performance[[#This Row],[Writing Score]],0)</f>
        <v>52</v>
      </c>
      <c r="Q792" s="4" t="str">
        <f>IF(Student­­Performance[[#This Row],[Math Score]]&gt;=50,"Pass","Fail")</f>
        <v>Pass</v>
      </c>
      <c r="R792" s="4" t="str">
        <f>IF(Student­­Performance[[#This Row],[Reading Score]]&gt;=50,"Pass","Fail")</f>
        <v>Pass</v>
      </c>
      <c r="S792" s="4" t="str">
        <f>IF(Student­­Performance[[#This Row],[Writing Score]]&gt;=50,"Pass","Fail")</f>
        <v>Pass</v>
      </c>
      <c r="T79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162</v>
      </c>
      <c r="U792" s="4" cm="1">
        <f t="array" ref="U792">IF(COUNT(F792:H792)=0,"", MAX(IF(ISNUMBER(F792:H792),F792:H792)) - MIN(IF(ISNUMBER(F792:H792),F792:H792)))</f>
        <v>4</v>
      </c>
      <c r="V792" s="4" t="str">
        <f>IF(U792="","",IF(U792&gt;25,"Outlier","Normal"))</f>
        <v>Normal</v>
      </c>
    </row>
    <row r="793" spans="1:22" x14ac:dyDescent="0.3">
      <c r="A793" s="1" t="s">
        <v>8</v>
      </c>
      <c r="B793" s="1" t="s">
        <v>9</v>
      </c>
      <c r="C793" s="1" t="s">
        <v>88</v>
      </c>
      <c r="D793" s="1" t="s">
        <v>11</v>
      </c>
      <c r="E793" s="1" t="s">
        <v>12</v>
      </c>
      <c r="F793" s="4">
        <v>82</v>
      </c>
      <c r="G793" s="4" t="s">
        <v>90</v>
      </c>
      <c r="H793" s="4">
        <v>80</v>
      </c>
      <c r="I793" s="4">
        <f>AVERAGE(Student­­Performance[[#This Row],[Math Score]],Student­­Performance[[#This Row],[Reading Score]],Student­­Performance[[#This Row],[Writing Score]])</f>
        <v>81</v>
      </c>
      <c r="J793" s="10" t="str">
        <f>IF(Student­­Performance[[#This Row],[Average Score]]&gt;=50,"Pass","Fail")</f>
        <v>Pass</v>
      </c>
      <c r="K793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793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79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793" s="4">
        <f>IF(ISNUMBER(Student­­Performance[[#This Row],[Math Score]]),Student­­Performance[[#This Row],[Math Score]],0)</f>
        <v>82</v>
      </c>
      <c r="O793" s="4">
        <f>IF(ISNUMBER(Student­­Performance[[#This Row],[Reading Score]]),Student­­Performance[[#This Row],[Reading Score]],0)</f>
        <v>0</v>
      </c>
      <c r="P793" s="4">
        <f>IF(ISNUMBER(Student­­Performance[[#This Row],[Writing Score]]),Student­­Performance[[#This Row],[Writing Score]],0)</f>
        <v>80</v>
      </c>
      <c r="Q793" s="4" t="str">
        <f>IF(Student­­Performance[[#This Row],[Math Score]]&gt;=50,"Pass","Fail")</f>
        <v>Pass</v>
      </c>
      <c r="R793" s="4" t="str">
        <f>IF(Student­­Performance[[#This Row],[Reading Score]]&gt;=50,"Pass","Fail")</f>
        <v>Pass</v>
      </c>
      <c r="S793" s="4" t="str">
        <f>IF(Student­­Performance[[#This Row],[Writing Score]]&gt;=50,"Pass","Fail")</f>
        <v>Pass</v>
      </c>
      <c r="T79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162</v>
      </c>
      <c r="U793" s="4" cm="1">
        <f t="array" ref="U793">IF(COUNT(F793:H793)=0,"", MAX(IF(ISNUMBER(F793:H793),F793:H793)) - MIN(IF(ISNUMBER(F793:H793),F793:H793)))</f>
        <v>2</v>
      </c>
      <c r="V793" s="4" t="str">
        <f>IF(U793="","",IF(U793&gt;25,"Outlier","Normal"))</f>
        <v>Normal</v>
      </c>
    </row>
    <row r="794" spans="1:22" x14ac:dyDescent="0.3">
      <c r="A794" s="1" t="s">
        <v>8</v>
      </c>
      <c r="B794" s="1" t="s">
        <v>9</v>
      </c>
      <c r="C794" s="1" t="s">
        <v>84</v>
      </c>
      <c r="D794" s="1" t="s">
        <v>20</v>
      </c>
      <c r="E794" s="1" t="s">
        <v>15</v>
      </c>
      <c r="F794" s="4">
        <v>48</v>
      </c>
      <c r="G794" s="4">
        <v>56</v>
      </c>
      <c r="H794" s="4">
        <v>58</v>
      </c>
      <c r="I794" s="4">
        <f>AVERAGE(Student­­Performance[[#This Row],[Math Score]],Student­­Performance[[#This Row],[Reading Score]],Student­­Performance[[#This Row],[Writing Score]])</f>
        <v>54</v>
      </c>
      <c r="J794" s="10" t="str">
        <f>IF(Student­­Performance[[#This Row],[Average Score]]&gt;=50,"Pass","Fail")</f>
        <v>Pass</v>
      </c>
      <c r="K79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79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79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794" s="4">
        <f>IF(ISNUMBER(Student­­Performance[[#This Row],[Math Score]]),Student­­Performance[[#This Row],[Math Score]],0)</f>
        <v>48</v>
      </c>
      <c r="O794" s="4">
        <f>IF(ISNUMBER(Student­­Performance[[#This Row],[Reading Score]]),Student­­Performance[[#This Row],[Reading Score]],0)</f>
        <v>56</v>
      </c>
      <c r="P794" s="4">
        <f>IF(ISNUMBER(Student­­Performance[[#This Row],[Writing Score]]),Student­­Performance[[#This Row],[Writing Score]],0)</f>
        <v>58</v>
      </c>
      <c r="Q794" s="4" t="str">
        <f>IF(Student­­Performance[[#This Row],[Math Score]]&gt;=50,"Pass","Fail")</f>
        <v>Fail</v>
      </c>
      <c r="R794" s="4" t="str">
        <f>IF(Student­­Performance[[#This Row],[Reading Score]]&gt;=50,"Pass","Fail")</f>
        <v>Pass</v>
      </c>
      <c r="S794" s="4" t="str">
        <f>IF(Student­­Performance[[#This Row],[Writing Score]]&gt;=50,"Pass","Fail")</f>
        <v>Pass</v>
      </c>
      <c r="T79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162</v>
      </c>
      <c r="U794" s="4" cm="1">
        <f t="array" ref="U794">IF(COUNT(F794:H794)=0,"", MAX(IF(ISNUMBER(F794:H794),F794:H794)) - MIN(IF(ISNUMBER(F794:H794),F794:H794)))</f>
        <v>10</v>
      </c>
      <c r="V794" s="4" t="str">
        <f>IF(U794="","",IF(U794&gt;25,"Outlier","Normal"))</f>
        <v>Normal</v>
      </c>
    </row>
    <row r="795" spans="1:22" x14ac:dyDescent="0.3">
      <c r="A795" s="1" t="s">
        <v>8</v>
      </c>
      <c r="B795" s="1" t="s">
        <v>9</v>
      </c>
      <c r="C795" s="1" t="s">
        <v>88</v>
      </c>
      <c r="D795" s="1" t="s">
        <v>20</v>
      </c>
      <c r="E795" s="1" t="s">
        <v>12</v>
      </c>
      <c r="F795" s="4">
        <v>49</v>
      </c>
      <c r="G795" s="4">
        <v>58</v>
      </c>
      <c r="H795" s="4">
        <v>55</v>
      </c>
      <c r="I795" s="4">
        <f>AVERAGE(Student­­Performance[[#This Row],[Math Score]],Student­­Performance[[#This Row],[Reading Score]],Student­­Performance[[#This Row],[Writing Score]])</f>
        <v>54</v>
      </c>
      <c r="J795" s="10" t="str">
        <f>IF(Student­­Performance[[#This Row],[Average Score]]&gt;=50,"Pass","Fail")</f>
        <v>Pass</v>
      </c>
      <c r="K79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79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79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795" s="4">
        <f>IF(ISNUMBER(Student­­Performance[[#This Row],[Math Score]]),Student­­Performance[[#This Row],[Math Score]],0)</f>
        <v>49</v>
      </c>
      <c r="O795" s="4">
        <f>IF(ISNUMBER(Student­­Performance[[#This Row],[Reading Score]]),Student­­Performance[[#This Row],[Reading Score]],0)</f>
        <v>58</v>
      </c>
      <c r="P795" s="4">
        <f>IF(ISNUMBER(Student­­Performance[[#This Row],[Writing Score]]),Student­­Performance[[#This Row],[Writing Score]],0)</f>
        <v>55</v>
      </c>
      <c r="Q795" s="4" t="str">
        <f>IF(Student­­Performance[[#This Row],[Math Score]]&gt;=50,"Pass","Fail")</f>
        <v>Fail</v>
      </c>
      <c r="R795" s="4" t="str">
        <f>IF(Student­­Performance[[#This Row],[Reading Score]]&gt;=50,"Pass","Fail")</f>
        <v>Pass</v>
      </c>
      <c r="S795" s="4" t="str">
        <f>IF(Student­­Performance[[#This Row],[Writing Score]]&gt;=50,"Pass","Fail")</f>
        <v>Pass</v>
      </c>
      <c r="T79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162</v>
      </c>
      <c r="U795" s="4" cm="1">
        <f t="array" ref="U795">IF(COUNT(F795:H795)=0,"", MAX(IF(ISNUMBER(F795:H795),F795:H795)) - MIN(IF(ISNUMBER(F795:H795),F795:H795)))</f>
        <v>9</v>
      </c>
      <c r="V795" s="4" t="str">
        <f>IF(U795="","",IF(U795&gt;25,"Outlier","Normal"))</f>
        <v>Normal</v>
      </c>
    </row>
    <row r="796" spans="1:22" x14ac:dyDescent="0.3">
      <c r="A796" s="1" t="s">
        <v>8</v>
      </c>
      <c r="B796" s="1" t="s">
        <v>9</v>
      </c>
      <c r="C796" s="1" t="s">
        <v>86</v>
      </c>
      <c r="D796" s="1" t="s">
        <v>20</v>
      </c>
      <c r="E796" s="1" t="s">
        <v>12</v>
      </c>
      <c r="F796" s="4">
        <v>46</v>
      </c>
      <c r="G796" s="4">
        <v>61</v>
      </c>
      <c r="H796" s="4">
        <v>55</v>
      </c>
      <c r="I796" s="4">
        <f>AVERAGE(Student­­Performance[[#This Row],[Math Score]],Student­­Performance[[#This Row],[Reading Score]],Student­­Performance[[#This Row],[Writing Score]])</f>
        <v>54</v>
      </c>
      <c r="J796" s="10" t="str">
        <f>IF(Student­­Performance[[#This Row],[Average Score]]&gt;=50,"Pass","Fail")</f>
        <v>Pass</v>
      </c>
      <c r="K79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15</v>
      </c>
      <c r="L79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79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796" s="4">
        <f>IF(ISNUMBER(Student­­Performance[[#This Row],[Math Score]]),Student­­Performance[[#This Row],[Math Score]],0)</f>
        <v>46</v>
      </c>
      <c r="O796" s="4">
        <f>IF(ISNUMBER(Student­­Performance[[#This Row],[Reading Score]]),Student­­Performance[[#This Row],[Reading Score]],0)</f>
        <v>61</v>
      </c>
      <c r="P796" s="4">
        <f>IF(ISNUMBER(Student­­Performance[[#This Row],[Writing Score]]),Student­­Performance[[#This Row],[Writing Score]],0)</f>
        <v>55</v>
      </c>
      <c r="Q796" s="4" t="str">
        <f>IF(Student­­Performance[[#This Row],[Math Score]]&gt;=50,"Pass","Fail")</f>
        <v>Fail</v>
      </c>
      <c r="R796" s="4" t="str">
        <f>IF(Student­­Performance[[#This Row],[Reading Score]]&gt;=50,"Pass","Fail")</f>
        <v>Pass</v>
      </c>
      <c r="S796" s="4" t="str">
        <f>IF(Student­­Performance[[#This Row],[Writing Score]]&gt;=50,"Pass","Fail")</f>
        <v>Pass</v>
      </c>
      <c r="T79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162</v>
      </c>
      <c r="U796" s="4" cm="1">
        <f t="array" ref="U796">IF(COUNT(F796:H796)=0,"", MAX(IF(ISNUMBER(F796:H796),F796:H796)) - MIN(IF(ISNUMBER(F796:H796),F796:H796)))</f>
        <v>15</v>
      </c>
      <c r="V796" s="4" t="str">
        <f>IF(U796="","",IF(U796&gt;25,"Outlier","Normal"))</f>
        <v>Normal</v>
      </c>
    </row>
    <row r="797" spans="1:22" x14ac:dyDescent="0.3">
      <c r="A797" s="1" t="s">
        <v>17</v>
      </c>
      <c r="B797" s="1" t="s">
        <v>18</v>
      </c>
      <c r="C797" s="1" t="s">
        <v>87</v>
      </c>
      <c r="D797" s="1" t="s">
        <v>11</v>
      </c>
      <c r="E797" s="1" t="s">
        <v>12</v>
      </c>
      <c r="F797" s="4">
        <v>57</v>
      </c>
      <c r="G797" s="4">
        <v>51</v>
      </c>
      <c r="H797" s="4">
        <v>54</v>
      </c>
      <c r="I797" s="4">
        <f>AVERAGE(Student­­Performance[[#This Row],[Math Score]],Student­­Performance[[#This Row],[Reading Score]],Student­­Performance[[#This Row],[Writing Score]])</f>
        <v>54</v>
      </c>
      <c r="J797" s="10" t="str">
        <f>IF(Student­­Performance[[#This Row],[Average Score]]&gt;=50,"Pass","Fail")</f>
        <v>Pass</v>
      </c>
      <c r="K79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79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79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797" s="4">
        <f>IF(ISNUMBER(Student­­Performance[[#This Row],[Math Score]]),Student­­Performance[[#This Row],[Math Score]],0)</f>
        <v>57</v>
      </c>
      <c r="O797" s="4">
        <f>IF(ISNUMBER(Student­­Performance[[#This Row],[Reading Score]]),Student­­Performance[[#This Row],[Reading Score]],0)</f>
        <v>51</v>
      </c>
      <c r="P797" s="4">
        <f>IF(ISNUMBER(Student­­Performance[[#This Row],[Writing Score]]),Student­­Performance[[#This Row],[Writing Score]],0)</f>
        <v>54</v>
      </c>
      <c r="Q797" s="4" t="str">
        <f>IF(Student­­Performance[[#This Row],[Math Score]]&gt;=50,"Pass","Fail")</f>
        <v>Pass</v>
      </c>
      <c r="R797" s="4" t="str">
        <f>IF(Student­­Performance[[#This Row],[Reading Score]]&gt;=50,"Pass","Fail")</f>
        <v>Pass</v>
      </c>
      <c r="S797" s="4" t="str">
        <f>IF(Student­­Performance[[#This Row],[Writing Score]]&gt;=50,"Pass","Fail")</f>
        <v>Pass</v>
      </c>
      <c r="T79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162</v>
      </c>
      <c r="U797" s="4" cm="1">
        <f t="array" ref="U797">IF(COUNT(F797:H797)=0,"", MAX(IF(ISNUMBER(F797:H797),F797:H797)) - MIN(IF(ISNUMBER(F797:H797),F797:H797)))</f>
        <v>6</v>
      </c>
      <c r="V797" s="4" t="str">
        <f>IF(U797="","",IF(U797&gt;25,"Outlier","Normal"))</f>
        <v>Normal</v>
      </c>
    </row>
    <row r="798" spans="1:22" x14ac:dyDescent="0.3">
      <c r="A798" s="1" t="s">
        <v>8</v>
      </c>
      <c r="B798" s="1" t="s">
        <v>18</v>
      </c>
      <c r="C798" s="1" t="s">
        <v>85</v>
      </c>
      <c r="D798" s="1" t="s">
        <v>11</v>
      </c>
      <c r="E798" s="1" t="s">
        <v>12</v>
      </c>
      <c r="F798" s="4">
        <v>50</v>
      </c>
      <c r="G798" s="4">
        <v>53</v>
      </c>
      <c r="H798" s="4">
        <v>58</v>
      </c>
      <c r="I798" s="4">
        <f>AVERAGE(Student­­Performance[[#This Row],[Math Score]],Student­­Performance[[#This Row],[Reading Score]],Student­­Performance[[#This Row],[Writing Score]])</f>
        <v>53.666666666666664</v>
      </c>
      <c r="J798" s="10" t="str">
        <f>IF(Student­­Performance[[#This Row],[Average Score]]&gt;=50,"Pass","Fail")</f>
        <v>Pass</v>
      </c>
      <c r="K79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79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79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798" s="4">
        <f>IF(ISNUMBER(Student­­Performance[[#This Row],[Math Score]]),Student­­Performance[[#This Row],[Math Score]],0)</f>
        <v>50</v>
      </c>
      <c r="O798" s="4">
        <f>IF(ISNUMBER(Student­­Performance[[#This Row],[Reading Score]]),Student­­Performance[[#This Row],[Reading Score]],0)</f>
        <v>53</v>
      </c>
      <c r="P798" s="4">
        <f>IF(ISNUMBER(Student­­Performance[[#This Row],[Writing Score]]),Student­­Performance[[#This Row],[Writing Score]],0)</f>
        <v>58</v>
      </c>
      <c r="Q798" s="4" t="str">
        <f>IF(Student­­Performance[[#This Row],[Math Score]]&gt;=50,"Pass","Fail")</f>
        <v>Pass</v>
      </c>
      <c r="R798" s="4" t="str">
        <f>IF(Student­­Performance[[#This Row],[Reading Score]]&gt;=50,"Pass","Fail")</f>
        <v>Pass</v>
      </c>
      <c r="S798" s="4" t="str">
        <f>IF(Student­­Performance[[#This Row],[Writing Score]]&gt;=50,"Pass","Fail")</f>
        <v>Pass</v>
      </c>
      <c r="T79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161</v>
      </c>
      <c r="U798" s="4" cm="1">
        <f t="array" ref="U798">IF(COUNT(F798:H798)=0,"", MAX(IF(ISNUMBER(F798:H798),F798:H798)) - MIN(IF(ISNUMBER(F798:H798),F798:H798)))</f>
        <v>8</v>
      </c>
      <c r="V798" s="4" t="str">
        <f>IF(U798="","",IF(U798&gt;25,"Outlier","Normal"))</f>
        <v>Normal</v>
      </c>
    </row>
    <row r="799" spans="1:22" x14ac:dyDescent="0.3">
      <c r="A799" s="1" t="s">
        <v>17</v>
      </c>
      <c r="B799" s="1" t="s">
        <v>13</v>
      </c>
      <c r="C799" s="1" t="s">
        <v>83</v>
      </c>
      <c r="D799" s="1" t="s">
        <v>11</v>
      </c>
      <c r="E799" s="1" t="s">
        <v>12</v>
      </c>
      <c r="F799" s="4">
        <v>58</v>
      </c>
      <c r="G799" s="4">
        <v>55</v>
      </c>
      <c r="H799" s="4">
        <v>48</v>
      </c>
      <c r="I799" s="4">
        <f>AVERAGE(Student­­Performance[[#This Row],[Math Score]],Student­­Performance[[#This Row],[Reading Score]],Student­­Performance[[#This Row],[Writing Score]])</f>
        <v>53.666666666666664</v>
      </c>
      <c r="J799" s="10" t="str">
        <f>IF(Student­­Performance[[#This Row],[Average Score]]&gt;=50,"Pass","Fail")</f>
        <v>Pass</v>
      </c>
      <c r="K79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79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79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-10</v>
      </c>
      <c r="N799" s="4">
        <f>IF(ISNUMBER(Student­­Performance[[#This Row],[Math Score]]),Student­­Performance[[#This Row],[Math Score]],0)</f>
        <v>58</v>
      </c>
      <c r="O799" s="4">
        <f>IF(ISNUMBER(Student­­Performance[[#This Row],[Reading Score]]),Student­­Performance[[#This Row],[Reading Score]],0)</f>
        <v>55</v>
      </c>
      <c r="P799" s="4">
        <f>IF(ISNUMBER(Student­­Performance[[#This Row],[Writing Score]]),Student­­Performance[[#This Row],[Writing Score]],0)</f>
        <v>48</v>
      </c>
      <c r="Q799" s="4" t="str">
        <f>IF(Student­­Performance[[#This Row],[Math Score]]&gt;=50,"Pass","Fail")</f>
        <v>Pass</v>
      </c>
      <c r="R799" s="4" t="str">
        <f>IF(Student­­Performance[[#This Row],[Reading Score]]&gt;=50,"Pass","Fail")</f>
        <v>Pass</v>
      </c>
      <c r="S799" s="4" t="str">
        <f>IF(Student­­Performance[[#This Row],[Writing Score]]&gt;=50,"Pass","Fail")</f>
        <v>Fail</v>
      </c>
      <c r="T79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161</v>
      </c>
      <c r="U799" s="4" cm="1">
        <f t="array" ref="U799">IF(COUNT(F799:H799)=0,"", MAX(IF(ISNUMBER(F799:H799),F799:H799)) - MIN(IF(ISNUMBER(F799:H799),F799:H799)))</f>
        <v>10</v>
      </c>
      <c r="V799" s="4" t="str">
        <f>IF(U799="","",IF(U799&gt;25,"Outlier","Normal"))</f>
        <v>Normal</v>
      </c>
    </row>
    <row r="800" spans="1:22" x14ac:dyDescent="0.3">
      <c r="A800" s="1" t="s">
        <v>17</v>
      </c>
      <c r="B800" s="1" t="s">
        <v>21</v>
      </c>
      <c r="C800" s="1" t="s">
        <v>87</v>
      </c>
      <c r="D800" s="1" t="s">
        <v>11</v>
      </c>
      <c r="E800" s="1" t="s">
        <v>12</v>
      </c>
      <c r="F800" s="4">
        <v>57</v>
      </c>
      <c r="G800" s="4">
        <v>50</v>
      </c>
      <c r="H800" s="4">
        <v>54</v>
      </c>
      <c r="I800" s="4">
        <f>AVERAGE(Student­­Performance[[#This Row],[Math Score]],Student­­Performance[[#This Row],[Reading Score]],Student­­Performance[[#This Row],[Writing Score]])</f>
        <v>53.666666666666664</v>
      </c>
      <c r="J800" s="10" t="str">
        <f>IF(Student­­Performance[[#This Row],[Average Score]]&gt;=50,"Pass","Fail")</f>
        <v>Pass</v>
      </c>
      <c r="K80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-7</v>
      </c>
      <c r="L80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80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800" s="4">
        <f>IF(ISNUMBER(Student­­Performance[[#This Row],[Math Score]]),Student­­Performance[[#This Row],[Math Score]],0)</f>
        <v>57</v>
      </c>
      <c r="O800" s="4">
        <f>IF(ISNUMBER(Student­­Performance[[#This Row],[Reading Score]]),Student­­Performance[[#This Row],[Reading Score]],0)</f>
        <v>50</v>
      </c>
      <c r="P800" s="4">
        <f>IF(ISNUMBER(Student­­Performance[[#This Row],[Writing Score]]),Student­­Performance[[#This Row],[Writing Score]],0)</f>
        <v>54</v>
      </c>
      <c r="Q800" s="4" t="str">
        <f>IF(Student­­Performance[[#This Row],[Math Score]]&gt;=50,"Pass","Fail")</f>
        <v>Pass</v>
      </c>
      <c r="R800" s="4" t="str">
        <f>IF(Student­­Performance[[#This Row],[Reading Score]]&gt;=50,"Pass","Fail")</f>
        <v>Pass</v>
      </c>
      <c r="S800" s="4" t="str">
        <f>IF(Student­­Performance[[#This Row],[Writing Score]]&gt;=50,"Pass","Fail")</f>
        <v>Pass</v>
      </c>
      <c r="T80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161</v>
      </c>
      <c r="U800" s="4" cm="1">
        <f t="array" ref="U800">IF(COUNT(F800:H800)=0,"", MAX(IF(ISNUMBER(F800:H800),F800:H800)) - MIN(IF(ISNUMBER(F800:H800),F800:H800)))</f>
        <v>7</v>
      </c>
      <c r="V800" s="4" t="str">
        <f>IF(U800="","",IF(U800&gt;25,"Outlier","Normal"))</f>
        <v>Normal</v>
      </c>
    </row>
    <row r="801" spans="1:22" x14ac:dyDescent="0.3">
      <c r="A801" s="1" t="s">
        <v>8</v>
      </c>
      <c r="B801" s="1" t="s">
        <v>13</v>
      </c>
      <c r="C801" s="1" t="s">
        <v>86</v>
      </c>
      <c r="D801" s="1" t="s">
        <v>11</v>
      </c>
      <c r="E801" s="1" t="s">
        <v>12</v>
      </c>
      <c r="F801" s="4">
        <v>46</v>
      </c>
      <c r="G801" s="4">
        <v>58</v>
      </c>
      <c r="H801" s="4">
        <v>57</v>
      </c>
      <c r="I801" s="4">
        <f>AVERAGE(Student­­Performance[[#This Row],[Math Score]],Student­­Performance[[#This Row],[Reading Score]],Student­­Performance[[#This Row],[Writing Score]])</f>
        <v>53.666666666666664</v>
      </c>
      <c r="J801" s="10" t="str">
        <f>IF(Student­­Performance[[#This Row],[Average Score]]&gt;=50,"Pass","Fail")</f>
        <v>Pass</v>
      </c>
      <c r="K80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80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80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801" s="4">
        <f>IF(ISNUMBER(Student­­Performance[[#This Row],[Math Score]]),Student­­Performance[[#This Row],[Math Score]],0)</f>
        <v>46</v>
      </c>
      <c r="O801" s="4">
        <f>IF(ISNUMBER(Student­­Performance[[#This Row],[Reading Score]]),Student­­Performance[[#This Row],[Reading Score]],0)</f>
        <v>58</v>
      </c>
      <c r="P801" s="4">
        <f>IF(ISNUMBER(Student­­Performance[[#This Row],[Writing Score]]),Student­­Performance[[#This Row],[Writing Score]],0)</f>
        <v>57</v>
      </c>
      <c r="Q801" s="4" t="str">
        <f>IF(Student­­Performance[[#This Row],[Math Score]]&gt;=50,"Pass","Fail")</f>
        <v>Fail</v>
      </c>
      <c r="R801" s="4" t="str">
        <f>IF(Student­­Performance[[#This Row],[Reading Score]]&gt;=50,"Pass","Fail")</f>
        <v>Pass</v>
      </c>
      <c r="S801" s="4" t="str">
        <f>IF(Student­­Performance[[#This Row],[Writing Score]]&gt;=50,"Pass","Fail")</f>
        <v>Pass</v>
      </c>
      <c r="T80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161</v>
      </c>
      <c r="U801" s="4" cm="1">
        <f t="array" ref="U801">IF(COUNT(F801:H801)=0,"", MAX(IF(ISNUMBER(F801:H801),F801:H801)) - MIN(IF(ISNUMBER(F801:H801),F801:H801)))</f>
        <v>12</v>
      </c>
      <c r="V801" s="4" t="str">
        <f>IF(U801="","",IF(U801&gt;25,"Outlier","Normal"))</f>
        <v>Normal</v>
      </c>
    </row>
    <row r="802" spans="1:22" x14ac:dyDescent="0.3">
      <c r="A802" s="1" t="s">
        <v>8</v>
      </c>
      <c r="B802" s="1" t="s">
        <v>18</v>
      </c>
      <c r="C802" s="1" t="s">
        <v>86</v>
      </c>
      <c r="D802" s="1" t="s">
        <v>20</v>
      </c>
      <c r="E802" s="1" t="s">
        <v>12</v>
      </c>
      <c r="F802" s="4" t="s">
        <v>90</v>
      </c>
      <c r="G802" s="4">
        <v>85</v>
      </c>
      <c r="H802" s="4">
        <v>76</v>
      </c>
      <c r="I802" s="4">
        <f>AVERAGE(Student­­Performance[[#This Row],[Math Score]],Student­­Performance[[#This Row],[Reading Score]],Student­­Performance[[#This Row],[Writing Score]])</f>
        <v>80.5</v>
      </c>
      <c r="J802" s="10" t="str">
        <f>IF(Student­­Performance[[#This Row],[Average Score]]&gt;=50,"Pass","Fail")</f>
        <v>Pass</v>
      </c>
      <c r="K802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80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-9</v>
      </c>
      <c r="M802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802" s="4">
        <f>IF(ISNUMBER(Student­­Performance[[#This Row],[Math Score]]),Student­­Performance[[#This Row],[Math Score]],0)</f>
        <v>0</v>
      </c>
      <c r="O802" s="4">
        <f>IF(ISNUMBER(Student­­Performance[[#This Row],[Reading Score]]),Student­­Performance[[#This Row],[Reading Score]],0)</f>
        <v>85</v>
      </c>
      <c r="P802" s="4">
        <f>IF(ISNUMBER(Student­­Performance[[#This Row],[Writing Score]]),Student­­Performance[[#This Row],[Writing Score]],0)</f>
        <v>76</v>
      </c>
      <c r="Q802" s="4" t="str">
        <f>IF(Student­­Performance[[#This Row],[Math Score]]&gt;=50,"Pass","Fail")</f>
        <v>Pass</v>
      </c>
      <c r="R802" s="4" t="str">
        <f>IF(Student­­Performance[[#This Row],[Reading Score]]&gt;=50,"Pass","Fail")</f>
        <v>Pass</v>
      </c>
      <c r="S802" s="4" t="str">
        <f>IF(Student­­Performance[[#This Row],[Writing Score]]&gt;=50,"Pass","Fail")</f>
        <v>Pass</v>
      </c>
      <c r="T80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161</v>
      </c>
      <c r="U802" s="4" cm="1">
        <f t="array" ref="U802">IF(COUNT(F802:H802)=0,"", MAX(IF(ISNUMBER(F802:H802),F802:H802)) - MIN(IF(ISNUMBER(F802:H802),F802:H802)))</f>
        <v>9</v>
      </c>
      <c r="V802" s="4" t="str">
        <f>IF(U802="","",IF(U802&gt;25,"Outlier","Normal"))</f>
        <v>Normal</v>
      </c>
    </row>
    <row r="803" spans="1:22" x14ac:dyDescent="0.3">
      <c r="A803" s="1" t="s">
        <v>17</v>
      </c>
      <c r="B803" s="1" t="s">
        <v>13</v>
      </c>
      <c r="C803" s="1" t="s">
        <v>87</v>
      </c>
      <c r="D803" s="1" t="s">
        <v>20</v>
      </c>
      <c r="E803" s="1" t="s">
        <v>15</v>
      </c>
      <c r="F803" s="4">
        <v>58</v>
      </c>
      <c r="G803" s="4">
        <v>51</v>
      </c>
      <c r="H803" s="4">
        <v>52</v>
      </c>
      <c r="I803" s="4">
        <f>AVERAGE(Student­­Performance[[#This Row],[Math Score]],Student­­Performance[[#This Row],[Reading Score]],Student­­Performance[[#This Row],[Writing Score]])</f>
        <v>53.666666666666664</v>
      </c>
      <c r="J803" s="10" t="str">
        <f>IF(Student­­Performance[[#This Row],[Average Score]]&gt;=50,"Pass","Fail")</f>
        <v>Pass</v>
      </c>
      <c r="K80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-7</v>
      </c>
      <c r="L80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80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803" s="4">
        <f>IF(ISNUMBER(Student­­Performance[[#This Row],[Math Score]]),Student­­Performance[[#This Row],[Math Score]],0)</f>
        <v>58</v>
      </c>
      <c r="O803" s="4">
        <f>IF(ISNUMBER(Student­­Performance[[#This Row],[Reading Score]]),Student­­Performance[[#This Row],[Reading Score]],0)</f>
        <v>51</v>
      </c>
      <c r="P803" s="4">
        <f>IF(ISNUMBER(Student­­Performance[[#This Row],[Writing Score]]),Student­­Performance[[#This Row],[Writing Score]],0)</f>
        <v>52</v>
      </c>
      <c r="Q803" s="4" t="str">
        <f>IF(Student­­Performance[[#This Row],[Math Score]]&gt;=50,"Pass","Fail")</f>
        <v>Pass</v>
      </c>
      <c r="R803" s="4" t="str">
        <f>IF(Student­­Performance[[#This Row],[Reading Score]]&gt;=50,"Pass","Fail")</f>
        <v>Pass</v>
      </c>
      <c r="S803" s="4" t="str">
        <f>IF(Student­­Performance[[#This Row],[Writing Score]]&gt;=50,"Pass","Fail")</f>
        <v>Pass</v>
      </c>
      <c r="T80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161</v>
      </c>
      <c r="U803" s="4" cm="1">
        <f t="array" ref="U803">IF(COUNT(F803:H803)=0,"", MAX(IF(ISNUMBER(F803:H803),F803:H803)) - MIN(IF(ISNUMBER(F803:H803),F803:H803)))</f>
        <v>7</v>
      </c>
      <c r="V803" s="4" t="str">
        <f>IF(U803="","",IF(U803&gt;25,"Outlier","Normal"))</f>
        <v>Normal</v>
      </c>
    </row>
    <row r="804" spans="1:22" x14ac:dyDescent="0.3">
      <c r="A804" s="1" t="s">
        <v>8</v>
      </c>
      <c r="B804" s="1" t="s">
        <v>21</v>
      </c>
      <c r="C804" s="1" t="s">
        <v>86</v>
      </c>
      <c r="D804" s="1" t="s">
        <v>20</v>
      </c>
      <c r="E804" s="1" t="s">
        <v>12</v>
      </c>
      <c r="F804" s="4">
        <v>43</v>
      </c>
      <c r="G804" s="4">
        <v>60</v>
      </c>
      <c r="H804" s="4">
        <v>58</v>
      </c>
      <c r="I804" s="4">
        <f>AVERAGE(Student­­Performance[[#This Row],[Math Score]],Student­­Performance[[#This Row],[Reading Score]],Student­­Performance[[#This Row],[Writing Score]])</f>
        <v>53.666666666666664</v>
      </c>
      <c r="J804" s="10" t="str">
        <f>IF(Student­­Performance[[#This Row],[Average Score]]&gt;=50,"Pass","Fail")</f>
        <v>Pass</v>
      </c>
      <c r="K80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17</v>
      </c>
      <c r="L80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80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15</v>
      </c>
      <c r="N804" s="4">
        <f>IF(ISNUMBER(Student­­Performance[[#This Row],[Math Score]]),Student­­Performance[[#This Row],[Math Score]],0)</f>
        <v>43</v>
      </c>
      <c r="O804" s="4">
        <f>IF(ISNUMBER(Student­­Performance[[#This Row],[Reading Score]]),Student­­Performance[[#This Row],[Reading Score]],0)</f>
        <v>60</v>
      </c>
      <c r="P804" s="4">
        <f>IF(ISNUMBER(Student­­Performance[[#This Row],[Writing Score]]),Student­­Performance[[#This Row],[Writing Score]],0)</f>
        <v>58</v>
      </c>
      <c r="Q804" s="4" t="str">
        <f>IF(Student­­Performance[[#This Row],[Math Score]]&gt;=50,"Pass","Fail")</f>
        <v>Fail</v>
      </c>
      <c r="R804" s="4" t="str">
        <f>IF(Student­­Performance[[#This Row],[Reading Score]]&gt;=50,"Pass","Fail")</f>
        <v>Pass</v>
      </c>
      <c r="S804" s="4" t="str">
        <f>IF(Student­­Performance[[#This Row],[Writing Score]]&gt;=50,"Pass","Fail")</f>
        <v>Pass</v>
      </c>
      <c r="T80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161</v>
      </c>
      <c r="U804" s="4" cm="1">
        <f t="array" ref="U804">IF(COUNT(F804:H804)=0,"", MAX(IF(ISNUMBER(F804:H804),F804:H804)) - MIN(IF(ISNUMBER(F804:H804),F804:H804)))</f>
        <v>17</v>
      </c>
      <c r="V804" s="4" t="str">
        <f>IF(U804="","",IF(U804&gt;25,"Outlier","Normal"))</f>
        <v>Normal</v>
      </c>
    </row>
    <row r="805" spans="1:22" x14ac:dyDescent="0.3">
      <c r="A805" s="1" t="s">
        <v>8</v>
      </c>
      <c r="B805" s="1" t="s">
        <v>21</v>
      </c>
      <c r="C805" s="1" t="s">
        <v>86</v>
      </c>
      <c r="D805" s="1" t="s">
        <v>20</v>
      </c>
      <c r="E805" s="1" t="s">
        <v>15</v>
      </c>
      <c r="F805" s="4">
        <v>42</v>
      </c>
      <c r="G805" s="4">
        <v>61</v>
      </c>
      <c r="H805" s="4">
        <v>58</v>
      </c>
      <c r="I805" s="4">
        <f>AVERAGE(Student­­Performance[[#This Row],[Math Score]],Student­­Performance[[#This Row],[Reading Score]],Student­­Performance[[#This Row],[Writing Score]])</f>
        <v>53.666666666666664</v>
      </c>
      <c r="J805" s="10" t="str">
        <f>IF(Student­­Performance[[#This Row],[Average Score]]&gt;=50,"Pass","Fail")</f>
        <v>Pass</v>
      </c>
      <c r="K80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19</v>
      </c>
      <c r="L80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80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16</v>
      </c>
      <c r="N805" s="4">
        <f>IF(ISNUMBER(Student­­Performance[[#This Row],[Math Score]]),Student­­Performance[[#This Row],[Math Score]],0)</f>
        <v>42</v>
      </c>
      <c r="O805" s="4">
        <f>IF(ISNUMBER(Student­­Performance[[#This Row],[Reading Score]]),Student­­Performance[[#This Row],[Reading Score]],0)</f>
        <v>61</v>
      </c>
      <c r="P805" s="4">
        <f>IF(ISNUMBER(Student­­Performance[[#This Row],[Writing Score]]),Student­­Performance[[#This Row],[Writing Score]],0)</f>
        <v>58</v>
      </c>
      <c r="Q805" s="4" t="str">
        <f>IF(Student­­Performance[[#This Row],[Math Score]]&gt;=50,"Pass","Fail")</f>
        <v>Fail</v>
      </c>
      <c r="R805" s="4" t="str">
        <f>IF(Student­­Performance[[#This Row],[Reading Score]]&gt;=50,"Pass","Fail")</f>
        <v>Pass</v>
      </c>
      <c r="S805" s="4" t="str">
        <f>IF(Student­­Performance[[#This Row],[Writing Score]]&gt;=50,"Pass","Fail")</f>
        <v>Pass</v>
      </c>
      <c r="T80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161</v>
      </c>
      <c r="U805" s="4" cm="1">
        <f t="array" ref="U805">IF(COUNT(F805:H805)=0,"", MAX(IF(ISNUMBER(F805:H805),F805:H805)) - MIN(IF(ISNUMBER(F805:H805),F805:H805)))</f>
        <v>19</v>
      </c>
      <c r="V805" s="4" t="str">
        <f>IF(U805="","",IF(U805&gt;25,"Outlier","Normal"))</f>
        <v>Normal</v>
      </c>
    </row>
    <row r="806" spans="1:22" x14ac:dyDescent="0.3">
      <c r="A806" s="1" t="s">
        <v>17</v>
      </c>
      <c r="B806" s="1" t="s">
        <v>26</v>
      </c>
      <c r="C806" s="1" t="s">
        <v>84</v>
      </c>
      <c r="D806" s="1" t="s">
        <v>11</v>
      </c>
      <c r="E806" s="1" t="s">
        <v>12</v>
      </c>
      <c r="F806" s="4">
        <v>84</v>
      </c>
      <c r="G806" s="4">
        <v>77</v>
      </c>
      <c r="H806" s="4" t="s">
        <v>90</v>
      </c>
      <c r="I806" s="4">
        <f>AVERAGE(Student­­Performance[[#This Row],[Math Score]],Student­­Performance[[#This Row],[Reading Score]],Student­­Performance[[#This Row],[Writing Score]])</f>
        <v>80.5</v>
      </c>
      <c r="J806" s="10" t="str">
        <f>IF(Student­­Performance[[#This Row],[Average Score]]&gt;=50,"Pass","Fail")</f>
        <v>Pass</v>
      </c>
      <c r="K80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-7</v>
      </c>
      <c r="L806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806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806" s="4">
        <f>IF(ISNUMBER(Student­­Performance[[#This Row],[Math Score]]),Student­­Performance[[#This Row],[Math Score]],0)</f>
        <v>84</v>
      </c>
      <c r="O806" s="4">
        <f>IF(ISNUMBER(Student­­Performance[[#This Row],[Reading Score]]),Student­­Performance[[#This Row],[Reading Score]],0)</f>
        <v>77</v>
      </c>
      <c r="P806" s="4">
        <f>IF(ISNUMBER(Student­­Performance[[#This Row],[Writing Score]]),Student­­Performance[[#This Row],[Writing Score]],0)</f>
        <v>0</v>
      </c>
      <c r="Q806" s="4" t="str">
        <f>IF(Student­­Performance[[#This Row],[Math Score]]&gt;=50,"Pass","Fail")</f>
        <v>Pass</v>
      </c>
      <c r="R806" s="4" t="str">
        <f>IF(Student­­Performance[[#This Row],[Reading Score]]&gt;=50,"Pass","Fail")</f>
        <v>Pass</v>
      </c>
      <c r="S806" s="4" t="str">
        <f>IF(Student­­Performance[[#This Row],[Writing Score]]&gt;=50,"Pass","Fail")</f>
        <v>Pass</v>
      </c>
      <c r="T80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161</v>
      </c>
      <c r="U806" s="4" cm="1">
        <f t="array" ref="U806">IF(COUNT(F806:H806)=0,"", MAX(IF(ISNUMBER(F806:H806),F806:H806)) - MIN(IF(ISNUMBER(F806:H806),F806:H806)))</f>
        <v>7</v>
      </c>
      <c r="V806" s="4" t="str">
        <f>IF(U806="","",IF(U806&gt;25,"Outlier","Normal"))</f>
        <v>Normal</v>
      </c>
    </row>
    <row r="807" spans="1:22" x14ac:dyDescent="0.3">
      <c r="A807" s="1" t="s">
        <v>8</v>
      </c>
      <c r="B807" s="1" t="s">
        <v>26</v>
      </c>
      <c r="C807" s="1" t="s">
        <v>86</v>
      </c>
      <c r="D807" s="1" t="s">
        <v>20</v>
      </c>
      <c r="E807" s="1" t="s">
        <v>12</v>
      </c>
      <c r="F807" s="4">
        <v>50</v>
      </c>
      <c r="G807" s="4">
        <v>56</v>
      </c>
      <c r="H807" s="4">
        <v>54</v>
      </c>
      <c r="I807" s="4">
        <f>AVERAGE(Student­­Performance[[#This Row],[Math Score]],Student­­Performance[[#This Row],[Reading Score]],Student­­Performance[[#This Row],[Writing Score]])</f>
        <v>53.333333333333336</v>
      </c>
      <c r="J807" s="10" t="str">
        <f>IF(Student­­Performance[[#This Row],[Average Score]]&gt;=50,"Pass","Fail")</f>
        <v>Pass</v>
      </c>
      <c r="K80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80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80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807" s="4">
        <f>IF(ISNUMBER(Student­­Performance[[#This Row],[Math Score]]),Student­­Performance[[#This Row],[Math Score]],0)</f>
        <v>50</v>
      </c>
      <c r="O807" s="4">
        <f>IF(ISNUMBER(Student­­Performance[[#This Row],[Reading Score]]),Student­­Performance[[#This Row],[Reading Score]],0)</f>
        <v>56</v>
      </c>
      <c r="P807" s="4">
        <f>IF(ISNUMBER(Student­­Performance[[#This Row],[Writing Score]]),Student­­Performance[[#This Row],[Writing Score]],0)</f>
        <v>54</v>
      </c>
      <c r="Q807" s="4" t="str">
        <f>IF(Student­­Performance[[#This Row],[Math Score]]&gt;=50,"Pass","Fail")</f>
        <v>Pass</v>
      </c>
      <c r="R807" s="4" t="str">
        <f>IF(Student­­Performance[[#This Row],[Reading Score]]&gt;=50,"Pass","Fail")</f>
        <v>Pass</v>
      </c>
      <c r="S807" s="4" t="str">
        <f>IF(Student­­Performance[[#This Row],[Writing Score]]&gt;=50,"Pass","Fail")</f>
        <v>Pass</v>
      </c>
      <c r="T80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160</v>
      </c>
      <c r="U807" s="4" cm="1">
        <f t="array" ref="U807">IF(COUNT(F807:H807)=0,"", MAX(IF(ISNUMBER(F807:H807),F807:H807)) - MIN(IF(ISNUMBER(F807:H807),F807:H807)))</f>
        <v>6</v>
      </c>
      <c r="V807" s="4" t="str">
        <f>IF(U807="","",IF(U807&gt;25,"Outlier","Normal"))</f>
        <v>Normal</v>
      </c>
    </row>
    <row r="808" spans="1:22" x14ac:dyDescent="0.3">
      <c r="A808" s="1" t="s">
        <v>8</v>
      </c>
      <c r="B808" s="1" t="s">
        <v>13</v>
      </c>
      <c r="C808" s="1" t="s">
        <v>86</v>
      </c>
      <c r="D808" s="1" t="s">
        <v>11</v>
      </c>
      <c r="E808" s="1" t="s">
        <v>12</v>
      </c>
      <c r="F808" s="4">
        <v>39</v>
      </c>
      <c r="G808" s="4">
        <v>64</v>
      </c>
      <c r="H808" s="4">
        <v>57</v>
      </c>
      <c r="I808" s="4">
        <f>AVERAGE(Student­­Performance[[#This Row],[Math Score]],Student­­Performance[[#This Row],[Reading Score]],Student­­Performance[[#This Row],[Writing Score]])</f>
        <v>53.333333333333336</v>
      </c>
      <c r="J808" s="10" t="str">
        <f>IF(Student­­Performance[[#This Row],[Average Score]]&gt;=50,"Pass","Fail")</f>
        <v>Pass</v>
      </c>
      <c r="K80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25</v>
      </c>
      <c r="L80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80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18</v>
      </c>
      <c r="N808" s="4">
        <f>IF(ISNUMBER(Student­­Performance[[#This Row],[Math Score]]),Student­­Performance[[#This Row],[Math Score]],0)</f>
        <v>39</v>
      </c>
      <c r="O808" s="4">
        <f>IF(ISNUMBER(Student­­Performance[[#This Row],[Reading Score]]),Student­­Performance[[#This Row],[Reading Score]],0)</f>
        <v>64</v>
      </c>
      <c r="P808" s="4">
        <f>IF(ISNUMBER(Student­­Performance[[#This Row],[Writing Score]]),Student­­Performance[[#This Row],[Writing Score]],0)</f>
        <v>57</v>
      </c>
      <c r="Q808" s="4" t="str">
        <f>IF(Student­­Performance[[#This Row],[Math Score]]&gt;=50,"Pass","Fail")</f>
        <v>Fail</v>
      </c>
      <c r="R808" s="4" t="str">
        <f>IF(Student­­Performance[[#This Row],[Reading Score]]&gt;=50,"Pass","Fail")</f>
        <v>Pass</v>
      </c>
      <c r="S808" s="4" t="str">
        <f>IF(Student­­Performance[[#This Row],[Writing Score]]&gt;=50,"Pass","Fail")</f>
        <v>Pass</v>
      </c>
      <c r="T80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160</v>
      </c>
      <c r="U808" s="4" cm="1">
        <f t="array" ref="U808">IF(COUNT(F808:H808)=0,"", MAX(IF(ISNUMBER(F808:H808),F808:H808)) - MIN(IF(ISNUMBER(F808:H808),F808:H808)))</f>
        <v>25</v>
      </c>
      <c r="V808" s="4" t="str">
        <f>IF(U808="","",IF(U808&gt;25,"Outlier","Normal"))</f>
        <v>Normal</v>
      </c>
    </row>
    <row r="809" spans="1:22" x14ac:dyDescent="0.3">
      <c r="A809" s="1" t="s">
        <v>17</v>
      </c>
      <c r="B809" s="1" t="s">
        <v>13</v>
      </c>
      <c r="C809" s="1" t="s">
        <v>88</v>
      </c>
      <c r="D809" s="1" t="s">
        <v>20</v>
      </c>
      <c r="E809" s="1" t="s">
        <v>15</v>
      </c>
      <c r="F809" s="4">
        <v>51</v>
      </c>
      <c r="G809" s="4">
        <v>56</v>
      </c>
      <c r="H809" s="4">
        <v>53</v>
      </c>
      <c r="I809" s="4">
        <f>AVERAGE(Student­­Performance[[#This Row],[Math Score]],Student­­Performance[[#This Row],[Reading Score]],Student­­Performance[[#This Row],[Writing Score]])</f>
        <v>53.333333333333336</v>
      </c>
      <c r="J809" s="10" t="str">
        <f>IF(Student­­Performance[[#This Row],[Average Score]]&gt;=50,"Pass","Fail")</f>
        <v>Pass</v>
      </c>
      <c r="K80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80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80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809" s="4">
        <f>IF(ISNUMBER(Student­­Performance[[#This Row],[Math Score]]),Student­­Performance[[#This Row],[Math Score]],0)</f>
        <v>51</v>
      </c>
      <c r="O809" s="4">
        <f>IF(ISNUMBER(Student­­Performance[[#This Row],[Reading Score]]),Student­­Performance[[#This Row],[Reading Score]],0)</f>
        <v>56</v>
      </c>
      <c r="P809" s="4">
        <f>IF(ISNUMBER(Student­­Performance[[#This Row],[Writing Score]]),Student­­Performance[[#This Row],[Writing Score]],0)</f>
        <v>53</v>
      </c>
      <c r="Q809" s="4" t="str">
        <f>IF(Student­­Performance[[#This Row],[Math Score]]&gt;=50,"Pass","Fail")</f>
        <v>Pass</v>
      </c>
      <c r="R809" s="4" t="str">
        <f>IF(Student­­Performance[[#This Row],[Reading Score]]&gt;=50,"Pass","Fail")</f>
        <v>Pass</v>
      </c>
      <c r="S809" s="4" t="str">
        <f>IF(Student­­Performance[[#This Row],[Writing Score]]&gt;=50,"Pass","Fail")</f>
        <v>Pass</v>
      </c>
      <c r="T80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160</v>
      </c>
      <c r="U809" s="4" cm="1">
        <f t="array" ref="U809">IF(COUNT(F809:H809)=0,"", MAX(IF(ISNUMBER(F809:H809),F809:H809)) - MIN(IF(ISNUMBER(F809:H809),F809:H809)))</f>
        <v>5</v>
      </c>
      <c r="V809" s="4" t="str">
        <f>IF(U809="","",IF(U809&gt;25,"Outlier","Normal"))</f>
        <v>Normal</v>
      </c>
    </row>
    <row r="810" spans="1:22" x14ac:dyDescent="0.3">
      <c r="A810" s="1" t="s">
        <v>8</v>
      </c>
      <c r="B810" s="1" t="s">
        <v>21</v>
      </c>
      <c r="C810" s="1" t="s">
        <v>88</v>
      </c>
      <c r="D810" s="1" t="s">
        <v>11</v>
      </c>
      <c r="E810" s="1" t="s">
        <v>12</v>
      </c>
      <c r="F810" s="4">
        <v>48</v>
      </c>
      <c r="G810" s="4">
        <v>58</v>
      </c>
      <c r="H810" s="4">
        <v>54</v>
      </c>
      <c r="I810" s="4">
        <f>AVERAGE(Student­­Performance[[#This Row],[Math Score]],Student­­Performance[[#This Row],[Reading Score]],Student­­Performance[[#This Row],[Writing Score]])</f>
        <v>53.333333333333336</v>
      </c>
      <c r="J810" s="10" t="str">
        <f>IF(Student­­Performance[[#This Row],[Average Score]]&gt;=50,"Pass","Fail")</f>
        <v>Pass</v>
      </c>
      <c r="K81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81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81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810" s="4">
        <f>IF(ISNUMBER(Student­­Performance[[#This Row],[Math Score]]),Student­­Performance[[#This Row],[Math Score]],0)</f>
        <v>48</v>
      </c>
      <c r="O810" s="4">
        <f>IF(ISNUMBER(Student­­Performance[[#This Row],[Reading Score]]),Student­­Performance[[#This Row],[Reading Score]],0)</f>
        <v>58</v>
      </c>
      <c r="P810" s="4">
        <f>IF(ISNUMBER(Student­­Performance[[#This Row],[Writing Score]]),Student­­Performance[[#This Row],[Writing Score]],0)</f>
        <v>54</v>
      </c>
      <c r="Q810" s="4" t="str">
        <f>IF(Student­­Performance[[#This Row],[Math Score]]&gt;=50,"Pass","Fail")</f>
        <v>Fail</v>
      </c>
      <c r="R810" s="4" t="str">
        <f>IF(Student­­Performance[[#This Row],[Reading Score]]&gt;=50,"Pass","Fail")</f>
        <v>Pass</v>
      </c>
      <c r="S810" s="4" t="str">
        <f>IF(Student­­Performance[[#This Row],[Writing Score]]&gt;=50,"Pass","Fail")</f>
        <v>Pass</v>
      </c>
      <c r="T81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160</v>
      </c>
      <c r="U810" s="4" cm="1">
        <f t="array" ref="U810">IF(COUNT(F810:H810)=0,"", MAX(IF(ISNUMBER(F810:H810),F810:H810)) - MIN(IF(ISNUMBER(F810:H810),F810:H810)))</f>
        <v>10</v>
      </c>
      <c r="V810" s="4" t="str">
        <f>IF(U810="","",IF(U810&gt;25,"Outlier","Normal"))</f>
        <v>Normal</v>
      </c>
    </row>
    <row r="811" spans="1:22" x14ac:dyDescent="0.3">
      <c r="A811" s="1" t="s">
        <v>17</v>
      </c>
      <c r="B811" s="1" t="s">
        <v>21</v>
      </c>
      <c r="C811" s="1" t="s">
        <v>86</v>
      </c>
      <c r="D811" s="1" t="s">
        <v>20</v>
      </c>
      <c r="E811" s="1" t="s">
        <v>12</v>
      </c>
      <c r="F811" s="4">
        <v>52</v>
      </c>
      <c r="G811" s="4">
        <v>57</v>
      </c>
      <c r="H811" s="4">
        <v>50</v>
      </c>
      <c r="I811" s="4">
        <f>AVERAGE(Student­­Performance[[#This Row],[Math Score]],Student­­Performance[[#This Row],[Reading Score]],Student­­Performance[[#This Row],[Writing Score]])</f>
        <v>53</v>
      </c>
      <c r="J811" s="10" t="str">
        <f>IF(Student­­Performance[[#This Row],[Average Score]]&gt;=50,"Pass","Fail")</f>
        <v>Pass</v>
      </c>
      <c r="K81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81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81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811" s="4">
        <f>IF(ISNUMBER(Student­­Performance[[#This Row],[Math Score]]),Student­­Performance[[#This Row],[Math Score]],0)</f>
        <v>52</v>
      </c>
      <c r="O811" s="4">
        <f>IF(ISNUMBER(Student­­Performance[[#This Row],[Reading Score]]),Student­­Performance[[#This Row],[Reading Score]],0)</f>
        <v>57</v>
      </c>
      <c r="P811" s="4">
        <f>IF(ISNUMBER(Student­­Performance[[#This Row],[Writing Score]]),Student­­Performance[[#This Row],[Writing Score]],0)</f>
        <v>50</v>
      </c>
      <c r="Q811" s="4" t="str">
        <f>IF(Student­­Performance[[#This Row],[Math Score]]&gt;=50,"Pass","Fail")</f>
        <v>Pass</v>
      </c>
      <c r="R811" s="4" t="str">
        <f>IF(Student­­Performance[[#This Row],[Reading Score]]&gt;=50,"Pass","Fail")</f>
        <v>Pass</v>
      </c>
      <c r="S811" s="4" t="str">
        <f>IF(Student­­Performance[[#This Row],[Writing Score]]&gt;=50,"Pass","Fail")</f>
        <v>Pass</v>
      </c>
      <c r="T81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159</v>
      </c>
      <c r="U811" s="4" cm="1">
        <f t="array" ref="U811">IF(COUNT(F811:H811)=0,"", MAX(IF(ISNUMBER(F811:H811),F811:H811)) - MIN(IF(ISNUMBER(F811:H811),F811:H811)))</f>
        <v>7</v>
      </c>
      <c r="V811" s="4" t="str">
        <f>IF(U811="","",IF(U811&gt;25,"Outlier","Normal"))</f>
        <v>Normal</v>
      </c>
    </row>
    <row r="812" spans="1:22" x14ac:dyDescent="0.3">
      <c r="A812" s="1" t="s">
        <v>17</v>
      </c>
      <c r="B812" s="1" t="s">
        <v>21</v>
      </c>
      <c r="C812" s="1" t="s">
        <v>86</v>
      </c>
      <c r="D812" s="1" t="s">
        <v>20</v>
      </c>
      <c r="E812" s="1" t="s">
        <v>12</v>
      </c>
      <c r="F812" s="4">
        <v>81</v>
      </c>
      <c r="G812" s="4" t="s">
        <v>90</v>
      </c>
      <c r="H812" s="4">
        <v>78</v>
      </c>
      <c r="I812" s="4">
        <f>AVERAGE(Student­­Performance[[#This Row],[Math Score]],Student­­Performance[[#This Row],[Reading Score]],Student­­Performance[[#This Row],[Writing Score]])</f>
        <v>79.5</v>
      </c>
      <c r="J812" s="10" t="str">
        <f>IF(Student­­Performance[[#This Row],[Average Score]]&gt;=50,"Pass","Fail")</f>
        <v>Pass</v>
      </c>
      <c r="K812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812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81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812" s="4">
        <f>IF(ISNUMBER(Student­­Performance[[#This Row],[Math Score]]),Student­­Performance[[#This Row],[Math Score]],0)</f>
        <v>81</v>
      </c>
      <c r="O812" s="4">
        <f>IF(ISNUMBER(Student­­Performance[[#This Row],[Reading Score]]),Student­­Performance[[#This Row],[Reading Score]],0)</f>
        <v>0</v>
      </c>
      <c r="P812" s="4">
        <f>IF(ISNUMBER(Student­­Performance[[#This Row],[Writing Score]]),Student­­Performance[[#This Row],[Writing Score]],0)</f>
        <v>78</v>
      </c>
      <c r="Q812" s="4" t="str">
        <f>IF(Student­­Performance[[#This Row],[Math Score]]&gt;=50,"Pass","Fail")</f>
        <v>Pass</v>
      </c>
      <c r="R812" s="4" t="str">
        <f>IF(Student­­Performance[[#This Row],[Reading Score]]&gt;=50,"Pass","Fail")</f>
        <v>Pass</v>
      </c>
      <c r="S812" s="4" t="str">
        <f>IF(Student­­Performance[[#This Row],[Writing Score]]&gt;=50,"Pass","Fail")</f>
        <v>Pass</v>
      </c>
      <c r="T81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159</v>
      </c>
      <c r="U812" s="4" cm="1">
        <f t="array" ref="U812">IF(COUNT(F812:H812)=0,"", MAX(IF(ISNUMBER(F812:H812),F812:H812)) - MIN(IF(ISNUMBER(F812:H812),F812:H812)))</f>
        <v>3</v>
      </c>
      <c r="V812" s="4" t="str">
        <f>IF(U812="","",IF(U812&gt;25,"Outlier","Normal"))</f>
        <v>Normal</v>
      </c>
    </row>
    <row r="813" spans="1:22" x14ac:dyDescent="0.3">
      <c r="A813" s="1" t="s">
        <v>8</v>
      </c>
      <c r="B813" s="1" t="s">
        <v>21</v>
      </c>
      <c r="C813" s="1" t="s">
        <v>86</v>
      </c>
      <c r="D813" s="1" t="s">
        <v>20</v>
      </c>
      <c r="E813" s="1" t="s">
        <v>12</v>
      </c>
      <c r="F813" s="4">
        <v>46</v>
      </c>
      <c r="G813" s="4">
        <v>56</v>
      </c>
      <c r="H813" s="4">
        <v>57</v>
      </c>
      <c r="I813" s="4">
        <f>AVERAGE(Student­­Performance[[#This Row],[Math Score]],Student­­Performance[[#This Row],[Reading Score]],Student­­Performance[[#This Row],[Writing Score]])</f>
        <v>53</v>
      </c>
      <c r="J813" s="10" t="str">
        <f>IF(Student­­Performance[[#This Row],[Average Score]]&gt;=50,"Pass","Fail")</f>
        <v>Pass</v>
      </c>
      <c r="K81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81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81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813" s="4">
        <f>IF(ISNUMBER(Student­­Performance[[#This Row],[Math Score]]),Student­­Performance[[#This Row],[Math Score]],0)</f>
        <v>46</v>
      </c>
      <c r="O813" s="4">
        <f>IF(ISNUMBER(Student­­Performance[[#This Row],[Reading Score]]),Student­­Performance[[#This Row],[Reading Score]],0)</f>
        <v>56</v>
      </c>
      <c r="P813" s="4">
        <f>IF(ISNUMBER(Student­­Performance[[#This Row],[Writing Score]]),Student­­Performance[[#This Row],[Writing Score]],0)</f>
        <v>57</v>
      </c>
      <c r="Q813" s="4" t="str">
        <f>IF(Student­­Performance[[#This Row],[Math Score]]&gt;=50,"Pass","Fail")</f>
        <v>Fail</v>
      </c>
      <c r="R813" s="4" t="str">
        <f>IF(Student­­Performance[[#This Row],[Reading Score]]&gt;=50,"Pass","Fail")</f>
        <v>Pass</v>
      </c>
      <c r="S813" s="4" t="str">
        <f>IF(Student­­Performance[[#This Row],[Writing Score]]&gt;=50,"Pass","Fail")</f>
        <v>Pass</v>
      </c>
      <c r="T81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159</v>
      </c>
      <c r="U813" s="4" cm="1">
        <f t="array" ref="U813">IF(COUNT(F813:H813)=0,"", MAX(IF(ISNUMBER(F813:H813),F813:H813)) - MIN(IF(ISNUMBER(F813:H813),F813:H813)))</f>
        <v>11</v>
      </c>
      <c r="V813" s="4" t="str">
        <f>IF(U813="","",IF(U813&gt;25,"Outlier","Normal"))</f>
        <v>Normal</v>
      </c>
    </row>
    <row r="814" spans="1:22" x14ac:dyDescent="0.3">
      <c r="A814" s="1" t="s">
        <v>8</v>
      </c>
      <c r="B814" s="1" t="s">
        <v>9</v>
      </c>
      <c r="C814" s="1" t="s">
        <v>87</v>
      </c>
      <c r="D814" s="1" t="s">
        <v>20</v>
      </c>
      <c r="E814" s="1" t="s">
        <v>15</v>
      </c>
      <c r="F814" s="4">
        <v>46</v>
      </c>
      <c r="G814" s="4">
        <v>54</v>
      </c>
      <c r="H814" s="4">
        <v>58</v>
      </c>
      <c r="I814" s="4">
        <f>AVERAGE(Student­­Performance[[#This Row],[Math Score]],Student­­Performance[[#This Row],[Reading Score]],Student­­Performance[[#This Row],[Writing Score]])</f>
        <v>52.666666666666664</v>
      </c>
      <c r="J814" s="10" t="str">
        <f>IF(Student­­Performance[[#This Row],[Average Score]]&gt;=50,"Pass","Fail")</f>
        <v>Pass</v>
      </c>
      <c r="K81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81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81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814" s="4">
        <f>IF(ISNUMBER(Student­­Performance[[#This Row],[Math Score]]),Student­­Performance[[#This Row],[Math Score]],0)</f>
        <v>46</v>
      </c>
      <c r="O814" s="4">
        <f>IF(ISNUMBER(Student­­Performance[[#This Row],[Reading Score]]),Student­­Performance[[#This Row],[Reading Score]],0)</f>
        <v>54</v>
      </c>
      <c r="P814" s="4">
        <f>IF(ISNUMBER(Student­­Performance[[#This Row],[Writing Score]]),Student­­Performance[[#This Row],[Writing Score]],0)</f>
        <v>58</v>
      </c>
      <c r="Q814" s="4" t="str">
        <f>IF(Student­­Performance[[#This Row],[Math Score]]&gt;=50,"Pass","Fail")</f>
        <v>Fail</v>
      </c>
      <c r="R814" s="4" t="str">
        <f>IF(Student­­Performance[[#This Row],[Reading Score]]&gt;=50,"Pass","Fail")</f>
        <v>Pass</v>
      </c>
      <c r="S814" s="4" t="str">
        <f>IF(Student­­Performance[[#This Row],[Writing Score]]&gt;=50,"Pass","Fail")</f>
        <v>Pass</v>
      </c>
      <c r="T81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158</v>
      </c>
      <c r="U814" s="4" cm="1">
        <f t="array" ref="U814">IF(COUNT(F814:H814)=0,"", MAX(IF(ISNUMBER(F814:H814),F814:H814)) - MIN(IF(ISNUMBER(F814:H814),F814:H814)))</f>
        <v>12</v>
      </c>
      <c r="V814" s="4" t="str">
        <f>IF(U814="","",IF(U814&gt;25,"Outlier","Normal"))</f>
        <v>Normal</v>
      </c>
    </row>
    <row r="815" spans="1:22" x14ac:dyDescent="0.3">
      <c r="A815" s="1" t="s">
        <v>17</v>
      </c>
      <c r="B815" s="1" t="s">
        <v>21</v>
      </c>
      <c r="C815" s="1" t="s">
        <v>87</v>
      </c>
      <c r="D815" s="1" t="s">
        <v>11</v>
      </c>
      <c r="E815" s="1" t="s">
        <v>12</v>
      </c>
      <c r="F815" s="4">
        <v>54</v>
      </c>
      <c r="G815" s="4">
        <v>52</v>
      </c>
      <c r="H815" s="4">
        <v>52</v>
      </c>
      <c r="I815" s="4">
        <f>AVERAGE(Student­­Performance[[#This Row],[Math Score]],Student­­Performance[[#This Row],[Reading Score]],Student­­Performance[[#This Row],[Writing Score]])</f>
        <v>52.666666666666664</v>
      </c>
      <c r="J815" s="10" t="str">
        <f>IF(Student­­Performance[[#This Row],[Average Score]]&gt;=50,"Pass","Fail")</f>
        <v>Pass</v>
      </c>
      <c r="K81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</v>
      </c>
      <c r="L81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81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815" s="4">
        <f>IF(ISNUMBER(Student­­Performance[[#This Row],[Math Score]]),Student­­Performance[[#This Row],[Math Score]],0)</f>
        <v>54</v>
      </c>
      <c r="O815" s="4">
        <f>IF(ISNUMBER(Student­­Performance[[#This Row],[Reading Score]]),Student­­Performance[[#This Row],[Reading Score]],0)</f>
        <v>52</v>
      </c>
      <c r="P815" s="4">
        <f>IF(ISNUMBER(Student­­Performance[[#This Row],[Writing Score]]),Student­­Performance[[#This Row],[Writing Score]],0)</f>
        <v>52</v>
      </c>
      <c r="Q815" s="4" t="str">
        <f>IF(Student­­Performance[[#This Row],[Math Score]]&gt;=50,"Pass","Fail")</f>
        <v>Pass</v>
      </c>
      <c r="R815" s="4" t="str">
        <f>IF(Student­­Performance[[#This Row],[Reading Score]]&gt;=50,"Pass","Fail")</f>
        <v>Pass</v>
      </c>
      <c r="S815" s="4" t="str">
        <f>IF(Student­­Performance[[#This Row],[Writing Score]]&gt;=50,"Pass","Fail")</f>
        <v>Pass</v>
      </c>
      <c r="T81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158</v>
      </c>
      <c r="U815" s="4" cm="1">
        <f t="array" ref="U815">IF(COUNT(F815:H815)=0,"", MAX(IF(ISNUMBER(F815:H815),F815:H815)) - MIN(IF(ISNUMBER(F815:H815),F815:H815)))</f>
        <v>2</v>
      </c>
      <c r="V815" s="4" t="str">
        <f>IF(U815="","",IF(U815&gt;25,"Outlier","Normal"))</f>
        <v>Normal</v>
      </c>
    </row>
    <row r="816" spans="1:22" x14ac:dyDescent="0.3">
      <c r="A816" s="1" t="s">
        <v>8</v>
      </c>
      <c r="B816" s="1" t="s">
        <v>21</v>
      </c>
      <c r="C816" s="1" t="s">
        <v>86</v>
      </c>
      <c r="D816" s="1" t="s">
        <v>20</v>
      </c>
      <c r="E816" s="1" t="s">
        <v>12</v>
      </c>
      <c r="F816" s="4">
        <v>47</v>
      </c>
      <c r="G816" s="4">
        <v>53</v>
      </c>
      <c r="H816" s="4">
        <v>58</v>
      </c>
      <c r="I816" s="4">
        <f>AVERAGE(Student­­Performance[[#This Row],[Math Score]],Student­­Performance[[#This Row],[Reading Score]],Student­­Performance[[#This Row],[Writing Score]])</f>
        <v>52.666666666666664</v>
      </c>
      <c r="J816" s="10" t="str">
        <f>IF(Student­­Performance[[#This Row],[Average Score]]&gt;=50,"Pass","Fail")</f>
        <v>Pass</v>
      </c>
      <c r="K81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81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81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816" s="4">
        <f>IF(ISNUMBER(Student­­Performance[[#This Row],[Math Score]]),Student­­Performance[[#This Row],[Math Score]],0)</f>
        <v>47</v>
      </c>
      <c r="O816" s="4">
        <f>IF(ISNUMBER(Student­­Performance[[#This Row],[Reading Score]]),Student­­Performance[[#This Row],[Reading Score]],0)</f>
        <v>53</v>
      </c>
      <c r="P816" s="4">
        <f>IF(ISNUMBER(Student­­Performance[[#This Row],[Writing Score]]),Student­­Performance[[#This Row],[Writing Score]],0)</f>
        <v>58</v>
      </c>
      <c r="Q816" s="4" t="str">
        <f>IF(Student­­Performance[[#This Row],[Math Score]]&gt;=50,"Pass","Fail")</f>
        <v>Fail</v>
      </c>
      <c r="R816" s="4" t="str">
        <f>IF(Student­­Performance[[#This Row],[Reading Score]]&gt;=50,"Pass","Fail")</f>
        <v>Pass</v>
      </c>
      <c r="S816" s="4" t="str">
        <f>IF(Student­­Performance[[#This Row],[Writing Score]]&gt;=50,"Pass","Fail")</f>
        <v>Pass</v>
      </c>
      <c r="T81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158</v>
      </c>
      <c r="U816" s="4" cm="1">
        <f t="array" ref="U816">IF(COUNT(F816:H816)=0,"", MAX(IF(ISNUMBER(F816:H816),F816:H816)) - MIN(IF(ISNUMBER(F816:H816),F816:H816)))</f>
        <v>11</v>
      </c>
      <c r="V816" s="4" t="str">
        <f>IF(U816="","",IF(U816&gt;25,"Outlier","Normal"))</f>
        <v>Normal</v>
      </c>
    </row>
    <row r="817" spans="1:22" x14ac:dyDescent="0.3">
      <c r="A817" s="1" t="s">
        <v>8</v>
      </c>
      <c r="B817" s="1" t="s">
        <v>21</v>
      </c>
      <c r="C817" s="1" t="s">
        <v>87</v>
      </c>
      <c r="D817" s="1" t="s">
        <v>20</v>
      </c>
      <c r="E817" s="1" t="s">
        <v>12</v>
      </c>
      <c r="F817" s="4">
        <v>49</v>
      </c>
      <c r="G817" s="4">
        <v>57</v>
      </c>
      <c r="H817" s="4">
        <v>52</v>
      </c>
      <c r="I817" s="4">
        <f>AVERAGE(Student­­Performance[[#This Row],[Math Score]],Student­­Performance[[#This Row],[Reading Score]],Student­­Performance[[#This Row],[Writing Score]])</f>
        <v>52.666666666666664</v>
      </c>
      <c r="J817" s="10" t="str">
        <f>IF(Student­­Performance[[#This Row],[Average Score]]&gt;=50,"Pass","Fail")</f>
        <v>Pass</v>
      </c>
      <c r="K81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81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81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817" s="4">
        <f>IF(ISNUMBER(Student­­Performance[[#This Row],[Math Score]]),Student­­Performance[[#This Row],[Math Score]],0)</f>
        <v>49</v>
      </c>
      <c r="O817" s="4">
        <f>IF(ISNUMBER(Student­­Performance[[#This Row],[Reading Score]]),Student­­Performance[[#This Row],[Reading Score]],0)</f>
        <v>57</v>
      </c>
      <c r="P817" s="4">
        <f>IF(ISNUMBER(Student­­Performance[[#This Row],[Writing Score]]),Student­­Performance[[#This Row],[Writing Score]],0)</f>
        <v>52</v>
      </c>
      <c r="Q817" s="4" t="str">
        <f>IF(Student­­Performance[[#This Row],[Math Score]]&gt;=50,"Pass","Fail")</f>
        <v>Fail</v>
      </c>
      <c r="R817" s="4" t="str">
        <f>IF(Student­­Performance[[#This Row],[Reading Score]]&gt;=50,"Pass","Fail")</f>
        <v>Pass</v>
      </c>
      <c r="S817" s="4" t="str">
        <f>IF(Student­­Performance[[#This Row],[Writing Score]]&gt;=50,"Pass","Fail")</f>
        <v>Pass</v>
      </c>
      <c r="T81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158</v>
      </c>
      <c r="U817" s="4" cm="1">
        <f t="array" ref="U817">IF(COUNT(F817:H817)=0,"", MAX(IF(ISNUMBER(F817:H817),F817:H817)) - MIN(IF(ISNUMBER(F817:H817),F817:H817)))</f>
        <v>8</v>
      </c>
      <c r="V817" s="4" t="str">
        <f>IF(U817="","",IF(U817&gt;25,"Outlier","Normal"))</f>
        <v>Normal</v>
      </c>
    </row>
    <row r="818" spans="1:22" x14ac:dyDescent="0.3">
      <c r="A818" s="1" t="s">
        <v>17</v>
      </c>
      <c r="B818" s="1" t="s">
        <v>9</v>
      </c>
      <c r="C818" s="1" t="s">
        <v>87</v>
      </c>
      <c r="D818" s="1" t="s">
        <v>20</v>
      </c>
      <c r="E818" s="1" t="s">
        <v>12</v>
      </c>
      <c r="F818" s="4">
        <v>63</v>
      </c>
      <c r="G818" s="4">
        <v>48</v>
      </c>
      <c r="H818" s="4">
        <v>47</v>
      </c>
      <c r="I818" s="4">
        <f>AVERAGE(Student­­Performance[[#This Row],[Math Score]],Student­­Performance[[#This Row],[Reading Score]],Student­­Performance[[#This Row],[Writing Score]])</f>
        <v>52.666666666666664</v>
      </c>
      <c r="J818" s="10" t="str">
        <f>IF(Student­­Performance[[#This Row],[Average Score]]&gt;=50,"Pass","Fail")</f>
        <v>Pass</v>
      </c>
      <c r="K81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-15</v>
      </c>
      <c r="L81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81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-16</v>
      </c>
      <c r="N818" s="4">
        <f>IF(ISNUMBER(Student­­Performance[[#This Row],[Math Score]]),Student­­Performance[[#This Row],[Math Score]],0)</f>
        <v>63</v>
      </c>
      <c r="O818" s="4">
        <f>IF(ISNUMBER(Student­­Performance[[#This Row],[Reading Score]]),Student­­Performance[[#This Row],[Reading Score]],0)</f>
        <v>48</v>
      </c>
      <c r="P818" s="4">
        <f>IF(ISNUMBER(Student­­Performance[[#This Row],[Writing Score]]),Student­­Performance[[#This Row],[Writing Score]],0)</f>
        <v>47</v>
      </c>
      <c r="Q818" s="4" t="str">
        <f>IF(Student­­Performance[[#This Row],[Math Score]]&gt;=50,"Pass","Fail")</f>
        <v>Pass</v>
      </c>
      <c r="R818" s="4" t="str">
        <f>IF(Student­­Performance[[#This Row],[Reading Score]]&gt;=50,"Pass","Fail")</f>
        <v>Fail</v>
      </c>
      <c r="S818" s="4" t="str">
        <f>IF(Student­­Performance[[#This Row],[Writing Score]]&gt;=50,"Pass","Fail")</f>
        <v>Fail</v>
      </c>
      <c r="T81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158</v>
      </c>
      <c r="U818" s="4" cm="1">
        <f t="array" ref="U818">IF(COUNT(F818:H818)=0,"", MAX(IF(ISNUMBER(F818:H818),F818:H818)) - MIN(IF(ISNUMBER(F818:H818),F818:H818)))</f>
        <v>16</v>
      </c>
      <c r="V818" s="4" t="str">
        <f>IF(U818="","",IF(U818&gt;25,"Outlier","Normal"))</f>
        <v>Normal</v>
      </c>
    </row>
    <row r="819" spans="1:22" x14ac:dyDescent="0.3">
      <c r="A819" s="1" t="s">
        <v>8</v>
      </c>
      <c r="B819" s="1" t="s">
        <v>13</v>
      </c>
      <c r="C819" s="1" t="s">
        <v>88</v>
      </c>
      <c r="D819" s="1" t="s">
        <v>20</v>
      </c>
      <c r="E819" s="1" t="s">
        <v>12</v>
      </c>
      <c r="F819" s="4">
        <v>48</v>
      </c>
      <c r="G819" s="4">
        <v>58</v>
      </c>
      <c r="H819" s="4">
        <v>52</v>
      </c>
      <c r="I819" s="4">
        <f>AVERAGE(Student­­Performance[[#This Row],[Math Score]],Student­­Performance[[#This Row],[Reading Score]],Student­­Performance[[#This Row],[Writing Score]])</f>
        <v>52.666666666666664</v>
      </c>
      <c r="J819" s="10" t="str">
        <f>IF(Student­­Performance[[#This Row],[Average Score]]&gt;=50,"Pass","Fail")</f>
        <v>Pass</v>
      </c>
      <c r="K81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81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81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819" s="4">
        <f>IF(ISNUMBER(Student­­Performance[[#This Row],[Math Score]]),Student­­Performance[[#This Row],[Math Score]],0)</f>
        <v>48</v>
      </c>
      <c r="O819" s="4">
        <f>IF(ISNUMBER(Student­­Performance[[#This Row],[Reading Score]]),Student­­Performance[[#This Row],[Reading Score]],0)</f>
        <v>58</v>
      </c>
      <c r="P819" s="4">
        <f>IF(ISNUMBER(Student­­Performance[[#This Row],[Writing Score]]),Student­­Performance[[#This Row],[Writing Score]],0)</f>
        <v>52</v>
      </c>
      <c r="Q819" s="4" t="str">
        <f>IF(Student­­Performance[[#This Row],[Math Score]]&gt;=50,"Pass","Fail")</f>
        <v>Fail</v>
      </c>
      <c r="R819" s="4" t="str">
        <f>IF(Student­­Performance[[#This Row],[Reading Score]]&gt;=50,"Pass","Fail")</f>
        <v>Pass</v>
      </c>
      <c r="S819" s="4" t="str">
        <f>IF(Student­­Performance[[#This Row],[Writing Score]]&gt;=50,"Pass","Fail")</f>
        <v>Pass</v>
      </c>
      <c r="T81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158</v>
      </c>
      <c r="U819" s="4" cm="1">
        <f t="array" ref="U819">IF(COUNT(F819:H819)=0,"", MAX(IF(ISNUMBER(F819:H819),F819:H819)) - MIN(IF(ISNUMBER(F819:H819),F819:H819)))</f>
        <v>10</v>
      </c>
      <c r="V819" s="4" t="str">
        <f>IF(U819="","",IF(U819&gt;25,"Outlier","Normal"))</f>
        <v>Normal</v>
      </c>
    </row>
    <row r="820" spans="1:22" x14ac:dyDescent="0.3">
      <c r="A820" s="1" t="s">
        <v>8</v>
      </c>
      <c r="B820" s="1" t="s">
        <v>13</v>
      </c>
      <c r="C820" s="1" t="s">
        <v>84</v>
      </c>
      <c r="D820" s="1" t="s">
        <v>11</v>
      </c>
      <c r="E820" s="1" t="s">
        <v>15</v>
      </c>
      <c r="F820" s="4">
        <v>69</v>
      </c>
      <c r="G820" s="4" t="s">
        <v>90</v>
      </c>
      <c r="H820" s="4">
        <v>88</v>
      </c>
      <c r="I820" s="4">
        <f>AVERAGE(Student­­Performance[[#This Row],[Math Score]],Student­­Performance[[#This Row],[Reading Score]],Student­­Performance[[#This Row],[Writing Score]])</f>
        <v>78.5</v>
      </c>
      <c r="J820" s="10" t="str">
        <f>IF(Student­­Performance[[#This Row],[Average Score]]&gt;=50,"Pass","Fail")</f>
        <v>Pass</v>
      </c>
      <c r="K820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820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82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19</v>
      </c>
      <c r="N820" s="4">
        <f>IF(ISNUMBER(Student­­Performance[[#This Row],[Math Score]]),Student­­Performance[[#This Row],[Math Score]],0)</f>
        <v>69</v>
      </c>
      <c r="O820" s="4">
        <f>IF(ISNUMBER(Student­­Performance[[#This Row],[Reading Score]]),Student­­Performance[[#This Row],[Reading Score]],0)</f>
        <v>0</v>
      </c>
      <c r="P820" s="4">
        <f>IF(ISNUMBER(Student­­Performance[[#This Row],[Writing Score]]),Student­­Performance[[#This Row],[Writing Score]],0)</f>
        <v>88</v>
      </c>
      <c r="Q820" s="4" t="str">
        <f>IF(Student­­Performance[[#This Row],[Math Score]]&gt;=50,"Pass","Fail")</f>
        <v>Pass</v>
      </c>
      <c r="R820" s="4" t="str">
        <f>IF(Student­­Performance[[#This Row],[Reading Score]]&gt;=50,"Pass","Fail")</f>
        <v>Pass</v>
      </c>
      <c r="S820" s="4" t="str">
        <f>IF(Student­­Performance[[#This Row],[Writing Score]]&gt;=50,"Pass","Fail")</f>
        <v>Pass</v>
      </c>
      <c r="T82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157</v>
      </c>
      <c r="U820" s="4" cm="1">
        <f t="array" ref="U820">IF(COUNT(F820:H820)=0,"", MAX(IF(ISNUMBER(F820:H820),F820:H820)) - MIN(IF(ISNUMBER(F820:H820),F820:H820)))</f>
        <v>19</v>
      </c>
      <c r="V820" s="4" t="str">
        <f>IF(U820="","",IF(U820&gt;25,"Outlier","Normal"))</f>
        <v>Normal</v>
      </c>
    </row>
    <row r="821" spans="1:22" x14ac:dyDescent="0.3">
      <c r="A821" s="1" t="s">
        <v>17</v>
      </c>
      <c r="B821" s="1" t="s">
        <v>9</v>
      </c>
      <c r="C821" s="1" t="s">
        <v>84</v>
      </c>
      <c r="D821" s="1" t="s">
        <v>11</v>
      </c>
      <c r="E821" s="1" t="s">
        <v>12</v>
      </c>
      <c r="F821" s="4">
        <v>54</v>
      </c>
      <c r="G821" s="4">
        <v>52</v>
      </c>
      <c r="H821" s="4">
        <v>51</v>
      </c>
      <c r="I821" s="4">
        <f>AVERAGE(Student­­Performance[[#This Row],[Math Score]],Student­­Performance[[#This Row],[Reading Score]],Student­­Performance[[#This Row],[Writing Score]])</f>
        <v>52.333333333333336</v>
      </c>
      <c r="J821" s="10" t="str">
        <f>IF(Student­­Performance[[#This Row],[Average Score]]&gt;=50,"Pass","Fail")</f>
        <v>Pass</v>
      </c>
      <c r="K82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</v>
      </c>
      <c r="L82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82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821" s="4">
        <f>IF(ISNUMBER(Student­­Performance[[#This Row],[Math Score]]),Student­­Performance[[#This Row],[Math Score]],0)</f>
        <v>54</v>
      </c>
      <c r="O821" s="4">
        <f>IF(ISNUMBER(Student­­Performance[[#This Row],[Reading Score]]),Student­­Performance[[#This Row],[Reading Score]],0)</f>
        <v>52</v>
      </c>
      <c r="P821" s="4">
        <f>IF(ISNUMBER(Student­­Performance[[#This Row],[Writing Score]]),Student­­Performance[[#This Row],[Writing Score]],0)</f>
        <v>51</v>
      </c>
      <c r="Q821" s="4" t="str">
        <f>IF(Student­­Performance[[#This Row],[Math Score]]&gt;=50,"Pass","Fail")</f>
        <v>Pass</v>
      </c>
      <c r="R821" s="4" t="str">
        <f>IF(Student­­Performance[[#This Row],[Reading Score]]&gt;=50,"Pass","Fail")</f>
        <v>Pass</v>
      </c>
      <c r="S821" s="4" t="str">
        <f>IF(Student­­Performance[[#This Row],[Writing Score]]&gt;=50,"Pass","Fail")</f>
        <v>Pass</v>
      </c>
      <c r="T82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157</v>
      </c>
      <c r="U821" s="4" cm="1">
        <f t="array" ref="U821">IF(COUNT(F821:H821)=0,"", MAX(IF(ISNUMBER(F821:H821),F821:H821)) - MIN(IF(ISNUMBER(F821:H821),F821:H821)))</f>
        <v>3</v>
      </c>
      <c r="V821" s="4" t="str">
        <f>IF(U821="","",IF(U821&gt;25,"Outlier","Normal"))</f>
        <v>Normal</v>
      </c>
    </row>
    <row r="822" spans="1:22" x14ac:dyDescent="0.3">
      <c r="A822" s="1" t="s">
        <v>17</v>
      </c>
      <c r="B822" s="1" t="s">
        <v>18</v>
      </c>
      <c r="C822" s="1" t="s">
        <v>87</v>
      </c>
      <c r="D822" s="1" t="s">
        <v>11</v>
      </c>
      <c r="E822" s="1" t="s">
        <v>12</v>
      </c>
      <c r="F822" s="4">
        <v>59</v>
      </c>
      <c r="G822" s="4">
        <v>52</v>
      </c>
      <c r="H822" s="4">
        <v>46</v>
      </c>
      <c r="I822" s="4">
        <f>AVERAGE(Student­­Performance[[#This Row],[Math Score]],Student­­Performance[[#This Row],[Reading Score]],Student­­Performance[[#This Row],[Writing Score]])</f>
        <v>52.333333333333336</v>
      </c>
      <c r="J822" s="10" t="str">
        <f>IF(Student­­Performance[[#This Row],[Average Score]]&gt;=50,"Pass","Fail")</f>
        <v>Pass</v>
      </c>
      <c r="K82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-7</v>
      </c>
      <c r="L82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82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-13</v>
      </c>
      <c r="N822" s="4">
        <f>IF(ISNUMBER(Student­­Performance[[#This Row],[Math Score]]),Student­­Performance[[#This Row],[Math Score]],0)</f>
        <v>59</v>
      </c>
      <c r="O822" s="4">
        <f>IF(ISNUMBER(Student­­Performance[[#This Row],[Reading Score]]),Student­­Performance[[#This Row],[Reading Score]],0)</f>
        <v>52</v>
      </c>
      <c r="P822" s="4">
        <f>IF(ISNUMBER(Student­­Performance[[#This Row],[Writing Score]]),Student­­Performance[[#This Row],[Writing Score]],0)</f>
        <v>46</v>
      </c>
      <c r="Q822" s="4" t="str">
        <f>IF(Student­­Performance[[#This Row],[Math Score]]&gt;=50,"Pass","Fail")</f>
        <v>Pass</v>
      </c>
      <c r="R822" s="4" t="str">
        <f>IF(Student­­Performance[[#This Row],[Reading Score]]&gt;=50,"Pass","Fail")</f>
        <v>Pass</v>
      </c>
      <c r="S822" s="4" t="str">
        <f>IF(Student­­Performance[[#This Row],[Writing Score]]&gt;=50,"Pass","Fail")</f>
        <v>Fail</v>
      </c>
      <c r="T82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157</v>
      </c>
      <c r="U822" s="4" cm="1">
        <f t="array" ref="U822">IF(COUNT(F822:H822)=0,"", MAX(IF(ISNUMBER(F822:H822),F822:H822)) - MIN(IF(ISNUMBER(F822:H822),F822:H822)))</f>
        <v>13</v>
      </c>
      <c r="V822" s="4" t="str">
        <f>IF(U822="","",IF(U822&gt;25,"Outlier","Normal"))</f>
        <v>Normal</v>
      </c>
    </row>
    <row r="823" spans="1:22" x14ac:dyDescent="0.3">
      <c r="A823" s="1" t="s">
        <v>17</v>
      </c>
      <c r="B823" s="1" t="s">
        <v>18</v>
      </c>
      <c r="C823" s="1" t="s">
        <v>88</v>
      </c>
      <c r="D823" s="1" t="s">
        <v>11</v>
      </c>
      <c r="E823" s="1" t="s">
        <v>12</v>
      </c>
      <c r="F823" s="4">
        <v>64</v>
      </c>
      <c r="G823" s="4">
        <v>50</v>
      </c>
      <c r="H823" s="4">
        <v>43</v>
      </c>
      <c r="I823" s="4">
        <f>AVERAGE(Student­­Performance[[#This Row],[Math Score]],Student­­Performance[[#This Row],[Reading Score]],Student­­Performance[[#This Row],[Writing Score]])</f>
        <v>52.333333333333336</v>
      </c>
      <c r="J823" s="10" t="str">
        <f>IF(Student­­Performance[[#This Row],[Average Score]]&gt;=50,"Pass","Fail")</f>
        <v>Pass</v>
      </c>
      <c r="K82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-14</v>
      </c>
      <c r="L82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82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-21</v>
      </c>
      <c r="N823" s="4">
        <f>IF(ISNUMBER(Student­­Performance[[#This Row],[Math Score]]),Student­­Performance[[#This Row],[Math Score]],0)</f>
        <v>64</v>
      </c>
      <c r="O823" s="4">
        <f>IF(ISNUMBER(Student­­Performance[[#This Row],[Reading Score]]),Student­­Performance[[#This Row],[Reading Score]],0)</f>
        <v>50</v>
      </c>
      <c r="P823" s="4">
        <f>IF(ISNUMBER(Student­­Performance[[#This Row],[Writing Score]]),Student­­Performance[[#This Row],[Writing Score]],0)</f>
        <v>43</v>
      </c>
      <c r="Q823" s="4" t="str">
        <f>IF(Student­­Performance[[#This Row],[Math Score]]&gt;=50,"Pass","Fail")</f>
        <v>Pass</v>
      </c>
      <c r="R823" s="4" t="str">
        <f>IF(Student­­Performance[[#This Row],[Reading Score]]&gt;=50,"Pass","Fail")</f>
        <v>Pass</v>
      </c>
      <c r="S823" s="4" t="str">
        <f>IF(Student­­Performance[[#This Row],[Writing Score]]&gt;=50,"Pass","Fail")</f>
        <v>Fail</v>
      </c>
      <c r="T82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157</v>
      </c>
      <c r="U823" s="4" cm="1">
        <f t="array" ref="U823">IF(COUNT(F823:H823)=0,"", MAX(IF(ISNUMBER(F823:H823),F823:H823)) - MIN(IF(ISNUMBER(F823:H823),F823:H823)))</f>
        <v>21</v>
      </c>
      <c r="V823" s="4" t="str">
        <f>IF(U823="","",IF(U823&gt;25,"Outlier","Normal"))</f>
        <v>Normal</v>
      </c>
    </row>
    <row r="824" spans="1:22" x14ac:dyDescent="0.3">
      <c r="A824" s="1" t="s">
        <v>17</v>
      </c>
      <c r="B824" s="1" t="s">
        <v>9</v>
      </c>
      <c r="C824" s="1" t="s">
        <v>84</v>
      </c>
      <c r="D824" s="1" t="s">
        <v>20</v>
      </c>
      <c r="E824" s="1" t="s">
        <v>12</v>
      </c>
      <c r="F824" s="4">
        <v>55</v>
      </c>
      <c r="G824" s="4">
        <v>55</v>
      </c>
      <c r="H824" s="4">
        <v>47</v>
      </c>
      <c r="I824" s="4">
        <f>AVERAGE(Student­­Performance[[#This Row],[Math Score]],Student­­Performance[[#This Row],[Reading Score]],Student­­Performance[[#This Row],[Writing Score]])</f>
        <v>52.333333333333336</v>
      </c>
      <c r="J824" s="10" t="str">
        <f>IF(Student­­Performance[[#This Row],[Average Score]]&gt;=50,"Pass","Fail")</f>
        <v>Pass</v>
      </c>
      <c r="K82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82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-8</v>
      </c>
      <c r="M82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824" s="4">
        <f>IF(ISNUMBER(Student­­Performance[[#This Row],[Math Score]]),Student­­Performance[[#This Row],[Math Score]],0)</f>
        <v>55</v>
      </c>
      <c r="O824" s="4">
        <f>IF(ISNUMBER(Student­­Performance[[#This Row],[Reading Score]]),Student­­Performance[[#This Row],[Reading Score]],0)</f>
        <v>55</v>
      </c>
      <c r="P824" s="4">
        <f>IF(ISNUMBER(Student­­Performance[[#This Row],[Writing Score]]),Student­­Performance[[#This Row],[Writing Score]],0)</f>
        <v>47</v>
      </c>
      <c r="Q824" s="4" t="str">
        <f>IF(Student­­Performance[[#This Row],[Math Score]]&gt;=50,"Pass","Fail")</f>
        <v>Pass</v>
      </c>
      <c r="R824" s="4" t="str">
        <f>IF(Student­­Performance[[#This Row],[Reading Score]]&gt;=50,"Pass","Fail")</f>
        <v>Pass</v>
      </c>
      <c r="S824" s="4" t="str">
        <f>IF(Student­­Performance[[#This Row],[Writing Score]]&gt;=50,"Pass","Fail")</f>
        <v>Fail</v>
      </c>
      <c r="T82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157</v>
      </c>
      <c r="U824" s="4" cm="1">
        <f t="array" ref="U824">IF(COUNT(F824:H824)=0,"", MAX(IF(ISNUMBER(F824:H824),F824:H824)) - MIN(IF(ISNUMBER(F824:H824),F824:H824)))</f>
        <v>8</v>
      </c>
      <c r="V824" s="4" t="str">
        <f>IF(U824="","",IF(U824&gt;25,"Outlier","Normal"))</f>
        <v>Normal</v>
      </c>
    </row>
    <row r="825" spans="1:22" x14ac:dyDescent="0.3">
      <c r="A825" s="1" t="s">
        <v>8</v>
      </c>
      <c r="B825" s="1" t="s">
        <v>13</v>
      </c>
      <c r="C825" s="1" t="s">
        <v>87</v>
      </c>
      <c r="D825" s="1" t="s">
        <v>11</v>
      </c>
      <c r="E825" s="1" t="s">
        <v>12</v>
      </c>
      <c r="F825" s="4">
        <v>44</v>
      </c>
      <c r="G825" s="4">
        <v>61</v>
      </c>
      <c r="H825" s="4">
        <v>52</v>
      </c>
      <c r="I825" s="4">
        <f>AVERAGE(Student­­Performance[[#This Row],[Math Score]],Student­­Performance[[#This Row],[Reading Score]],Student­­Performance[[#This Row],[Writing Score]])</f>
        <v>52.333333333333336</v>
      </c>
      <c r="J825" s="10" t="str">
        <f>IF(Student­­Performance[[#This Row],[Average Score]]&gt;=50,"Pass","Fail")</f>
        <v>Pass</v>
      </c>
      <c r="K82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17</v>
      </c>
      <c r="L82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-9</v>
      </c>
      <c r="M82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825" s="4">
        <f>IF(ISNUMBER(Student­­Performance[[#This Row],[Math Score]]),Student­­Performance[[#This Row],[Math Score]],0)</f>
        <v>44</v>
      </c>
      <c r="O825" s="4">
        <f>IF(ISNUMBER(Student­­Performance[[#This Row],[Reading Score]]),Student­­Performance[[#This Row],[Reading Score]],0)</f>
        <v>61</v>
      </c>
      <c r="P825" s="4">
        <f>IF(ISNUMBER(Student­­Performance[[#This Row],[Writing Score]]),Student­­Performance[[#This Row],[Writing Score]],0)</f>
        <v>52</v>
      </c>
      <c r="Q825" s="4" t="str">
        <f>IF(Student­­Performance[[#This Row],[Math Score]]&gt;=50,"Pass","Fail")</f>
        <v>Fail</v>
      </c>
      <c r="R825" s="4" t="str">
        <f>IF(Student­­Performance[[#This Row],[Reading Score]]&gt;=50,"Pass","Fail")</f>
        <v>Pass</v>
      </c>
      <c r="S825" s="4" t="str">
        <f>IF(Student­­Performance[[#This Row],[Writing Score]]&gt;=50,"Pass","Fail")</f>
        <v>Pass</v>
      </c>
      <c r="T82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157</v>
      </c>
      <c r="U825" s="4" cm="1">
        <f t="array" ref="U825">IF(COUNT(F825:H825)=0,"", MAX(IF(ISNUMBER(F825:H825),F825:H825)) - MIN(IF(ISNUMBER(F825:H825),F825:H825)))</f>
        <v>17</v>
      </c>
      <c r="V825" s="4" t="str">
        <f>IF(U825="","",IF(U825&gt;25,"Outlier","Normal"))</f>
        <v>Normal</v>
      </c>
    </row>
    <row r="826" spans="1:22" x14ac:dyDescent="0.3">
      <c r="A826" s="1" t="s">
        <v>17</v>
      </c>
      <c r="B826" s="1" t="s">
        <v>26</v>
      </c>
      <c r="C826" s="1" t="s">
        <v>84</v>
      </c>
      <c r="D826" s="1" t="s">
        <v>11</v>
      </c>
      <c r="E826" s="1" t="s">
        <v>12</v>
      </c>
      <c r="F826" s="4">
        <v>53</v>
      </c>
      <c r="G826" s="4">
        <v>55</v>
      </c>
      <c r="H826" s="4">
        <v>48</v>
      </c>
      <c r="I826" s="4">
        <f>AVERAGE(Student­­Performance[[#This Row],[Math Score]],Student­­Performance[[#This Row],[Reading Score]],Student­­Performance[[#This Row],[Writing Score]])</f>
        <v>52</v>
      </c>
      <c r="J826" s="10" t="str">
        <f>IF(Student­­Performance[[#This Row],[Average Score]]&gt;=50,"Pass","Fail")</f>
        <v>Pass</v>
      </c>
      <c r="K82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82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82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-5</v>
      </c>
      <c r="N826" s="4">
        <f>IF(ISNUMBER(Student­­Performance[[#This Row],[Math Score]]),Student­­Performance[[#This Row],[Math Score]],0)</f>
        <v>53</v>
      </c>
      <c r="O826" s="4">
        <f>IF(ISNUMBER(Student­­Performance[[#This Row],[Reading Score]]),Student­­Performance[[#This Row],[Reading Score]],0)</f>
        <v>55</v>
      </c>
      <c r="P826" s="4">
        <f>IF(ISNUMBER(Student­­Performance[[#This Row],[Writing Score]]),Student­­Performance[[#This Row],[Writing Score]],0)</f>
        <v>48</v>
      </c>
      <c r="Q826" s="4" t="str">
        <f>IF(Student­­Performance[[#This Row],[Math Score]]&gt;=50,"Pass","Fail")</f>
        <v>Pass</v>
      </c>
      <c r="R826" s="4" t="str">
        <f>IF(Student­­Performance[[#This Row],[Reading Score]]&gt;=50,"Pass","Fail")</f>
        <v>Pass</v>
      </c>
      <c r="S826" s="4" t="str">
        <f>IF(Student­­Performance[[#This Row],[Writing Score]]&gt;=50,"Pass","Fail")</f>
        <v>Fail</v>
      </c>
      <c r="T82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156</v>
      </c>
      <c r="U826" s="4" cm="1">
        <f t="array" ref="U826">IF(COUNT(F826:H826)=0,"", MAX(IF(ISNUMBER(F826:H826),F826:H826)) - MIN(IF(ISNUMBER(F826:H826),F826:H826)))</f>
        <v>7</v>
      </c>
      <c r="V826" s="4" t="str">
        <f>IF(U826="","",IF(U826&gt;25,"Outlier","Normal"))</f>
        <v>Normal</v>
      </c>
    </row>
    <row r="827" spans="1:22" x14ac:dyDescent="0.3">
      <c r="A827" s="1" t="s">
        <v>17</v>
      </c>
      <c r="B827" s="1" t="s">
        <v>21</v>
      </c>
      <c r="C827" s="1" t="s">
        <v>86</v>
      </c>
      <c r="D827" s="1" t="s">
        <v>11</v>
      </c>
      <c r="E827" s="1" t="s">
        <v>12</v>
      </c>
      <c r="F827" s="4">
        <v>52</v>
      </c>
      <c r="G827" s="4">
        <v>55</v>
      </c>
      <c r="H827" s="4">
        <v>49</v>
      </c>
      <c r="I827" s="4">
        <f>AVERAGE(Student­­Performance[[#This Row],[Math Score]],Student­­Performance[[#This Row],[Reading Score]],Student­­Performance[[#This Row],[Writing Score]])</f>
        <v>52</v>
      </c>
      <c r="J827" s="10" t="str">
        <f>IF(Student­­Performance[[#This Row],[Average Score]]&gt;=50,"Pass","Fail")</f>
        <v>Pass</v>
      </c>
      <c r="K82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82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82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827" s="4">
        <f>IF(ISNUMBER(Student­­Performance[[#This Row],[Math Score]]),Student­­Performance[[#This Row],[Math Score]],0)</f>
        <v>52</v>
      </c>
      <c r="O827" s="4">
        <f>IF(ISNUMBER(Student­­Performance[[#This Row],[Reading Score]]),Student­­Performance[[#This Row],[Reading Score]],0)</f>
        <v>55</v>
      </c>
      <c r="P827" s="4">
        <f>IF(ISNUMBER(Student­­Performance[[#This Row],[Writing Score]]),Student­­Performance[[#This Row],[Writing Score]],0)</f>
        <v>49</v>
      </c>
      <c r="Q827" s="4" t="str">
        <f>IF(Student­­Performance[[#This Row],[Math Score]]&gt;=50,"Pass","Fail")</f>
        <v>Pass</v>
      </c>
      <c r="R827" s="4" t="str">
        <f>IF(Student­­Performance[[#This Row],[Reading Score]]&gt;=50,"Pass","Fail")</f>
        <v>Pass</v>
      </c>
      <c r="S827" s="4" t="str">
        <f>IF(Student­­Performance[[#This Row],[Writing Score]]&gt;=50,"Pass","Fail")</f>
        <v>Fail</v>
      </c>
      <c r="T82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156</v>
      </c>
      <c r="U827" s="4" cm="1">
        <f t="array" ref="U827">IF(COUNT(F827:H827)=0,"", MAX(IF(ISNUMBER(F827:H827),F827:H827)) - MIN(IF(ISNUMBER(F827:H827),F827:H827)))</f>
        <v>6</v>
      </c>
      <c r="V827" s="4" t="str">
        <f>IF(U827="","",IF(U827&gt;25,"Outlier","Normal"))</f>
        <v>Normal</v>
      </c>
    </row>
    <row r="828" spans="1:22" x14ac:dyDescent="0.3">
      <c r="A828" s="1" t="s">
        <v>8</v>
      </c>
      <c r="B828" s="1" t="s">
        <v>18</v>
      </c>
      <c r="C828" s="1" t="s">
        <v>88</v>
      </c>
      <c r="D828" s="1" t="s">
        <v>20</v>
      </c>
      <c r="E828" s="1" t="s">
        <v>12</v>
      </c>
      <c r="F828" s="4">
        <v>47</v>
      </c>
      <c r="G828" s="4">
        <v>59</v>
      </c>
      <c r="H828" s="4">
        <v>50</v>
      </c>
      <c r="I828" s="4">
        <f>AVERAGE(Student­­Performance[[#This Row],[Math Score]],Student­­Performance[[#This Row],[Reading Score]],Student­­Performance[[#This Row],[Writing Score]])</f>
        <v>52</v>
      </c>
      <c r="J828" s="10" t="str">
        <f>IF(Student­­Performance[[#This Row],[Average Score]]&gt;=50,"Pass","Fail")</f>
        <v>Pass</v>
      </c>
      <c r="K82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82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-9</v>
      </c>
      <c r="M82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828" s="4">
        <f>IF(ISNUMBER(Student­­Performance[[#This Row],[Math Score]]),Student­­Performance[[#This Row],[Math Score]],0)</f>
        <v>47</v>
      </c>
      <c r="O828" s="4">
        <f>IF(ISNUMBER(Student­­Performance[[#This Row],[Reading Score]]),Student­­Performance[[#This Row],[Reading Score]],0)</f>
        <v>59</v>
      </c>
      <c r="P828" s="4">
        <f>IF(ISNUMBER(Student­­Performance[[#This Row],[Writing Score]]),Student­­Performance[[#This Row],[Writing Score]],0)</f>
        <v>50</v>
      </c>
      <c r="Q828" s="4" t="str">
        <f>IF(Student­­Performance[[#This Row],[Math Score]]&gt;=50,"Pass","Fail")</f>
        <v>Fail</v>
      </c>
      <c r="R828" s="4" t="str">
        <f>IF(Student­­Performance[[#This Row],[Reading Score]]&gt;=50,"Pass","Fail")</f>
        <v>Pass</v>
      </c>
      <c r="S828" s="4" t="str">
        <f>IF(Student­­Performance[[#This Row],[Writing Score]]&gt;=50,"Pass","Fail")</f>
        <v>Pass</v>
      </c>
      <c r="T82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156</v>
      </c>
      <c r="U828" s="4" cm="1">
        <f t="array" ref="U828">IF(COUNT(F828:H828)=0,"", MAX(IF(ISNUMBER(F828:H828),F828:H828)) - MIN(IF(ISNUMBER(F828:H828),F828:H828)))</f>
        <v>12</v>
      </c>
      <c r="V828" s="4" t="str">
        <f>IF(U828="","",IF(U828&gt;25,"Outlier","Normal"))</f>
        <v>Normal</v>
      </c>
    </row>
    <row r="829" spans="1:22" x14ac:dyDescent="0.3">
      <c r="A829" s="1" t="s">
        <v>17</v>
      </c>
      <c r="B829" s="1" t="s">
        <v>9</v>
      </c>
      <c r="C829" s="1" t="s">
        <v>87</v>
      </c>
      <c r="D829" s="1" t="s">
        <v>11</v>
      </c>
      <c r="E829" s="1" t="s">
        <v>12</v>
      </c>
      <c r="F829" s="4">
        <v>57</v>
      </c>
      <c r="G829" s="4">
        <v>48</v>
      </c>
      <c r="H829" s="4">
        <v>51</v>
      </c>
      <c r="I829" s="4">
        <f>AVERAGE(Student­­Performance[[#This Row],[Math Score]],Student­­Performance[[#This Row],[Reading Score]],Student­­Performance[[#This Row],[Writing Score]])</f>
        <v>52</v>
      </c>
      <c r="J829" s="10" t="str">
        <f>IF(Student­­Performance[[#This Row],[Average Score]]&gt;=50,"Pass","Fail")</f>
        <v>Pass</v>
      </c>
      <c r="K82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-9</v>
      </c>
      <c r="L82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82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829" s="4">
        <f>IF(ISNUMBER(Student­­Performance[[#This Row],[Math Score]]),Student­­Performance[[#This Row],[Math Score]],0)</f>
        <v>57</v>
      </c>
      <c r="O829" s="4">
        <f>IF(ISNUMBER(Student­­Performance[[#This Row],[Reading Score]]),Student­­Performance[[#This Row],[Reading Score]],0)</f>
        <v>48</v>
      </c>
      <c r="P829" s="4">
        <f>IF(ISNUMBER(Student­­Performance[[#This Row],[Writing Score]]),Student­­Performance[[#This Row],[Writing Score]],0)</f>
        <v>51</v>
      </c>
      <c r="Q829" s="4" t="str">
        <f>IF(Student­­Performance[[#This Row],[Math Score]]&gt;=50,"Pass","Fail")</f>
        <v>Pass</v>
      </c>
      <c r="R829" s="4" t="str">
        <f>IF(Student­­Performance[[#This Row],[Reading Score]]&gt;=50,"Pass","Fail")</f>
        <v>Fail</v>
      </c>
      <c r="S829" s="4" t="str">
        <f>IF(Student­­Performance[[#This Row],[Writing Score]]&gt;=50,"Pass","Fail")</f>
        <v>Pass</v>
      </c>
      <c r="T82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156</v>
      </c>
      <c r="U829" s="4" cm="1">
        <f t="array" ref="U829">IF(COUNT(F829:H829)=0,"", MAX(IF(ISNUMBER(F829:H829),F829:H829)) - MIN(IF(ISNUMBER(F829:H829),F829:H829)))</f>
        <v>9</v>
      </c>
      <c r="V829" s="4" t="str">
        <f>IF(U829="","",IF(U829&gt;25,"Outlier","Normal"))</f>
        <v>Normal</v>
      </c>
    </row>
    <row r="830" spans="1:22" x14ac:dyDescent="0.3">
      <c r="A830" s="1" t="s">
        <v>17</v>
      </c>
      <c r="B830" s="1" t="s">
        <v>13</v>
      </c>
      <c r="C830" s="1" t="s">
        <v>87</v>
      </c>
      <c r="D830" s="1" t="s">
        <v>20</v>
      </c>
      <c r="E830" s="1" t="s">
        <v>15</v>
      </c>
      <c r="F830" s="4">
        <v>53</v>
      </c>
      <c r="G830" s="4">
        <v>51</v>
      </c>
      <c r="H830" s="4">
        <v>51</v>
      </c>
      <c r="I830" s="4">
        <f>AVERAGE(Student­­Performance[[#This Row],[Math Score]],Student­­Performance[[#This Row],[Reading Score]],Student­­Performance[[#This Row],[Writing Score]])</f>
        <v>51.666666666666664</v>
      </c>
      <c r="J830" s="10" t="str">
        <f>IF(Student­­Performance[[#This Row],[Average Score]]&gt;=50,"Pass","Fail")</f>
        <v>Pass</v>
      </c>
      <c r="K83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</v>
      </c>
      <c r="L83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83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830" s="4">
        <f>IF(ISNUMBER(Student­­Performance[[#This Row],[Math Score]]),Student­­Performance[[#This Row],[Math Score]],0)</f>
        <v>53</v>
      </c>
      <c r="O830" s="4">
        <f>IF(ISNUMBER(Student­­Performance[[#This Row],[Reading Score]]),Student­­Performance[[#This Row],[Reading Score]],0)</f>
        <v>51</v>
      </c>
      <c r="P830" s="4">
        <f>IF(ISNUMBER(Student­­Performance[[#This Row],[Writing Score]]),Student­­Performance[[#This Row],[Writing Score]],0)</f>
        <v>51</v>
      </c>
      <c r="Q830" s="4" t="str">
        <f>IF(Student­­Performance[[#This Row],[Math Score]]&gt;=50,"Pass","Fail")</f>
        <v>Pass</v>
      </c>
      <c r="R830" s="4" t="str">
        <f>IF(Student­­Performance[[#This Row],[Reading Score]]&gt;=50,"Pass","Fail")</f>
        <v>Pass</v>
      </c>
      <c r="S830" s="4" t="str">
        <f>IF(Student­­Performance[[#This Row],[Writing Score]]&gt;=50,"Pass","Fail")</f>
        <v>Pass</v>
      </c>
      <c r="T83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155</v>
      </c>
      <c r="U830" s="4" cm="1">
        <f t="array" ref="U830">IF(COUNT(F830:H830)=0,"", MAX(IF(ISNUMBER(F830:H830),F830:H830)) - MIN(IF(ISNUMBER(F830:H830),F830:H830)))</f>
        <v>2</v>
      </c>
      <c r="V830" s="4" t="str">
        <f>IF(U830="","",IF(U830&gt;25,"Outlier","Normal"))</f>
        <v>Normal</v>
      </c>
    </row>
    <row r="831" spans="1:22" x14ac:dyDescent="0.3">
      <c r="A831" s="1" t="s">
        <v>8</v>
      </c>
      <c r="B831" s="1" t="s">
        <v>26</v>
      </c>
      <c r="C831" s="1" t="s">
        <v>85</v>
      </c>
      <c r="D831" s="1" t="s">
        <v>20</v>
      </c>
      <c r="E831" s="1" t="s">
        <v>12</v>
      </c>
      <c r="F831" s="4">
        <v>45</v>
      </c>
      <c r="G831" s="4">
        <v>56</v>
      </c>
      <c r="H831" s="4">
        <v>54</v>
      </c>
      <c r="I831" s="4">
        <f>AVERAGE(Student­­Performance[[#This Row],[Math Score]],Student­­Performance[[#This Row],[Reading Score]],Student­­Performance[[#This Row],[Writing Score]])</f>
        <v>51.666666666666664</v>
      </c>
      <c r="J831" s="10" t="str">
        <f>IF(Student­­Performance[[#This Row],[Average Score]]&gt;=50,"Pass","Fail")</f>
        <v>Pass</v>
      </c>
      <c r="K83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83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83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831" s="4">
        <f>IF(ISNUMBER(Student­­Performance[[#This Row],[Math Score]]),Student­­Performance[[#This Row],[Math Score]],0)</f>
        <v>45</v>
      </c>
      <c r="O831" s="4">
        <f>IF(ISNUMBER(Student­­Performance[[#This Row],[Reading Score]]),Student­­Performance[[#This Row],[Reading Score]],0)</f>
        <v>56</v>
      </c>
      <c r="P831" s="4">
        <f>IF(ISNUMBER(Student­­Performance[[#This Row],[Writing Score]]),Student­­Performance[[#This Row],[Writing Score]],0)</f>
        <v>54</v>
      </c>
      <c r="Q831" s="4" t="str">
        <f>IF(Student­­Performance[[#This Row],[Math Score]]&gt;=50,"Pass","Fail")</f>
        <v>Fail</v>
      </c>
      <c r="R831" s="4" t="str">
        <f>IF(Student­­Performance[[#This Row],[Reading Score]]&gt;=50,"Pass","Fail")</f>
        <v>Pass</v>
      </c>
      <c r="S831" s="4" t="str">
        <f>IF(Student­­Performance[[#This Row],[Writing Score]]&gt;=50,"Pass","Fail")</f>
        <v>Pass</v>
      </c>
      <c r="T83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155</v>
      </c>
      <c r="U831" s="4" cm="1">
        <f t="array" ref="U831">IF(COUNT(F831:H831)=0,"", MAX(IF(ISNUMBER(F831:H831),F831:H831)) - MIN(IF(ISNUMBER(F831:H831),F831:H831)))</f>
        <v>11</v>
      </c>
      <c r="V831" s="4" t="str">
        <f>IF(U831="","",IF(U831&gt;25,"Outlier","Normal"))</f>
        <v>Normal</v>
      </c>
    </row>
    <row r="832" spans="1:22" x14ac:dyDescent="0.3">
      <c r="A832" s="1" t="s">
        <v>17</v>
      </c>
      <c r="B832" s="1" t="s">
        <v>21</v>
      </c>
      <c r="C832" s="1" t="s">
        <v>86</v>
      </c>
      <c r="D832" s="1" t="s">
        <v>20</v>
      </c>
      <c r="E832" s="1" t="s">
        <v>12</v>
      </c>
      <c r="F832" s="4">
        <v>53</v>
      </c>
      <c r="G832" s="4">
        <v>54</v>
      </c>
      <c r="H832" s="4">
        <v>48</v>
      </c>
      <c r="I832" s="4">
        <f>AVERAGE(Student­­Performance[[#This Row],[Math Score]],Student­­Performance[[#This Row],[Reading Score]],Student­­Performance[[#This Row],[Writing Score]])</f>
        <v>51.666666666666664</v>
      </c>
      <c r="J832" s="10" t="str">
        <f>IF(Student­­Performance[[#This Row],[Average Score]]&gt;=50,"Pass","Fail")</f>
        <v>Pass</v>
      </c>
      <c r="K83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83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83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-5</v>
      </c>
      <c r="N832" s="4">
        <f>IF(ISNUMBER(Student­­Performance[[#This Row],[Math Score]]),Student­­Performance[[#This Row],[Math Score]],0)</f>
        <v>53</v>
      </c>
      <c r="O832" s="4">
        <f>IF(ISNUMBER(Student­­Performance[[#This Row],[Reading Score]]),Student­­Performance[[#This Row],[Reading Score]],0)</f>
        <v>54</v>
      </c>
      <c r="P832" s="4">
        <f>IF(ISNUMBER(Student­­Performance[[#This Row],[Writing Score]]),Student­­Performance[[#This Row],[Writing Score]],0)</f>
        <v>48</v>
      </c>
      <c r="Q832" s="4" t="str">
        <f>IF(Student­­Performance[[#This Row],[Math Score]]&gt;=50,"Pass","Fail")</f>
        <v>Pass</v>
      </c>
      <c r="R832" s="4" t="str">
        <f>IF(Student­­Performance[[#This Row],[Reading Score]]&gt;=50,"Pass","Fail")</f>
        <v>Pass</v>
      </c>
      <c r="S832" s="4" t="str">
        <f>IF(Student­­Performance[[#This Row],[Writing Score]]&gt;=50,"Pass","Fail")</f>
        <v>Fail</v>
      </c>
      <c r="T83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155</v>
      </c>
      <c r="U832" s="4" cm="1">
        <f t="array" ref="U832">IF(COUNT(F832:H832)=0,"", MAX(IF(ISNUMBER(F832:H832),F832:H832)) - MIN(IF(ISNUMBER(F832:H832),F832:H832)))</f>
        <v>6</v>
      </c>
      <c r="V832" s="4" t="str">
        <f>IF(U832="","",IF(U832&gt;25,"Outlier","Normal"))</f>
        <v>Normal</v>
      </c>
    </row>
    <row r="833" spans="1:22" x14ac:dyDescent="0.3">
      <c r="A833" s="1" t="s">
        <v>8</v>
      </c>
      <c r="B833" s="1" t="s">
        <v>9</v>
      </c>
      <c r="C833" s="1" t="s">
        <v>86</v>
      </c>
      <c r="D833" s="1" t="s">
        <v>11</v>
      </c>
      <c r="E833" s="1" t="s">
        <v>12</v>
      </c>
      <c r="F833" s="4">
        <v>49</v>
      </c>
      <c r="G833" s="4">
        <v>52</v>
      </c>
      <c r="H833" s="4">
        <v>54</v>
      </c>
      <c r="I833" s="4">
        <f>AVERAGE(Student­­Performance[[#This Row],[Math Score]],Student­­Performance[[#This Row],[Reading Score]],Student­­Performance[[#This Row],[Writing Score]])</f>
        <v>51.666666666666664</v>
      </c>
      <c r="J833" s="10" t="str">
        <f>IF(Student­­Performance[[#This Row],[Average Score]]&gt;=50,"Pass","Fail")</f>
        <v>Pass</v>
      </c>
      <c r="K83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83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83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833" s="4">
        <f>IF(ISNUMBER(Student­­Performance[[#This Row],[Math Score]]),Student­­Performance[[#This Row],[Math Score]],0)</f>
        <v>49</v>
      </c>
      <c r="O833" s="4">
        <f>IF(ISNUMBER(Student­­Performance[[#This Row],[Reading Score]]),Student­­Performance[[#This Row],[Reading Score]],0)</f>
        <v>52</v>
      </c>
      <c r="P833" s="4">
        <f>IF(ISNUMBER(Student­­Performance[[#This Row],[Writing Score]]),Student­­Performance[[#This Row],[Writing Score]],0)</f>
        <v>54</v>
      </c>
      <c r="Q833" s="4" t="str">
        <f>IF(Student­­Performance[[#This Row],[Math Score]]&gt;=50,"Pass","Fail")</f>
        <v>Fail</v>
      </c>
      <c r="R833" s="4" t="str">
        <f>IF(Student­­Performance[[#This Row],[Reading Score]]&gt;=50,"Pass","Fail")</f>
        <v>Pass</v>
      </c>
      <c r="S833" s="4" t="str">
        <f>IF(Student­­Performance[[#This Row],[Writing Score]]&gt;=50,"Pass","Fail")</f>
        <v>Pass</v>
      </c>
      <c r="T83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155</v>
      </c>
      <c r="U833" s="4" cm="1">
        <f t="array" ref="U833">IF(COUNT(F833:H833)=0,"", MAX(IF(ISNUMBER(F833:H833),F833:H833)) - MIN(IF(ISNUMBER(F833:H833),F833:H833)))</f>
        <v>5</v>
      </c>
      <c r="V833" s="4" t="str">
        <f>IF(U833="","",IF(U833&gt;25,"Outlier","Normal"))</f>
        <v>Normal</v>
      </c>
    </row>
    <row r="834" spans="1:22" x14ac:dyDescent="0.3">
      <c r="A834" s="1" t="s">
        <v>17</v>
      </c>
      <c r="B834" s="1" t="s">
        <v>13</v>
      </c>
      <c r="C834" s="1" t="s">
        <v>88</v>
      </c>
      <c r="D834" s="1" t="s">
        <v>20</v>
      </c>
      <c r="E834" s="1" t="s">
        <v>12</v>
      </c>
      <c r="F834" s="4">
        <v>79</v>
      </c>
      <c r="G834" s="4">
        <v>76</v>
      </c>
      <c r="H834" s="4" t="s">
        <v>90</v>
      </c>
      <c r="I834" s="4">
        <f>AVERAGE(Student­­Performance[[#This Row],[Math Score]],Student­­Performance[[#This Row],[Reading Score]],Student­­Performance[[#This Row],[Writing Score]])</f>
        <v>77.5</v>
      </c>
      <c r="J834" s="10" t="str">
        <f>IF(Student­­Performance[[#This Row],[Average Score]]&gt;=50,"Pass","Fail")</f>
        <v>Pass</v>
      </c>
      <c r="K83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834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834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834" s="4">
        <f>IF(ISNUMBER(Student­­Performance[[#This Row],[Math Score]]),Student­­Performance[[#This Row],[Math Score]],0)</f>
        <v>79</v>
      </c>
      <c r="O834" s="4">
        <f>IF(ISNUMBER(Student­­Performance[[#This Row],[Reading Score]]),Student­­Performance[[#This Row],[Reading Score]],0)</f>
        <v>76</v>
      </c>
      <c r="P834" s="4">
        <f>IF(ISNUMBER(Student­­Performance[[#This Row],[Writing Score]]),Student­­Performance[[#This Row],[Writing Score]],0)</f>
        <v>0</v>
      </c>
      <c r="Q834" s="4" t="str">
        <f>IF(Student­­Performance[[#This Row],[Math Score]]&gt;=50,"Pass","Fail")</f>
        <v>Pass</v>
      </c>
      <c r="R834" s="4" t="str">
        <f>IF(Student­­Performance[[#This Row],[Reading Score]]&gt;=50,"Pass","Fail")</f>
        <v>Pass</v>
      </c>
      <c r="S834" s="4" t="str">
        <f>IF(Student­­Performance[[#This Row],[Writing Score]]&gt;=50,"Pass","Fail")</f>
        <v>Pass</v>
      </c>
      <c r="T83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155</v>
      </c>
      <c r="U834" s="4" cm="1">
        <f t="array" ref="U834">IF(COUNT(F834:H834)=0,"", MAX(IF(ISNUMBER(F834:H834),F834:H834)) - MIN(IF(ISNUMBER(F834:H834),F834:H834)))</f>
        <v>3</v>
      </c>
      <c r="V834" s="4" t="str">
        <f>IF(U834="","",IF(U834&gt;25,"Outlier","Normal"))</f>
        <v>Normal</v>
      </c>
    </row>
    <row r="835" spans="1:22" x14ac:dyDescent="0.3">
      <c r="A835" s="1" t="s">
        <v>17</v>
      </c>
      <c r="B835" s="1" t="s">
        <v>18</v>
      </c>
      <c r="C835" s="1" t="s">
        <v>88</v>
      </c>
      <c r="D835" s="1" t="s">
        <v>11</v>
      </c>
      <c r="E835" s="1" t="s">
        <v>12</v>
      </c>
      <c r="F835" s="4">
        <v>53</v>
      </c>
      <c r="G835" s="4">
        <v>54</v>
      </c>
      <c r="H835" s="4">
        <v>48</v>
      </c>
      <c r="I835" s="4">
        <f>AVERAGE(Student­­Performance[[#This Row],[Math Score]],Student­­Performance[[#This Row],[Reading Score]],Student­­Performance[[#This Row],[Writing Score]])</f>
        <v>51.666666666666664</v>
      </c>
      <c r="J835" s="10" t="str">
        <f>IF(Student­­Performance[[#This Row],[Average Score]]&gt;=50,"Pass","Fail")</f>
        <v>Pass</v>
      </c>
      <c r="K83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83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83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-5</v>
      </c>
      <c r="N835" s="4">
        <f>IF(ISNUMBER(Student­­Performance[[#This Row],[Math Score]]),Student­­Performance[[#This Row],[Math Score]],0)</f>
        <v>53</v>
      </c>
      <c r="O835" s="4">
        <f>IF(ISNUMBER(Student­­Performance[[#This Row],[Reading Score]]),Student­­Performance[[#This Row],[Reading Score]],0)</f>
        <v>54</v>
      </c>
      <c r="P835" s="4">
        <f>IF(ISNUMBER(Student­­Performance[[#This Row],[Writing Score]]),Student­­Performance[[#This Row],[Writing Score]],0)</f>
        <v>48</v>
      </c>
      <c r="Q835" s="4" t="str">
        <f>IF(Student­­Performance[[#This Row],[Math Score]]&gt;=50,"Pass","Fail")</f>
        <v>Pass</v>
      </c>
      <c r="R835" s="4" t="str">
        <f>IF(Student­­Performance[[#This Row],[Reading Score]]&gt;=50,"Pass","Fail")</f>
        <v>Pass</v>
      </c>
      <c r="S835" s="4" t="str">
        <f>IF(Student­­Performance[[#This Row],[Writing Score]]&gt;=50,"Pass","Fail")</f>
        <v>Fail</v>
      </c>
      <c r="T83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155</v>
      </c>
      <c r="U835" s="4" cm="1">
        <f t="array" ref="U835">IF(COUNT(F835:H835)=0,"", MAX(IF(ISNUMBER(F835:H835),F835:H835)) - MIN(IF(ISNUMBER(F835:H835),F835:H835)))</f>
        <v>6</v>
      </c>
      <c r="V835" s="4" t="str">
        <f>IF(U835="","",IF(U835&gt;25,"Outlier","Normal"))</f>
        <v>Normal</v>
      </c>
    </row>
    <row r="836" spans="1:22" x14ac:dyDescent="0.3">
      <c r="A836" s="1" t="s">
        <v>17</v>
      </c>
      <c r="B836" s="1" t="s">
        <v>21</v>
      </c>
      <c r="C836" s="1" t="s">
        <v>86</v>
      </c>
      <c r="D836" s="1" t="s">
        <v>11</v>
      </c>
      <c r="E836" s="1" t="s">
        <v>12</v>
      </c>
      <c r="F836" s="4">
        <v>61</v>
      </c>
      <c r="G836" s="4">
        <v>48</v>
      </c>
      <c r="H836" s="4">
        <v>46</v>
      </c>
      <c r="I836" s="4">
        <f>AVERAGE(Student­­Performance[[#This Row],[Math Score]],Student­­Performance[[#This Row],[Reading Score]],Student­­Performance[[#This Row],[Writing Score]])</f>
        <v>51.666666666666664</v>
      </c>
      <c r="J836" s="10" t="str">
        <f>IF(Student­­Performance[[#This Row],[Average Score]]&gt;=50,"Pass","Fail")</f>
        <v>Pass</v>
      </c>
      <c r="K83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-13</v>
      </c>
      <c r="L83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83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-15</v>
      </c>
      <c r="N836" s="4">
        <f>IF(ISNUMBER(Student­­Performance[[#This Row],[Math Score]]),Student­­Performance[[#This Row],[Math Score]],0)</f>
        <v>61</v>
      </c>
      <c r="O836" s="4">
        <f>IF(ISNUMBER(Student­­Performance[[#This Row],[Reading Score]]),Student­­Performance[[#This Row],[Reading Score]],0)</f>
        <v>48</v>
      </c>
      <c r="P836" s="4">
        <f>IF(ISNUMBER(Student­­Performance[[#This Row],[Writing Score]]),Student­­Performance[[#This Row],[Writing Score]],0)</f>
        <v>46</v>
      </c>
      <c r="Q836" s="4" t="str">
        <f>IF(Student­­Performance[[#This Row],[Math Score]]&gt;=50,"Pass","Fail")</f>
        <v>Pass</v>
      </c>
      <c r="R836" s="4" t="str">
        <f>IF(Student­­Performance[[#This Row],[Reading Score]]&gt;=50,"Pass","Fail")</f>
        <v>Fail</v>
      </c>
      <c r="S836" s="4" t="str">
        <f>IF(Student­­Performance[[#This Row],[Writing Score]]&gt;=50,"Pass","Fail")</f>
        <v>Fail</v>
      </c>
      <c r="T83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155</v>
      </c>
      <c r="U836" s="4" cm="1">
        <f t="array" ref="U836">IF(COUNT(F836:H836)=0,"", MAX(IF(ISNUMBER(F836:H836),F836:H836)) - MIN(IF(ISNUMBER(F836:H836),F836:H836)))</f>
        <v>15</v>
      </c>
      <c r="V836" s="4" t="str">
        <f>IF(U836="","",IF(U836&gt;25,"Outlier","Normal"))</f>
        <v>Normal</v>
      </c>
    </row>
    <row r="837" spans="1:22" x14ac:dyDescent="0.3">
      <c r="A837" s="1" t="s">
        <v>17</v>
      </c>
      <c r="B837" s="1" t="s">
        <v>18</v>
      </c>
      <c r="C837" s="1" t="s">
        <v>87</v>
      </c>
      <c r="D837" s="1" t="s">
        <v>20</v>
      </c>
      <c r="E837" s="1" t="s">
        <v>12</v>
      </c>
      <c r="F837" s="4">
        <v>53</v>
      </c>
      <c r="G837" s="4">
        <v>58</v>
      </c>
      <c r="H837" s="4">
        <v>44</v>
      </c>
      <c r="I837" s="4">
        <f>AVERAGE(Student­­Performance[[#This Row],[Math Score]],Student­­Performance[[#This Row],[Reading Score]],Student­­Performance[[#This Row],[Writing Score]])</f>
        <v>51.666666666666664</v>
      </c>
      <c r="J837" s="10" t="str">
        <f>IF(Student­­Performance[[#This Row],[Average Score]]&gt;=50,"Pass","Fail")</f>
        <v>Pass</v>
      </c>
      <c r="K83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83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-14</v>
      </c>
      <c r="M83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-9</v>
      </c>
      <c r="N837" s="4">
        <f>IF(ISNUMBER(Student­­Performance[[#This Row],[Math Score]]),Student­­Performance[[#This Row],[Math Score]],0)</f>
        <v>53</v>
      </c>
      <c r="O837" s="4">
        <f>IF(ISNUMBER(Student­­Performance[[#This Row],[Reading Score]]),Student­­Performance[[#This Row],[Reading Score]],0)</f>
        <v>58</v>
      </c>
      <c r="P837" s="4">
        <f>IF(ISNUMBER(Student­­Performance[[#This Row],[Writing Score]]),Student­­Performance[[#This Row],[Writing Score]],0)</f>
        <v>44</v>
      </c>
      <c r="Q837" s="4" t="str">
        <f>IF(Student­­Performance[[#This Row],[Math Score]]&gt;=50,"Pass","Fail")</f>
        <v>Pass</v>
      </c>
      <c r="R837" s="4" t="str">
        <f>IF(Student­­Performance[[#This Row],[Reading Score]]&gt;=50,"Pass","Fail")</f>
        <v>Pass</v>
      </c>
      <c r="S837" s="4" t="str">
        <f>IF(Student­­Performance[[#This Row],[Writing Score]]&gt;=50,"Pass","Fail")</f>
        <v>Fail</v>
      </c>
      <c r="T83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155</v>
      </c>
      <c r="U837" s="4" cm="1">
        <f t="array" ref="U837">IF(COUNT(F837:H837)=0,"", MAX(IF(ISNUMBER(F837:H837),F837:H837)) - MIN(IF(ISNUMBER(F837:H837),F837:H837)))</f>
        <v>14</v>
      </c>
      <c r="V837" s="4" t="str">
        <f>IF(U837="","",IF(U837&gt;25,"Outlier","Normal"))</f>
        <v>Normal</v>
      </c>
    </row>
    <row r="838" spans="1:22" x14ac:dyDescent="0.3">
      <c r="A838" s="1" t="s">
        <v>8</v>
      </c>
      <c r="B838" s="1" t="s">
        <v>13</v>
      </c>
      <c r="C838" s="1" t="s">
        <v>86</v>
      </c>
      <c r="D838" s="1" t="s">
        <v>11</v>
      </c>
      <c r="E838" s="1" t="s">
        <v>12</v>
      </c>
      <c r="F838" s="4">
        <v>49</v>
      </c>
      <c r="G838" s="4">
        <v>53</v>
      </c>
      <c r="H838" s="4">
        <v>53</v>
      </c>
      <c r="I838" s="4">
        <f>AVERAGE(Student­­Performance[[#This Row],[Math Score]],Student­­Performance[[#This Row],[Reading Score]],Student­­Performance[[#This Row],[Writing Score]])</f>
        <v>51.666666666666664</v>
      </c>
      <c r="J838" s="10" t="str">
        <f>IF(Student­­Performance[[#This Row],[Average Score]]&gt;=50,"Pass","Fail")</f>
        <v>Pass</v>
      </c>
      <c r="K83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83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83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838" s="4">
        <f>IF(ISNUMBER(Student­­Performance[[#This Row],[Math Score]]),Student­­Performance[[#This Row],[Math Score]],0)</f>
        <v>49</v>
      </c>
      <c r="O838" s="4">
        <f>IF(ISNUMBER(Student­­Performance[[#This Row],[Reading Score]]),Student­­Performance[[#This Row],[Reading Score]],0)</f>
        <v>53</v>
      </c>
      <c r="P838" s="4">
        <f>IF(ISNUMBER(Student­­Performance[[#This Row],[Writing Score]]),Student­­Performance[[#This Row],[Writing Score]],0)</f>
        <v>53</v>
      </c>
      <c r="Q838" s="4" t="str">
        <f>IF(Student­­Performance[[#This Row],[Math Score]]&gt;=50,"Pass","Fail")</f>
        <v>Fail</v>
      </c>
      <c r="R838" s="4" t="str">
        <f>IF(Student­­Performance[[#This Row],[Reading Score]]&gt;=50,"Pass","Fail")</f>
        <v>Pass</v>
      </c>
      <c r="S838" s="4" t="str">
        <f>IF(Student­­Performance[[#This Row],[Writing Score]]&gt;=50,"Pass","Fail")</f>
        <v>Pass</v>
      </c>
      <c r="T83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155</v>
      </c>
      <c r="U838" s="4" cm="1">
        <f t="array" ref="U838">IF(COUNT(F838:H838)=0,"", MAX(IF(ISNUMBER(F838:H838),F838:H838)) - MIN(IF(ISNUMBER(F838:H838),F838:H838)))</f>
        <v>4</v>
      </c>
      <c r="V838" s="4" t="str">
        <f>IF(U838="","",IF(U838&gt;25,"Outlier","Normal"))</f>
        <v>Normal</v>
      </c>
    </row>
    <row r="839" spans="1:22" x14ac:dyDescent="0.3">
      <c r="A839" s="1" t="s">
        <v>8</v>
      </c>
      <c r="B839" s="1" t="s">
        <v>13</v>
      </c>
      <c r="C839" s="1" t="s">
        <v>88</v>
      </c>
      <c r="D839" s="1" t="s">
        <v>20</v>
      </c>
      <c r="E839" s="1" t="s">
        <v>12</v>
      </c>
      <c r="F839" s="4">
        <v>48</v>
      </c>
      <c r="G839" s="4">
        <v>56</v>
      </c>
      <c r="H839" s="4">
        <v>51</v>
      </c>
      <c r="I839" s="4">
        <f>AVERAGE(Student­­Performance[[#This Row],[Math Score]],Student­­Performance[[#This Row],[Reading Score]],Student­­Performance[[#This Row],[Writing Score]])</f>
        <v>51.666666666666664</v>
      </c>
      <c r="J839" s="10" t="str">
        <f>IF(Student­­Performance[[#This Row],[Average Score]]&gt;=50,"Pass","Fail")</f>
        <v>Pass</v>
      </c>
      <c r="K83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83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83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839" s="4">
        <f>IF(ISNUMBER(Student­­Performance[[#This Row],[Math Score]]),Student­­Performance[[#This Row],[Math Score]],0)</f>
        <v>48</v>
      </c>
      <c r="O839" s="4">
        <f>IF(ISNUMBER(Student­­Performance[[#This Row],[Reading Score]]),Student­­Performance[[#This Row],[Reading Score]],0)</f>
        <v>56</v>
      </c>
      <c r="P839" s="4">
        <f>IF(ISNUMBER(Student­­Performance[[#This Row],[Writing Score]]),Student­­Performance[[#This Row],[Writing Score]],0)</f>
        <v>51</v>
      </c>
      <c r="Q839" s="4" t="str">
        <f>IF(Student­­Performance[[#This Row],[Math Score]]&gt;=50,"Pass","Fail")</f>
        <v>Fail</v>
      </c>
      <c r="R839" s="4" t="str">
        <f>IF(Student­­Performance[[#This Row],[Reading Score]]&gt;=50,"Pass","Fail")</f>
        <v>Pass</v>
      </c>
      <c r="S839" s="4" t="str">
        <f>IF(Student­­Performance[[#This Row],[Writing Score]]&gt;=50,"Pass","Fail")</f>
        <v>Pass</v>
      </c>
      <c r="T83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155</v>
      </c>
      <c r="U839" s="4" cm="1">
        <f t="array" ref="U839">IF(COUNT(F839:H839)=0,"", MAX(IF(ISNUMBER(F839:H839),F839:H839)) - MIN(IF(ISNUMBER(F839:H839),F839:H839)))</f>
        <v>8</v>
      </c>
      <c r="V839" s="4" t="str">
        <f>IF(U839="","",IF(U839&gt;25,"Outlier","Normal"))</f>
        <v>Normal</v>
      </c>
    </row>
    <row r="840" spans="1:22" x14ac:dyDescent="0.3">
      <c r="A840" s="1" t="s">
        <v>8</v>
      </c>
      <c r="B840" s="1" t="s">
        <v>21</v>
      </c>
      <c r="C840" s="1" t="s">
        <v>88</v>
      </c>
      <c r="D840" s="1" t="s">
        <v>20</v>
      </c>
      <c r="E840" s="1" t="s">
        <v>12</v>
      </c>
      <c r="F840" s="4">
        <v>48</v>
      </c>
      <c r="G840" s="4">
        <v>54</v>
      </c>
      <c r="H840" s="4">
        <v>53</v>
      </c>
      <c r="I840" s="4">
        <f>AVERAGE(Student­­Performance[[#This Row],[Math Score]],Student­­Performance[[#This Row],[Reading Score]],Student­­Performance[[#This Row],[Writing Score]])</f>
        <v>51.666666666666664</v>
      </c>
      <c r="J840" s="10" t="str">
        <f>IF(Student­­Performance[[#This Row],[Average Score]]&gt;=50,"Pass","Fail")</f>
        <v>Pass</v>
      </c>
      <c r="K84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84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84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840" s="4">
        <f>IF(ISNUMBER(Student­­Performance[[#This Row],[Math Score]]),Student­­Performance[[#This Row],[Math Score]],0)</f>
        <v>48</v>
      </c>
      <c r="O840" s="4">
        <f>IF(ISNUMBER(Student­­Performance[[#This Row],[Reading Score]]),Student­­Performance[[#This Row],[Reading Score]],0)</f>
        <v>54</v>
      </c>
      <c r="P840" s="4">
        <f>IF(ISNUMBER(Student­­Performance[[#This Row],[Writing Score]]),Student­­Performance[[#This Row],[Writing Score]],0)</f>
        <v>53</v>
      </c>
      <c r="Q840" s="4" t="str">
        <f>IF(Student­­Performance[[#This Row],[Math Score]]&gt;=50,"Pass","Fail")</f>
        <v>Fail</v>
      </c>
      <c r="R840" s="4" t="str">
        <f>IF(Student­­Performance[[#This Row],[Reading Score]]&gt;=50,"Pass","Fail")</f>
        <v>Pass</v>
      </c>
      <c r="S840" s="4" t="str">
        <f>IF(Student­­Performance[[#This Row],[Writing Score]]&gt;=50,"Pass","Fail")</f>
        <v>Pass</v>
      </c>
      <c r="T84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155</v>
      </c>
      <c r="U840" s="4" cm="1">
        <f t="array" ref="U840">IF(COUNT(F840:H840)=0,"", MAX(IF(ISNUMBER(F840:H840),F840:H840)) - MIN(IF(ISNUMBER(F840:H840),F840:H840)))</f>
        <v>6</v>
      </c>
      <c r="V840" s="4" t="str">
        <f>IF(U840="","",IF(U840&gt;25,"Outlier","Normal"))</f>
        <v>Normal</v>
      </c>
    </row>
    <row r="841" spans="1:22" x14ac:dyDescent="0.3">
      <c r="A841" s="1" t="s">
        <v>17</v>
      </c>
      <c r="B841" s="1" t="s">
        <v>18</v>
      </c>
      <c r="C841" s="1" t="s">
        <v>86</v>
      </c>
      <c r="D841" s="1" t="s">
        <v>11</v>
      </c>
      <c r="E841" s="1" t="s">
        <v>12</v>
      </c>
      <c r="F841" s="4">
        <v>54</v>
      </c>
      <c r="G841" s="4">
        <v>53</v>
      </c>
      <c r="H841" s="4">
        <v>47</v>
      </c>
      <c r="I841" s="4">
        <f>AVERAGE(Student­­Performance[[#This Row],[Math Score]],Student­­Performance[[#This Row],[Reading Score]],Student­­Performance[[#This Row],[Writing Score]])</f>
        <v>51.333333333333336</v>
      </c>
      <c r="J841" s="10" t="str">
        <f>IF(Student­­Performance[[#This Row],[Average Score]]&gt;=50,"Pass","Fail")</f>
        <v>Pass</v>
      </c>
      <c r="K84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84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84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841" s="4">
        <f>IF(ISNUMBER(Student­­Performance[[#This Row],[Math Score]]),Student­­Performance[[#This Row],[Math Score]],0)</f>
        <v>54</v>
      </c>
      <c r="O841" s="4">
        <f>IF(ISNUMBER(Student­­Performance[[#This Row],[Reading Score]]),Student­­Performance[[#This Row],[Reading Score]],0)</f>
        <v>53</v>
      </c>
      <c r="P841" s="4">
        <f>IF(ISNUMBER(Student­­Performance[[#This Row],[Writing Score]]),Student­­Performance[[#This Row],[Writing Score]],0)</f>
        <v>47</v>
      </c>
      <c r="Q841" s="4" t="str">
        <f>IF(Student­­Performance[[#This Row],[Math Score]]&gt;=50,"Pass","Fail")</f>
        <v>Pass</v>
      </c>
      <c r="R841" s="4" t="str">
        <f>IF(Student­­Performance[[#This Row],[Reading Score]]&gt;=50,"Pass","Fail")</f>
        <v>Pass</v>
      </c>
      <c r="S841" s="4" t="str">
        <f>IF(Student­­Performance[[#This Row],[Writing Score]]&gt;=50,"Pass","Fail")</f>
        <v>Fail</v>
      </c>
      <c r="T84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154</v>
      </c>
      <c r="U841" s="4" cm="1">
        <f t="array" ref="U841">IF(COUNT(F841:H841)=0,"", MAX(IF(ISNUMBER(F841:H841),F841:H841)) - MIN(IF(ISNUMBER(F841:H841),F841:H841)))</f>
        <v>7</v>
      </c>
      <c r="V841" s="4" t="str">
        <f>IF(U841="","",IF(U841&gt;25,"Outlier","Normal"))</f>
        <v>Normal</v>
      </c>
    </row>
    <row r="842" spans="1:22" x14ac:dyDescent="0.3">
      <c r="A842" s="1" t="s">
        <v>17</v>
      </c>
      <c r="B842" s="1" t="s">
        <v>9</v>
      </c>
      <c r="C842" s="1" t="s">
        <v>85</v>
      </c>
      <c r="D842" s="1" t="s">
        <v>20</v>
      </c>
      <c r="E842" s="1" t="s">
        <v>12</v>
      </c>
      <c r="F842" s="4">
        <v>49</v>
      </c>
      <c r="G842" s="4">
        <v>53</v>
      </c>
      <c r="H842" s="4">
        <v>52</v>
      </c>
      <c r="I842" s="4">
        <f>AVERAGE(Student­­Performance[[#This Row],[Math Score]],Student­­Performance[[#This Row],[Reading Score]],Student­­Performance[[#This Row],[Writing Score]])</f>
        <v>51.333333333333336</v>
      </c>
      <c r="J842" s="10" t="str">
        <f>IF(Student­­Performance[[#This Row],[Average Score]]&gt;=50,"Pass","Fail")</f>
        <v>Pass</v>
      </c>
      <c r="K84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84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84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842" s="4">
        <f>IF(ISNUMBER(Student­­Performance[[#This Row],[Math Score]]),Student­­Performance[[#This Row],[Math Score]],0)</f>
        <v>49</v>
      </c>
      <c r="O842" s="4">
        <f>IF(ISNUMBER(Student­­Performance[[#This Row],[Reading Score]]),Student­­Performance[[#This Row],[Reading Score]],0)</f>
        <v>53</v>
      </c>
      <c r="P842" s="4">
        <f>IF(ISNUMBER(Student­­Performance[[#This Row],[Writing Score]]),Student­­Performance[[#This Row],[Writing Score]],0)</f>
        <v>52</v>
      </c>
      <c r="Q842" s="4" t="str">
        <f>IF(Student­­Performance[[#This Row],[Math Score]]&gt;=50,"Pass","Fail")</f>
        <v>Fail</v>
      </c>
      <c r="R842" s="4" t="str">
        <f>IF(Student­­Performance[[#This Row],[Reading Score]]&gt;=50,"Pass","Fail")</f>
        <v>Pass</v>
      </c>
      <c r="S842" s="4" t="str">
        <f>IF(Student­­Performance[[#This Row],[Writing Score]]&gt;=50,"Pass","Fail")</f>
        <v>Pass</v>
      </c>
      <c r="T84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154</v>
      </c>
      <c r="U842" s="4" cm="1">
        <f t="array" ref="U842">IF(COUNT(F842:H842)=0,"", MAX(IF(ISNUMBER(F842:H842),F842:H842)) - MIN(IF(ISNUMBER(F842:H842),F842:H842)))</f>
        <v>4</v>
      </c>
      <c r="V842" s="4" t="str">
        <f>IF(U842="","",IF(U842&gt;25,"Outlier","Normal"))</f>
        <v>Normal</v>
      </c>
    </row>
    <row r="843" spans="1:22" x14ac:dyDescent="0.3">
      <c r="A843" s="1" t="s">
        <v>17</v>
      </c>
      <c r="B843" s="1" t="s">
        <v>13</v>
      </c>
      <c r="C843" s="1" t="s">
        <v>87</v>
      </c>
      <c r="D843" s="1" t="s">
        <v>11</v>
      </c>
      <c r="E843" s="1" t="s">
        <v>12</v>
      </c>
      <c r="F843" s="4">
        <v>52</v>
      </c>
      <c r="G843" s="4">
        <v>53</v>
      </c>
      <c r="H843" s="4">
        <v>49</v>
      </c>
      <c r="I843" s="4">
        <f>AVERAGE(Student­­Performance[[#This Row],[Math Score]],Student­­Performance[[#This Row],[Reading Score]],Student­­Performance[[#This Row],[Writing Score]])</f>
        <v>51.333333333333336</v>
      </c>
      <c r="J843" s="10" t="str">
        <f>IF(Student­­Performance[[#This Row],[Average Score]]&gt;=50,"Pass","Fail")</f>
        <v>Pass</v>
      </c>
      <c r="K84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84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84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843" s="4">
        <f>IF(ISNUMBER(Student­­Performance[[#This Row],[Math Score]]),Student­­Performance[[#This Row],[Math Score]],0)</f>
        <v>52</v>
      </c>
      <c r="O843" s="4">
        <f>IF(ISNUMBER(Student­­Performance[[#This Row],[Reading Score]]),Student­­Performance[[#This Row],[Reading Score]],0)</f>
        <v>53</v>
      </c>
      <c r="P843" s="4">
        <f>IF(ISNUMBER(Student­­Performance[[#This Row],[Writing Score]]),Student­­Performance[[#This Row],[Writing Score]],0)</f>
        <v>49</v>
      </c>
      <c r="Q843" s="4" t="str">
        <f>IF(Student­­Performance[[#This Row],[Math Score]]&gt;=50,"Pass","Fail")</f>
        <v>Pass</v>
      </c>
      <c r="R843" s="4" t="str">
        <f>IF(Student­­Performance[[#This Row],[Reading Score]]&gt;=50,"Pass","Fail")</f>
        <v>Pass</v>
      </c>
      <c r="S843" s="4" t="str">
        <f>IF(Student­­Performance[[#This Row],[Writing Score]]&gt;=50,"Pass","Fail")</f>
        <v>Fail</v>
      </c>
      <c r="T84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154</v>
      </c>
      <c r="U843" s="4" cm="1">
        <f t="array" ref="U843">IF(COUNT(F843:H843)=0,"", MAX(IF(ISNUMBER(F843:H843),F843:H843)) - MIN(IF(ISNUMBER(F843:H843),F843:H843)))</f>
        <v>4</v>
      </c>
      <c r="V843" s="4" t="str">
        <f>IF(U843="","",IF(U843&gt;25,"Outlier","Normal"))</f>
        <v>Normal</v>
      </c>
    </row>
    <row r="844" spans="1:22" x14ac:dyDescent="0.3">
      <c r="A844" s="1" t="s">
        <v>17</v>
      </c>
      <c r="B844" s="1" t="s">
        <v>13</v>
      </c>
      <c r="C844" s="1" t="s">
        <v>86</v>
      </c>
      <c r="D844" s="1" t="s">
        <v>11</v>
      </c>
      <c r="E844" s="1" t="s">
        <v>15</v>
      </c>
      <c r="F844" s="4" t="s">
        <v>90</v>
      </c>
      <c r="G844" s="4">
        <v>77</v>
      </c>
      <c r="H844" s="4">
        <v>77</v>
      </c>
      <c r="I844" s="4">
        <f>AVERAGE(Student­­Performance[[#This Row],[Math Score]],Student­­Performance[[#This Row],[Reading Score]],Student­­Performance[[#This Row],[Writing Score]])</f>
        <v>77</v>
      </c>
      <c r="J844" s="10" t="str">
        <f>IF(Student­­Performance[[#This Row],[Average Score]]&gt;=50,"Pass","Fail")</f>
        <v>Pass</v>
      </c>
      <c r="K844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84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844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844" s="4">
        <f>IF(ISNUMBER(Student­­Performance[[#This Row],[Math Score]]),Student­­Performance[[#This Row],[Math Score]],0)</f>
        <v>0</v>
      </c>
      <c r="O844" s="4">
        <f>IF(ISNUMBER(Student­­Performance[[#This Row],[Reading Score]]),Student­­Performance[[#This Row],[Reading Score]],0)</f>
        <v>77</v>
      </c>
      <c r="P844" s="4">
        <f>IF(ISNUMBER(Student­­Performance[[#This Row],[Writing Score]]),Student­­Performance[[#This Row],[Writing Score]],0)</f>
        <v>77</v>
      </c>
      <c r="Q844" s="4" t="str">
        <f>IF(Student­­Performance[[#This Row],[Math Score]]&gt;=50,"Pass","Fail")</f>
        <v>Pass</v>
      </c>
      <c r="R844" s="4" t="str">
        <f>IF(Student­­Performance[[#This Row],[Reading Score]]&gt;=50,"Pass","Fail")</f>
        <v>Pass</v>
      </c>
      <c r="S844" s="4" t="str">
        <f>IF(Student­­Performance[[#This Row],[Writing Score]]&gt;=50,"Pass","Fail")</f>
        <v>Pass</v>
      </c>
      <c r="T84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154</v>
      </c>
      <c r="U844" s="4" cm="1">
        <f t="array" ref="U844">IF(COUNT(F844:H844)=0,"", MAX(IF(ISNUMBER(F844:H844),F844:H844)) - MIN(IF(ISNUMBER(F844:H844),F844:H844)))</f>
        <v>0</v>
      </c>
      <c r="V844" s="4" t="str">
        <f>IF(U844="","",IF(U844&gt;25,"Outlier","Normal"))</f>
        <v>Normal</v>
      </c>
    </row>
    <row r="845" spans="1:22" x14ac:dyDescent="0.3">
      <c r="A845" s="1" t="s">
        <v>8</v>
      </c>
      <c r="B845" s="1" t="s">
        <v>13</v>
      </c>
      <c r="C845" s="1" t="s">
        <v>86</v>
      </c>
      <c r="D845" s="1" t="s">
        <v>11</v>
      </c>
      <c r="E845" s="1" t="s">
        <v>15</v>
      </c>
      <c r="F845" s="4">
        <v>68</v>
      </c>
      <c r="G845" s="4">
        <v>86</v>
      </c>
      <c r="H845" s="4" t="s">
        <v>90</v>
      </c>
      <c r="I845" s="4">
        <f>AVERAGE(Student­­Performance[[#This Row],[Math Score]],Student­­Performance[[#This Row],[Reading Score]],Student­­Performance[[#This Row],[Writing Score]])</f>
        <v>77</v>
      </c>
      <c r="J845" s="10" t="str">
        <f>IF(Student­­Performance[[#This Row],[Average Score]]&gt;=50,"Pass","Fail")</f>
        <v>Pass</v>
      </c>
      <c r="K84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18</v>
      </c>
      <c r="L845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845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845" s="4">
        <f>IF(ISNUMBER(Student­­Performance[[#This Row],[Math Score]]),Student­­Performance[[#This Row],[Math Score]],0)</f>
        <v>68</v>
      </c>
      <c r="O845" s="4">
        <f>IF(ISNUMBER(Student­­Performance[[#This Row],[Reading Score]]),Student­­Performance[[#This Row],[Reading Score]],0)</f>
        <v>86</v>
      </c>
      <c r="P845" s="4">
        <f>IF(ISNUMBER(Student­­Performance[[#This Row],[Writing Score]]),Student­­Performance[[#This Row],[Writing Score]],0)</f>
        <v>0</v>
      </c>
      <c r="Q845" s="4" t="str">
        <f>IF(Student­­Performance[[#This Row],[Math Score]]&gt;=50,"Pass","Fail")</f>
        <v>Pass</v>
      </c>
      <c r="R845" s="4" t="str">
        <f>IF(Student­­Performance[[#This Row],[Reading Score]]&gt;=50,"Pass","Fail")</f>
        <v>Pass</v>
      </c>
      <c r="S845" s="4" t="str">
        <f>IF(Student­­Performance[[#This Row],[Writing Score]]&gt;=50,"Pass","Fail")</f>
        <v>Pass</v>
      </c>
      <c r="T84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154</v>
      </c>
      <c r="U845" s="4" cm="1">
        <f t="array" ref="U845">IF(COUNT(F845:H845)=0,"", MAX(IF(ISNUMBER(F845:H845),F845:H845)) - MIN(IF(ISNUMBER(F845:H845),F845:H845)))</f>
        <v>18</v>
      </c>
      <c r="V845" s="4" t="str">
        <f>IF(U845="","",IF(U845&gt;25,"Outlier","Normal"))</f>
        <v>Normal</v>
      </c>
    </row>
    <row r="846" spans="1:22" x14ac:dyDescent="0.3">
      <c r="A846" s="1" t="s">
        <v>8</v>
      </c>
      <c r="B846" s="1" t="s">
        <v>13</v>
      </c>
      <c r="C846" s="1" t="s">
        <v>84</v>
      </c>
      <c r="D846" s="1" t="s">
        <v>11</v>
      </c>
      <c r="E846" s="1" t="s">
        <v>12</v>
      </c>
      <c r="F846" s="4">
        <v>54</v>
      </c>
      <c r="G846" s="4">
        <v>48</v>
      </c>
      <c r="H846" s="4">
        <v>52</v>
      </c>
      <c r="I846" s="4">
        <f>AVERAGE(Student­­Performance[[#This Row],[Math Score]],Student­­Performance[[#This Row],[Reading Score]],Student­­Performance[[#This Row],[Writing Score]])</f>
        <v>51.333333333333336</v>
      </c>
      <c r="J846" s="10" t="str">
        <f>IF(Student­­Performance[[#This Row],[Average Score]]&gt;=50,"Pass","Fail")</f>
        <v>Pass</v>
      </c>
      <c r="K84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84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84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846" s="4">
        <f>IF(ISNUMBER(Student­­Performance[[#This Row],[Math Score]]),Student­­Performance[[#This Row],[Math Score]],0)</f>
        <v>54</v>
      </c>
      <c r="O846" s="4">
        <f>IF(ISNUMBER(Student­­Performance[[#This Row],[Reading Score]]),Student­­Performance[[#This Row],[Reading Score]],0)</f>
        <v>48</v>
      </c>
      <c r="P846" s="4">
        <f>IF(ISNUMBER(Student­­Performance[[#This Row],[Writing Score]]),Student­­Performance[[#This Row],[Writing Score]],0)</f>
        <v>52</v>
      </c>
      <c r="Q846" s="4" t="str">
        <f>IF(Student­­Performance[[#This Row],[Math Score]]&gt;=50,"Pass","Fail")</f>
        <v>Pass</v>
      </c>
      <c r="R846" s="4" t="str">
        <f>IF(Student­­Performance[[#This Row],[Reading Score]]&gt;=50,"Pass","Fail")</f>
        <v>Fail</v>
      </c>
      <c r="S846" s="4" t="str">
        <f>IF(Student­­Performance[[#This Row],[Writing Score]]&gt;=50,"Pass","Fail")</f>
        <v>Pass</v>
      </c>
      <c r="T84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154</v>
      </c>
      <c r="U846" s="4" cm="1">
        <f t="array" ref="U846">IF(COUNT(F846:H846)=0,"", MAX(IF(ISNUMBER(F846:H846),F846:H846)) - MIN(IF(ISNUMBER(F846:H846),F846:H846)))</f>
        <v>6</v>
      </c>
      <c r="V846" s="4" t="str">
        <f>IF(U846="","",IF(U846&gt;25,"Outlier","Normal"))</f>
        <v>Normal</v>
      </c>
    </row>
    <row r="847" spans="1:22" x14ac:dyDescent="0.3">
      <c r="A847" s="1" t="s">
        <v>17</v>
      </c>
      <c r="B847" s="1" t="s">
        <v>13</v>
      </c>
      <c r="C847" s="1" t="s">
        <v>87</v>
      </c>
      <c r="D847" s="1" t="s">
        <v>11</v>
      </c>
      <c r="E847" s="1" t="s">
        <v>15</v>
      </c>
      <c r="F847" s="4">
        <v>53</v>
      </c>
      <c r="G847" s="4">
        <v>52</v>
      </c>
      <c r="H847" s="4">
        <v>49</v>
      </c>
      <c r="I847" s="4">
        <f>AVERAGE(Student­­Performance[[#This Row],[Math Score]],Student­­Performance[[#This Row],[Reading Score]],Student­­Performance[[#This Row],[Writing Score]])</f>
        <v>51.333333333333336</v>
      </c>
      <c r="J847" s="10" t="str">
        <f>IF(Student­­Performance[[#This Row],[Average Score]]&gt;=50,"Pass","Fail")</f>
        <v>Pass</v>
      </c>
      <c r="K84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84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84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847" s="4">
        <f>IF(ISNUMBER(Student­­Performance[[#This Row],[Math Score]]),Student­­Performance[[#This Row],[Math Score]],0)</f>
        <v>53</v>
      </c>
      <c r="O847" s="4">
        <f>IF(ISNUMBER(Student­­Performance[[#This Row],[Reading Score]]),Student­­Performance[[#This Row],[Reading Score]],0)</f>
        <v>52</v>
      </c>
      <c r="P847" s="4">
        <f>IF(ISNUMBER(Student­­Performance[[#This Row],[Writing Score]]),Student­­Performance[[#This Row],[Writing Score]],0)</f>
        <v>49</v>
      </c>
      <c r="Q847" s="4" t="str">
        <f>IF(Student­­Performance[[#This Row],[Math Score]]&gt;=50,"Pass","Fail")</f>
        <v>Pass</v>
      </c>
      <c r="R847" s="4" t="str">
        <f>IF(Student­­Performance[[#This Row],[Reading Score]]&gt;=50,"Pass","Fail")</f>
        <v>Pass</v>
      </c>
      <c r="S847" s="4" t="str">
        <f>IF(Student­­Performance[[#This Row],[Writing Score]]&gt;=50,"Pass","Fail")</f>
        <v>Fail</v>
      </c>
      <c r="T84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154</v>
      </c>
      <c r="U847" s="4" cm="1">
        <f t="array" ref="U847">IF(COUNT(F847:H847)=0,"", MAX(IF(ISNUMBER(F847:H847),F847:H847)) - MIN(IF(ISNUMBER(F847:H847),F847:H847)))</f>
        <v>4</v>
      </c>
      <c r="V847" s="4" t="str">
        <f>IF(U847="","",IF(U847&gt;25,"Outlier","Normal"))</f>
        <v>Normal</v>
      </c>
    </row>
    <row r="848" spans="1:22" x14ac:dyDescent="0.3">
      <c r="A848" s="1" t="s">
        <v>8</v>
      </c>
      <c r="B848" s="1" t="s">
        <v>13</v>
      </c>
      <c r="C848" s="1" t="s">
        <v>88</v>
      </c>
      <c r="D848" s="1" t="s">
        <v>11</v>
      </c>
      <c r="E848" s="1" t="s">
        <v>12</v>
      </c>
      <c r="F848" s="4">
        <v>47</v>
      </c>
      <c r="G848" s="4">
        <v>54</v>
      </c>
      <c r="H848" s="4">
        <v>53</v>
      </c>
      <c r="I848" s="4">
        <f>AVERAGE(Student­­Performance[[#This Row],[Math Score]],Student­­Performance[[#This Row],[Reading Score]],Student­­Performance[[#This Row],[Writing Score]])</f>
        <v>51.333333333333336</v>
      </c>
      <c r="J848" s="10" t="str">
        <f>IF(Student­­Performance[[#This Row],[Average Score]]&gt;=50,"Pass","Fail")</f>
        <v>Pass</v>
      </c>
      <c r="K84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84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84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848" s="4">
        <f>IF(ISNUMBER(Student­­Performance[[#This Row],[Math Score]]),Student­­Performance[[#This Row],[Math Score]],0)</f>
        <v>47</v>
      </c>
      <c r="O848" s="4">
        <f>IF(ISNUMBER(Student­­Performance[[#This Row],[Reading Score]]),Student­­Performance[[#This Row],[Reading Score]],0)</f>
        <v>54</v>
      </c>
      <c r="P848" s="4">
        <f>IF(ISNUMBER(Student­­Performance[[#This Row],[Writing Score]]),Student­­Performance[[#This Row],[Writing Score]],0)</f>
        <v>53</v>
      </c>
      <c r="Q848" s="4" t="str">
        <f>IF(Student­­Performance[[#This Row],[Math Score]]&gt;=50,"Pass","Fail")</f>
        <v>Fail</v>
      </c>
      <c r="R848" s="4" t="str">
        <f>IF(Student­­Performance[[#This Row],[Reading Score]]&gt;=50,"Pass","Fail")</f>
        <v>Pass</v>
      </c>
      <c r="S848" s="4" t="str">
        <f>IF(Student­­Performance[[#This Row],[Writing Score]]&gt;=50,"Pass","Fail")</f>
        <v>Pass</v>
      </c>
      <c r="T84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154</v>
      </c>
      <c r="U848" s="4" cm="1">
        <f t="array" ref="U848">IF(COUNT(F848:H848)=0,"", MAX(IF(ISNUMBER(F848:H848),F848:H848)) - MIN(IF(ISNUMBER(F848:H848),F848:H848)))</f>
        <v>7</v>
      </c>
      <c r="V848" s="4" t="str">
        <f>IF(U848="","",IF(U848&gt;25,"Outlier","Normal"))</f>
        <v>Normal</v>
      </c>
    </row>
    <row r="849" spans="1:22" x14ac:dyDescent="0.3">
      <c r="A849" s="1" t="s">
        <v>8</v>
      </c>
      <c r="B849" s="1" t="s">
        <v>9</v>
      </c>
      <c r="C849" s="1" t="s">
        <v>84</v>
      </c>
      <c r="D849" s="1" t="s">
        <v>20</v>
      </c>
      <c r="E849" s="1" t="s">
        <v>12</v>
      </c>
      <c r="F849" s="4">
        <v>45</v>
      </c>
      <c r="G849" s="4">
        <v>53</v>
      </c>
      <c r="H849" s="4">
        <v>55</v>
      </c>
      <c r="I849" s="4">
        <f>AVERAGE(Student­­Performance[[#This Row],[Math Score]],Student­­Performance[[#This Row],[Reading Score]],Student­­Performance[[#This Row],[Writing Score]])</f>
        <v>51</v>
      </c>
      <c r="J849" s="10" t="str">
        <f>IF(Student­­Performance[[#This Row],[Average Score]]&gt;=50,"Pass","Fail")</f>
        <v>Pass</v>
      </c>
      <c r="K84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84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84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849" s="4">
        <f>IF(ISNUMBER(Student­­Performance[[#This Row],[Math Score]]),Student­­Performance[[#This Row],[Math Score]],0)</f>
        <v>45</v>
      </c>
      <c r="O849" s="4">
        <f>IF(ISNUMBER(Student­­Performance[[#This Row],[Reading Score]]),Student­­Performance[[#This Row],[Reading Score]],0)</f>
        <v>53</v>
      </c>
      <c r="P849" s="4">
        <f>IF(ISNUMBER(Student­­Performance[[#This Row],[Writing Score]]),Student­­Performance[[#This Row],[Writing Score]],0)</f>
        <v>55</v>
      </c>
      <c r="Q849" s="4" t="str">
        <f>IF(Student­­Performance[[#This Row],[Math Score]]&gt;=50,"Pass","Fail")</f>
        <v>Fail</v>
      </c>
      <c r="R849" s="4" t="str">
        <f>IF(Student­­Performance[[#This Row],[Reading Score]]&gt;=50,"Pass","Fail")</f>
        <v>Pass</v>
      </c>
      <c r="S849" s="4" t="str">
        <f>IF(Student­­Performance[[#This Row],[Writing Score]]&gt;=50,"Pass","Fail")</f>
        <v>Pass</v>
      </c>
      <c r="T84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153</v>
      </c>
      <c r="U849" s="4" cm="1">
        <f t="array" ref="U849">IF(COUNT(F849:H849)=0,"", MAX(IF(ISNUMBER(F849:H849),F849:H849)) - MIN(IF(ISNUMBER(F849:H849),F849:H849)))</f>
        <v>10</v>
      </c>
      <c r="V849" s="4" t="str">
        <f>IF(U849="","",IF(U849&gt;25,"Outlier","Normal"))</f>
        <v>Normal</v>
      </c>
    </row>
    <row r="850" spans="1:22" x14ac:dyDescent="0.3">
      <c r="A850" s="1" t="s">
        <v>17</v>
      </c>
      <c r="B850" s="1" t="s">
        <v>26</v>
      </c>
      <c r="C850" s="1" t="s">
        <v>84</v>
      </c>
      <c r="D850" s="1" t="s">
        <v>11</v>
      </c>
      <c r="E850" s="1" t="s">
        <v>12</v>
      </c>
      <c r="F850" s="4">
        <v>59</v>
      </c>
      <c r="G850" s="4">
        <v>51</v>
      </c>
      <c r="H850" s="4">
        <v>43</v>
      </c>
      <c r="I850" s="4">
        <f>AVERAGE(Student­­Performance[[#This Row],[Math Score]],Student­­Performance[[#This Row],[Reading Score]],Student­­Performance[[#This Row],[Writing Score]])</f>
        <v>51</v>
      </c>
      <c r="J850" s="10" t="str">
        <f>IF(Student­­Performance[[#This Row],[Average Score]]&gt;=50,"Pass","Fail")</f>
        <v>Pass</v>
      </c>
      <c r="K85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-8</v>
      </c>
      <c r="L85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-8</v>
      </c>
      <c r="M85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-16</v>
      </c>
      <c r="N850" s="4">
        <f>IF(ISNUMBER(Student­­Performance[[#This Row],[Math Score]]),Student­­Performance[[#This Row],[Math Score]],0)</f>
        <v>59</v>
      </c>
      <c r="O850" s="4">
        <f>IF(ISNUMBER(Student­­Performance[[#This Row],[Reading Score]]),Student­­Performance[[#This Row],[Reading Score]],0)</f>
        <v>51</v>
      </c>
      <c r="P850" s="4">
        <f>IF(ISNUMBER(Student­­Performance[[#This Row],[Writing Score]]),Student­­Performance[[#This Row],[Writing Score]],0)</f>
        <v>43</v>
      </c>
      <c r="Q850" s="4" t="str">
        <f>IF(Student­­Performance[[#This Row],[Math Score]]&gt;=50,"Pass","Fail")</f>
        <v>Pass</v>
      </c>
      <c r="R850" s="4" t="str">
        <f>IF(Student­­Performance[[#This Row],[Reading Score]]&gt;=50,"Pass","Fail")</f>
        <v>Pass</v>
      </c>
      <c r="S850" s="4" t="str">
        <f>IF(Student­­Performance[[#This Row],[Writing Score]]&gt;=50,"Pass","Fail")</f>
        <v>Fail</v>
      </c>
      <c r="T85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153</v>
      </c>
      <c r="U850" s="4" cm="1">
        <f t="array" ref="U850">IF(COUNT(F850:H850)=0,"", MAX(IF(ISNUMBER(F850:H850),F850:H850)) - MIN(IF(ISNUMBER(F850:H850),F850:H850)))</f>
        <v>16</v>
      </c>
      <c r="V850" s="4" t="str">
        <f>IF(U850="","",IF(U850&gt;25,"Outlier","Normal"))</f>
        <v>Normal</v>
      </c>
    </row>
    <row r="851" spans="1:22" x14ac:dyDescent="0.3">
      <c r="A851" s="1" t="s">
        <v>17</v>
      </c>
      <c r="B851" s="1" t="s">
        <v>9</v>
      </c>
      <c r="C851" s="1" t="s">
        <v>84</v>
      </c>
      <c r="D851" s="1" t="s">
        <v>20</v>
      </c>
      <c r="E851" s="1" t="s">
        <v>12</v>
      </c>
      <c r="F851" s="4">
        <v>54</v>
      </c>
      <c r="G851" s="4">
        <v>54</v>
      </c>
      <c r="H851" s="4">
        <v>45</v>
      </c>
      <c r="I851" s="4">
        <f>AVERAGE(Student­­Performance[[#This Row],[Math Score]],Student­­Performance[[#This Row],[Reading Score]],Student­­Performance[[#This Row],[Writing Score]])</f>
        <v>51</v>
      </c>
      <c r="J851" s="10" t="str">
        <f>IF(Student­­Performance[[#This Row],[Average Score]]&gt;=50,"Pass","Fail")</f>
        <v>Pass</v>
      </c>
      <c r="K85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85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-9</v>
      </c>
      <c r="M85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-9</v>
      </c>
      <c r="N851" s="4">
        <f>IF(ISNUMBER(Student­­Performance[[#This Row],[Math Score]]),Student­­Performance[[#This Row],[Math Score]],0)</f>
        <v>54</v>
      </c>
      <c r="O851" s="4">
        <f>IF(ISNUMBER(Student­­Performance[[#This Row],[Reading Score]]),Student­­Performance[[#This Row],[Reading Score]],0)</f>
        <v>54</v>
      </c>
      <c r="P851" s="4">
        <f>IF(ISNUMBER(Student­­Performance[[#This Row],[Writing Score]]),Student­­Performance[[#This Row],[Writing Score]],0)</f>
        <v>45</v>
      </c>
      <c r="Q851" s="4" t="str">
        <f>IF(Student­­Performance[[#This Row],[Math Score]]&gt;=50,"Pass","Fail")</f>
        <v>Pass</v>
      </c>
      <c r="R851" s="4" t="str">
        <f>IF(Student­­Performance[[#This Row],[Reading Score]]&gt;=50,"Pass","Fail")</f>
        <v>Pass</v>
      </c>
      <c r="S851" s="4" t="str">
        <f>IF(Student­­Performance[[#This Row],[Writing Score]]&gt;=50,"Pass","Fail")</f>
        <v>Fail</v>
      </c>
      <c r="T85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153</v>
      </c>
      <c r="U851" s="4" cm="1">
        <f t="array" ref="U851">IF(COUNT(F851:H851)=0,"", MAX(IF(ISNUMBER(F851:H851),F851:H851)) - MIN(IF(ISNUMBER(F851:H851),F851:H851)))</f>
        <v>9</v>
      </c>
      <c r="V851" s="4" t="str">
        <f>IF(U851="","",IF(U851&gt;25,"Outlier","Normal"))</f>
        <v>Normal</v>
      </c>
    </row>
    <row r="852" spans="1:22" x14ac:dyDescent="0.3">
      <c r="A852" s="1" t="s">
        <v>8</v>
      </c>
      <c r="B852" s="1" t="s">
        <v>21</v>
      </c>
      <c r="C852" s="1" t="s">
        <v>85</v>
      </c>
      <c r="D852" s="1" t="s">
        <v>20</v>
      </c>
      <c r="E852" s="1" t="s">
        <v>12</v>
      </c>
      <c r="F852" s="4">
        <v>40</v>
      </c>
      <c r="G852" s="4">
        <v>59</v>
      </c>
      <c r="H852" s="4">
        <v>54</v>
      </c>
      <c r="I852" s="4">
        <f>AVERAGE(Student­­Performance[[#This Row],[Math Score]],Student­­Performance[[#This Row],[Reading Score]],Student­­Performance[[#This Row],[Writing Score]])</f>
        <v>51</v>
      </c>
      <c r="J852" s="10" t="str">
        <f>IF(Student­­Performance[[#This Row],[Average Score]]&gt;=50,"Pass","Fail")</f>
        <v>Pass</v>
      </c>
      <c r="K85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19</v>
      </c>
      <c r="L85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85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14</v>
      </c>
      <c r="N852" s="4">
        <f>IF(ISNUMBER(Student­­Performance[[#This Row],[Math Score]]),Student­­Performance[[#This Row],[Math Score]],0)</f>
        <v>40</v>
      </c>
      <c r="O852" s="4">
        <f>IF(ISNUMBER(Student­­Performance[[#This Row],[Reading Score]]),Student­­Performance[[#This Row],[Reading Score]],0)</f>
        <v>59</v>
      </c>
      <c r="P852" s="4">
        <f>IF(ISNUMBER(Student­­Performance[[#This Row],[Writing Score]]),Student­­Performance[[#This Row],[Writing Score]],0)</f>
        <v>54</v>
      </c>
      <c r="Q852" s="4" t="str">
        <f>IF(Student­­Performance[[#This Row],[Math Score]]&gt;=50,"Pass","Fail")</f>
        <v>Fail</v>
      </c>
      <c r="R852" s="4" t="str">
        <f>IF(Student­­Performance[[#This Row],[Reading Score]]&gt;=50,"Pass","Fail")</f>
        <v>Pass</v>
      </c>
      <c r="S852" s="4" t="str">
        <f>IF(Student­­Performance[[#This Row],[Writing Score]]&gt;=50,"Pass","Fail")</f>
        <v>Pass</v>
      </c>
      <c r="T85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153</v>
      </c>
      <c r="U852" s="4" cm="1">
        <f t="array" ref="U852">IF(COUNT(F852:H852)=0,"", MAX(IF(ISNUMBER(F852:H852),F852:H852)) - MIN(IF(ISNUMBER(F852:H852),F852:H852)))</f>
        <v>19</v>
      </c>
      <c r="V852" s="4" t="str">
        <f>IF(U852="","",IF(U852&gt;25,"Outlier","Normal"))</f>
        <v>Normal</v>
      </c>
    </row>
    <row r="853" spans="1:22" x14ac:dyDescent="0.3">
      <c r="A853" s="1" t="s">
        <v>17</v>
      </c>
      <c r="B853" s="1" t="s">
        <v>9</v>
      </c>
      <c r="C853" s="1" t="s">
        <v>84</v>
      </c>
      <c r="D853" s="1" t="s">
        <v>11</v>
      </c>
      <c r="E853" s="1" t="s">
        <v>12</v>
      </c>
      <c r="F853" s="4">
        <v>58</v>
      </c>
      <c r="G853" s="4">
        <v>50</v>
      </c>
      <c r="H853" s="4">
        <v>45</v>
      </c>
      <c r="I853" s="4">
        <f>AVERAGE(Student­­Performance[[#This Row],[Math Score]],Student­­Performance[[#This Row],[Reading Score]],Student­­Performance[[#This Row],[Writing Score]])</f>
        <v>51</v>
      </c>
      <c r="J853" s="10" t="str">
        <f>IF(Student­­Performance[[#This Row],[Average Score]]&gt;=50,"Pass","Fail")</f>
        <v>Pass</v>
      </c>
      <c r="K85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-8</v>
      </c>
      <c r="L85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85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-13</v>
      </c>
      <c r="N853" s="4">
        <f>IF(ISNUMBER(Student­­Performance[[#This Row],[Math Score]]),Student­­Performance[[#This Row],[Math Score]],0)</f>
        <v>58</v>
      </c>
      <c r="O853" s="4">
        <f>IF(ISNUMBER(Student­­Performance[[#This Row],[Reading Score]]),Student­­Performance[[#This Row],[Reading Score]],0)</f>
        <v>50</v>
      </c>
      <c r="P853" s="4">
        <f>IF(ISNUMBER(Student­­Performance[[#This Row],[Writing Score]]),Student­­Performance[[#This Row],[Writing Score]],0)</f>
        <v>45</v>
      </c>
      <c r="Q853" s="4" t="str">
        <f>IF(Student­­Performance[[#This Row],[Math Score]]&gt;=50,"Pass","Fail")</f>
        <v>Pass</v>
      </c>
      <c r="R853" s="4" t="str">
        <f>IF(Student­­Performance[[#This Row],[Reading Score]]&gt;=50,"Pass","Fail")</f>
        <v>Pass</v>
      </c>
      <c r="S853" s="4" t="str">
        <f>IF(Student­­Performance[[#This Row],[Writing Score]]&gt;=50,"Pass","Fail")</f>
        <v>Fail</v>
      </c>
      <c r="T85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153</v>
      </c>
      <c r="U853" s="4" cm="1">
        <f t="array" ref="U853">IF(COUNT(F853:H853)=0,"", MAX(IF(ISNUMBER(F853:H853),F853:H853)) - MIN(IF(ISNUMBER(F853:H853),F853:H853)))</f>
        <v>13</v>
      </c>
      <c r="V853" s="4" t="str">
        <f>IF(U853="","",IF(U853&gt;25,"Outlier","Normal"))</f>
        <v>Normal</v>
      </c>
    </row>
    <row r="854" spans="1:22" x14ac:dyDescent="0.3">
      <c r="A854" s="1" t="s">
        <v>8</v>
      </c>
      <c r="B854" s="1" t="s">
        <v>13</v>
      </c>
      <c r="C854" s="1" t="s">
        <v>85</v>
      </c>
      <c r="D854" s="1" t="s">
        <v>20</v>
      </c>
      <c r="E854" s="1" t="s">
        <v>12</v>
      </c>
      <c r="F854" s="4">
        <v>40</v>
      </c>
      <c r="G854" s="4">
        <v>58</v>
      </c>
      <c r="H854" s="4">
        <v>54</v>
      </c>
      <c r="I854" s="4">
        <f>AVERAGE(Student­­Performance[[#This Row],[Math Score]],Student­­Performance[[#This Row],[Reading Score]],Student­­Performance[[#This Row],[Writing Score]])</f>
        <v>50.666666666666664</v>
      </c>
      <c r="J854" s="10" t="str">
        <f>IF(Student­­Performance[[#This Row],[Average Score]]&gt;=50,"Pass","Fail")</f>
        <v>Pass</v>
      </c>
      <c r="K85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18</v>
      </c>
      <c r="L85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85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14</v>
      </c>
      <c r="N854" s="4">
        <f>IF(ISNUMBER(Student­­Performance[[#This Row],[Math Score]]),Student­­Performance[[#This Row],[Math Score]],0)</f>
        <v>40</v>
      </c>
      <c r="O854" s="4">
        <f>IF(ISNUMBER(Student­­Performance[[#This Row],[Reading Score]]),Student­­Performance[[#This Row],[Reading Score]],0)</f>
        <v>58</v>
      </c>
      <c r="P854" s="4">
        <f>IF(ISNUMBER(Student­­Performance[[#This Row],[Writing Score]]),Student­­Performance[[#This Row],[Writing Score]],0)</f>
        <v>54</v>
      </c>
      <c r="Q854" s="4" t="str">
        <f>IF(Student­­Performance[[#This Row],[Math Score]]&gt;=50,"Pass","Fail")</f>
        <v>Fail</v>
      </c>
      <c r="R854" s="4" t="str">
        <f>IF(Student­­Performance[[#This Row],[Reading Score]]&gt;=50,"Pass","Fail")</f>
        <v>Pass</v>
      </c>
      <c r="S854" s="4" t="str">
        <f>IF(Student­­Performance[[#This Row],[Writing Score]]&gt;=50,"Pass","Fail")</f>
        <v>Pass</v>
      </c>
      <c r="T85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152</v>
      </c>
      <c r="U854" s="4" cm="1">
        <f t="array" ref="U854">IF(COUNT(F854:H854)=0,"", MAX(IF(ISNUMBER(F854:H854),F854:H854)) - MIN(IF(ISNUMBER(F854:H854),F854:H854)))</f>
        <v>18</v>
      </c>
      <c r="V854" s="4" t="str">
        <f>IF(U854="","",IF(U854&gt;25,"Outlier","Normal"))</f>
        <v>Normal</v>
      </c>
    </row>
    <row r="855" spans="1:22" x14ac:dyDescent="0.3">
      <c r="A855" s="1" t="s">
        <v>17</v>
      </c>
      <c r="B855" s="1" t="s">
        <v>21</v>
      </c>
      <c r="C855" s="1" t="s">
        <v>84</v>
      </c>
      <c r="D855" s="1" t="s">
        <v>20</v>
      </c>
      <c r="E855" s="1" t="s">
        <v>12</v>
      </c>
      <c r="F855" s="4">
        <v>49</v>
      </c>
      <c r="G855" s="4">
        <v>57</v>
      </c>
      <c r="H855" s="4">
        <v>46</v>
      </c>
      <c r="I855" s="4">
        <f>AVERAGE(Student­­Performance[[#This Row],[Math Score]],Student­­Performance[[#This Row],[Reading Score]],Student­­Performance[[#This Row],[Writing Score]])</f>
        <v>50.666666666666664</v>
      </c>
      <c r="J855" s="10" t="str">
        <f>IF(Student­­Performance[[#This Row],[Average Score]]&gt;=50,"Pass","Fail")</f>
        <v>Pass</v>
      </c>
      <c r="K85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85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-11</v>
      </c>
      <c r="M85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855" s="4">
        <f>IF(ISNUMBER(Student­­Performance[[#This Row],[Math Score]]),Student­­Performance[[#This Row],[Math Score]],0)</f>
        <v>49</v>
      </c>
      <c r="O855" s="4">
        <f>IF(ISNUMBER(Student­­Performance[[#This Row],[Reading Score]]),Student­­Performance[[#This Row],[Reading Score]],0)</f>
        <v>57</v>
      </c>
      <c r="P855" s="4">
        <f>IF(ISNUMBER(Student­­Performance[[#This Row],[Writing Score]]),Student­­Performance[[#This Row],[Writing Score]],0)</f>
        <v>46</v>
      </c>
      <c r="Q855" s="4" t="str">
        <f>IF(Student­­Performance[[#This Row],[Math Score]]&gt;=50,"Pass","Fail")</f>
        <v>Fail</v>
      </c>
      <c r="R855" s="4" t="str">
        <f>IF(Student­­Performance[[#This Row],[Reading Score]]&gt;=50,"Pass","Fail")</f>
        <v>Pass</v>
      </c>
      <c r="S855" s="4" t="str">
        <f>IF(Student­­Performance[[#This Row],[Writing Score]]&gt;=50,"Pass","Fail")</f>
        <v>Fail</v>
      </c>
      <c r="T85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152</v>
      </c>
      <c r="U855" s="4" cm="1">
        <f t="array" ref="U855">IF(COUNT(F855:H855)=0,"", MAX(IF(ISNUMBER(F855:H855),F855:H855)) - MIN(IF(ISNUMBER(F855:H855),F855:H855)))</f>
        <v>11</v>
      </c>
      <c r="V855" s="4" t="str">
        <f>IF(U855="","",IF(U855&gt;25,"Outlier","Normal"))</f>
        <v>Normal</v>
      </c>
    </row>
    <row r="856" spans="1:22" x14ac:dyDescent="0.3">
      <c r="A856" s="1" t="s">
        <v>17</v>
      </c>
      <c r="B856" s="1" t="s">
        <v>26</v>
      </c>
      <c r="C856" s="1" t="s">
        <v>84</v>
      </c>
      <c r="D856" s="1" t="s">
        <v>20</v>
      </c>
      <c r="E856" s="1" t="s">
        <v>15</v>
      </c>
      <c r="F856" s="4">
        <v>49</v>
      </c>
      <c r="G856" s="4">
        <v>52</v>
      </c>
      <c r="H856" s="4">
        <v>51</v>
      </c>
      <c r="I856" s="4">
        <f>AVERAGE(Student­­Performance[[#This Row],[Math Score]],Student­­Performance[[#This Row],[Reading Score]],Student­­Performance[[#This Row],[Writing Score]])</f>
        <v>50.666666666666664</v>
      </c>
      <c r="J856" s="10" t="str">
        <f>IF(Student­­Performance[[#This Row],[Average Score]]&gt;=50,"Pass","Fail")</f>
        <v>Pass</v>
      </c>
      <c r="K85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85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85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856" s="4">
        <f>IF(ISNUMBER(Student­­Performance[[#This Row],[Math Score]]),Student­­Performance[[#This Row],[Math Score]],0)</f>
        <v>49</v>
      </c>
      <c r="O856" s="4">
        <f>IF(ISNUMBER(Student­­Performance[[#This Row],[Reading Score]]),Student­­Performance[[#This Row],[Reading Score]],0)</f>
        <v>52</v>
      </c>
      <c r="P856" s="4">
        <f>IF(ISNUMBER(Student­­Performance[[#This Row],[Writing Score]]),Student­­Performance[[#This Row],[Writing Score]],0)</f>
        <v>51</v>
      </c>
      <c r="Q856" s="4" t="str">
        <f>IF(Student­­Performance[[#This Row],[Math Score]]&gt;=50,"Pass","Fail")</f>
        <v>Fail</v>
      </c>
      <c r="R856" s="4" t="str">
        <f>IF(Student­­Performance[[#This Row],[Reading Score]]&gt;=50,"Pass","Fail")</f>
        <v>Pass</v>
      </c>
      <c r="S856" s="4" t="str">
        <f>IF(Student­­Performance[[#This Row],[Writing Score]]&gt;=50,"Pass","Fail")</f>
        <v>Pass</v>
      </c>
      <c r="T85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152</v>
      </c>
      <c r="U856" s="4" cm="1">
        <f t="array" ref="U856">IF(COUNT(F856:H856)=0,"", MAX(IF(ISNUMBER(F856:H856),F856:H856)) - MIN(IF(ISNUMBER(F856:H856),F856:H856)))</f>
        <v>3</v>
      </c>
      <c r="V856" s="4" t="str">
        <f>IF(U856="","",IF(U856&gt;25,"Outlier","Normal"))</f>
        <v>Normal</v>
      </c>
    </row>
    <row r="857" spans="1:22" x14ac:dyDescent="0.3">
      <c r="A857" s="1" t="s">
        <v>17</v>
      </c>
      <c r="B857" s="1" t="s">
        <v>21</v>
      </c>
      <c r="C857" s="1" t="s">
        <v>84</v>
      </c>
      <c r="D857" s="1" t="s">
        <v>11</v>
      </c>
      <c r="E857" s="1" t="s">
        <v>12</v>
      </c>
      <c r="F857" s="4">
        <v>44</v>
      </c>
      <c r="G857" s="4">
        <v>54</v>
      </c>
      <c r="H857" s="4">
        <v>53</v>
      </c>
      <c r="I857" s="4">
        <f>AVERAGE(Student­­Performance[[#This Row],[Math Score]],Student­­Performance[[#This Row],[Reading Score]],Student­­Performance[[#This Row],[Writing Score]])</f>
        <v>50.333333333333336</v>
      </c>
      <c r="J857" s="10" t="str">
        <f>IF(Student­­Performance[[#This Row],[Average Score]]&gt;=50,"Pass","Fail")</f>
        <v>Pass</v>
      </c>
      <c r="K85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85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85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857" s="4">
        <f>IF(ISNUMBER(Student­­Performance[[#This Row],[Math Score]]),Student­­Performance[[#This Row],[Math Score]],0)</f>
        <v>44</v>
      </c>
      <c r="O857" s="4">
        <f>IF(ISNUMBER(Student­­Performance[[#This Row],[Reading Score]]),Student­­Performance[[#This Row],[Reading Score]],0)</f>
        <v>54</v>
      </c>
      <c r="P857" s="4">
        <f>IF(ISNUMBER(Student­­Performance[[#This Row],[Writing Score]]),Student­­Performance[[#This Row],[Writing Score]],0)</f>
        <v>53</v>
      </c>
      <c r="Q857" s="4" t="str">
        <f>IF(Student­­Performance[[#This Row],[Math Score]]&gt;=50,"Pass","Fail")</f>
        <v>Fail</v>
      </c>
      <c r="R857" s="4" t="str">
        <f>IF(Student­­Performance[[#This Row],[Reading Score]]&gt;=50,"Pass","Fail")</f>
        <v>Pass</v>
      </c>
      <c r="S857" s="4" t="str">
        <f>IF(Student­­Performance[[#This Row],[Writing Score]]&gt;=50,"Pass","Fail")</f>
        <v>Pass</v>
      </c>
      <c r="T85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151</v>
      </c>
      <c r="U857" s="4" cm="1">
        <f t="array" ref="U857">IF(COUNT(F857:H857)=0,"", MAX(IF(ISNUMBER(F857:H857),F857:H857)) - MIN(IF(ISNUMBER(F857:H857),F857:H857)))</f>
        <v>10</v>
      </c>
      <c r="V857" s="4" t="str">
        <f>IF(U857="","",IF(U857&gt;25,"Outlier","Normal"))</f>
        <v>Normal</v>
      </c>
    </row>
    <row r="858" spans="1:22" x14ac:dyDescent="0.3">
      <c r="A858" s="1" t="s">
        <v>17</v>
      </c>
      <c r="B858" s="1" t="s">
        <v>18</v>
      </c>
      <c r="C858" s="1" t="s">
        <v>84</v>
      </c>
      <c r="D858" s="1" t="s">
        <v>20</v>
      </c>
      <c r="E858" s="1" t="s">
        <v>15</v>
      </c>
      <c r="F858" s="4">
        <v>50</v>
      </c>
      <c r="G858" s="4">
        <v>47</v>
      </c>
      <c r="H858" s="4">
        <v>54</v>
      </c>
      <c r="I858" s="4">
        <f>AVERAGE(Student­­Performance[[#This Row],[Math Score]],Student­­Performance[[#This Row],[Reading Score]],Student­­Performance[[#This Row],[Writing Score]])</f>
        <v>50.333333333333336</v>
      </c>
      <c r="J858" s="10" t="str">
        <f>IF(Student­­Performance[[#This Row],[Average Score]]&gt;=50,"Pass","Fail")</f>
        <v>Pass</v>
      </c>
      <c r="K85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85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7</v>
      </c>
      <c r="M85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858" s="4">
        <f>IF(ISNUMBER(Student­­Performance[[#This Row],[Math Score]]),Student­­Performance[[#This Row],[Math Score]],0)</f>
        <v>50</v>
      </c>
      <c r="O858" s="4">
        <f>IF(ISNUMBER(Student­­Performance[[#This Row],[Reading Score]]),Student­­Performance[[#This Row],[Reading Score]],0)</f>
        <v>47</v>
      </c>
      <c r="P858" s="4">
        <f>IF(ISNUMBER(Student­­Performance[[#This Row],[Writing Score]]),Student­­Performance[[#This Row],[Writing Score]],0)</f>
        <v>54</v>
      </c>
      <c r="Q858" s="4" t="str">
        <f>IF(Student­­Performance[[#This Row],[Math Score]]&gt;=50,"Pass","Fail")</f>
        <v>Pass</v>
      </c>
      <c r="R858" s="4" t="str">
        <f>IF(Student­­Performance[[#This Row],[Reading Score]]&gt;=50,"Pass","Fail")</f>
        <v>Fail</v>
      </c>
      <c r="S858" s="4" t="str">
        <f>IF(Student­­Performance[[#This Row],[Writing Score]]&gt;=50,"Pass","Fail")</f>
        <v>Pass</v>
      </c>
      <c r="T85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151</v>
      </c>
      <c r="U858" s="4" cm="1">
        <f t="array" ref="U858">IF(COUNT(F858:H858)=0,"", MAX(IF(ISNUMBER(F858:H858),F858:H858)) - MIN(IF(ISNUMBER(F858:H858),F858:H858)))</f>
        <v>7</v>
      </c>
      <c r="V858" s="4" t="str">
        <f>IF(U858="","",IF(U858&gt;25,"Outlier","Normal"))</f>
        <v>Normal</v>
      </c>
    </row>
    <row r="859" spans="1:22" x14ac:dyDescent="0.3">
      <c r="A859" s="1" t="s">
        <v>17</v>
      </c>
      <c r="B859" s="1" t="s">
        <v>9</v>
      </c>
      <c r="C859" s="1" t="s">
        <v>87</v>
      </c>
      <c r="D859" s="1" t="s">
        <v>11</v>
      </c>
      <c r="E859" s="1" t="s">
        <v>15</v>
      </c>
      <c r="F859" s="4">
        <v>60</v>
      </c>
      <c r="G859" s="4">
        <v>44</v>
      </c>
      <c r="H859" s="4">
        <v>47</v>
      </c>
      <c r="I859" s="4">
        <f>AVERAGE(Student­­Performance[[#This Row],[Math Score]],Student­­Performance[[#This Row],[Reading Score]],Student­­Performance[[#This Row],[Writing Score]])</f>
        <v>50.333333333333336</v>
      </c>
      <c r="J859" s="10" t="str">
        <f>IF(Student­­Performance[[#This Row],[Average Score]]&gt;=50,"Pass","Fail")</f>
        <v>Pass</v>
      </c>
      <c r="K85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-16</v>
      </c>
      <c r="L85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85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-13</v>
      </c>
      <c r="N859" s="4">
        <f>IF(ISNUMBER(Student­­Performance[[#This Row],[Math Score]]),Student­­Performance[[#This Row],[Math Score]],0)</f>
        <v>60</v>
      </c>
      <c r="O859" s="4">
        <f>IF(ISNUMBER(Student­­Performance[[#This Row],[Reading Score]]),Student­­Performance[[#This Row],[Reading Score]],0)</f>
        <v>44</v>
      </c>
      <c r="P859" s="4">
        <f>IF(ISNUMBER(Student­­Performance[[#This Row],[Writing Score]]),Student­­Performance[[#This Row],[Writing Score]],0)</f>
        <v>47</v>
      </c>
      <c r="Q859" s="4" t="str">
        <f>IF(Student­­Performance[[#This Row],[Math Score]]&gt;=50,"Pass","Fail")</f>
        <v>Pass</v>
      </c>
      <c r="R859" s="4" t="str">
        <f>IF(Student­­Performance[[#This Row],[Reading Score]]&gt;=50,"Pass","Fail")</f>
        <v>Fail</v>
      </c>
      <c r="S859" s="4" t="str">
        <f>IF(Student­­Performance[[#This Row],[Writing Score]]&gt;=50,"Pass","Fail")</f>
        <v>Fail</v>
      </c>
      <c r="T85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151</v>
      </c>
      <c r="U859" s="4" cm="1">
        <f t="array" ref="U859">IF(COUNT(F859:H859)=0,"", MAX(IF(ISNUMBER(F859:H859),F859:H859)) - MIN(IF(ISNUMBER(F859:H859),F859:H859)))</f>
        <v>16</v>
      </c>
      <c r="V859" s="4" t="str">
        <f>IF(U859="","",IF(U859&gt;25,"Outlier","Normal"))</f>
        <v>Normal</v>
      </c>
    </row>
    <row r="860" spans="1:22" x14ac:dyDescent="0.3">
      <c r="A860" s="1" t="s">
        <v>8</v>
      </c>
      <c r="B860" s="1" t="s">
        <v>18</v>
      </c>
      <c r="C860" s="1" t="s">
        <v>83</v>
      </c>
      <c r="D860" s="1" t="s">
        <v>11</v>
      </c>
      <c r="E860" s="1" t="s">
        <v>12</v>
      </c>
      <c r="F860" s="4">
        <v>51</v>
      </c>
      <c r="G860" s="4">
        <v>49</v>
      </c>
      <c r="H860" s="4">
        <v>51</v>
      </c>
      <c r="I860" s="4">
        <f>AVERAGE(Student­­Performance[[#This Row],[Math Score]],Student­­Performance[[#This Row],[Reading Score]],Student­­Performance[[#This Row],[Writing Score]])</f>
        <v>50.333333333333336</v>
      </c>
      <c r="J860" s="10" t="str">
        <f>IF(Student­­Performance[[#This Row],[Average Score]]&gt;=50,"Pass","Fail")</f>
        <v>Pass</v>
      </c>
      <c r="K86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</v>
      </c>
      <c r="L86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86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860" s="4">
        <f>IF(ISNUMBER(Student­­Performance[[#This Row],[Math Score]]),Student­­Performance[[#This Row],[Math Score]],0)</f>
        <v>51</v>
      </c>
      <c r="O860" s="4">
        <f>IF(ISNUMBER(Student­­Performance[[#This Row],[Reading Score]]),Student­­Performance[[#This Row],[Reading Score]],0)</f>
        <v>49</v>
      </c>
      <c r="P860" s="4">
        <f>IF(ISNUMBER(Student­­Performance[[#This Row],[Writing Score]]),Student­­Performance[[#This Row],[Writing Score]],0)</f>
        <v>51</v>
      </c>
      <c r="Q860" s="4" t="str">
        <f>IF(Student­­Performance[[#This Row],[Math Score]]&gt;=50,"Pass","Fail")</f>
        <v>Pass</v>
      </c>
      <c r="R860" s="4" t="str">
        <f>IF(Student­­Performance[[#This Row],[Reading Score]]&gt;=50,"Pass","Fail")</f>
        <v>Fail</v>
      </c>
      <c r="S860" s="4" t="str">
        <f>IF(Student­­Performance[[#This Row],[Writing Score]]&gt;=50,"Pass","Fail")</f>
        <v>Pass</v>
      </c>
      <c r="T86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151</v>
      </c>
      <c r="U860" s="4" cm="1">
        <f t="array" ref="U860">IF(COUNT(F860:H860)=0,"", MAX(IF(ISNUMBER(F860:H860),F860:H860)) - MIN(IF(ISNUMBER(F860:H860),F860:H860)))</f>
        <v>2</v>
      </c>
      <c r="V860" s="4" t="str">
        <f>IF(U860="","",IF(U860&gt;25,"Outlier","Normal"))</f>
        <v>Normal</v>
      </c>
    </row>
    <row r="861" spans="1:22" x14ac:dyDescent="0.3">
      <c r="A861" s="1" t="s">
        <v>8</v>
      </c>
      <c r="B861" s="1" t="s">
        <v>26</v>
      </c>
      <c r="C861" s="1" t="s">
        <v>84</v>
      </c>
      <c r="D861" s="1" t="s">
        <v>20</v>
      </c>
      <c r="E861" s="1" t="s">
        <v>15</v>
      </c>
      <c r="F861" s="4">
        <v>42</v>
      </c>
      <c r="G861" s="4">
        <v>55</v>
      </c>
      <c r="H861" s="4">
        <v>54</v>
      </c>
      <c r="I861" s="4">
        <f>AVERAGE(Student­­Performance[[#This Row],[Math Score]],Student­­Performance[[#This Row],[Reading Score]],Student­­Performance[[#This Row],[Writing Score]])</f>
        <v>50.333333333333336</v>
      </c>
      <c r="J861" s="10" t="str">
        <f>IF(Student­­Performance[[#This Row],[Average Score]]&gt;=50,"Pass","Fail")</f>
        <v>Pass</v>
      </c>
      <c r="K86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13</v>
      </c>
      <c r="L86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86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861" s="4">
        <f>IF(ISNUMBER(Student­­Performance[[#This Row],[Math Score]]),Student­­Performance[[#This Row],[Math Score]],0)</f>
        <v>42</v>
      </c>
      <c r="O861" s="4">
        <f>IF(ISNUMBER(Student­­Performance[[#This Row],[Reading Score]]),Student­­Performance[[#This Row],[Reading Score]],0)</f>
        <v>55</v>
      </c>
      <c r="P861" s="4">
        <f>IF(ISNUMBER(Student­­Performance[[#This Row],[Writing Score]]),Student­­Performance[[#This Row],[Writing Score]],0)</f>
        <v>54</v>
      </c>
      <c r="Q861" s="4" t="str">
        <f>IF(Student­­Performance[[#This Row],[Math Score]]&gt;=50,"Pass","Fail")</f>
        <v>Fail</v>
      </c>
      <c r="R861" s="4" t="str">
        <f>IF(Student­­Performance[[#This Row],[Reading Score]]&gt;=50,"Pass","Fail")</f>
        <v>Pass</v>
      </c>
      <c r="S861" s="4" t="str">
        <f>IF(Student­­Performance[[#This Row],[Writing Score]]&gt;=50,"Pass","Fail")</f>
        <v>Pass</v>
      </c>
      <c r="T86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151</v>
      </c>
      <c r="U861" s="4" cm="1">
        <f t="array" ref="U861">IF(COUNT(F861:H861)=0,"", MAX(IF(ISNUMBER(F861:H861),F861:H861)) - MIN(IF(ISNUMBER(F861:H861),F861:H861)))</f>
        <v>13</v>
      </c>
      <c r="V861" s="4" t="str">
        <f>IF(U861="","",IF(U861&gt;25,"Outlier","Normal"))</f>
        <v>Normal</v>
      </c>
    </row>
    <row r="862" spans="1:22" x14ac:dyDescent="0.3">
      <c r="A862" s="1" t="s">
        <v>8</v>
      </c>
      <c r="B862" s="1" t="s">
        <v>26</v>
      </c>
      <c r="C862" s="1" t="s">
        <v>86</v>
      </c>
      <c r="D862" s="1" t="s">
        <v>20</v>
      </c>
      <c r="E862" s="1" t="s">
        <v>12</v>
      </c>
      <c r="F862" s="4">
        <v>70</v>
      </c>
      <c r="G862" s="4" t="s">
        <v>90</v>
      </c>
      <c r="H862" s="4">
        <v>81</v>
      </c>
      <c r="I862" s="4">
        <f>AVERAGE(Student­­Performance[[#This Row],[Math Score]],Student­­Performance[[#This Row],[Reading Score]],Student­­Performance[[#This Row],[Writing Score]])</f>
        <v>75.5</v>
      </c>
      <c r="J862" s="10" t="str">
        <f>IF(Student­­Performance[[#This Row],[Average Score]]&gt;=50,"Pass","Fail")</f>
        <v>Pass</v>
      </c>
      <c r="K862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862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86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862" s="4">
        <f>IF(ISNUMBER(Student­­Performance[[#This Row],[Math Score]]),Student­­Performance[[#This Row],[Math Score]],0)</f>
        <v>70</v>
      </c>
      <c r="O862" s="4">
        <f>IF(ISNUMBER(Student­­Performance[[#This Row],[Reading Score]]),Student­­Performance[[#This Row],[Reading Score]],0)</f>
        <v>0</v>
      </c>
      <c r="P862" s="4">
        <f>IF(ISNUMBER(Student­­Performance[[#This Row],[Writing Score]]),Student­­Performance[[#This Row],[Writing Score]],0)</f>
        <v>81</v>
      </c>
      <c r="Q862" s="4" t="str">
        <f>IF(Student­­Performance[[#This Row],[Math Score]]&gt;=50,"Pass","Fail")</f>
        <v>Pass</v>
      </c>
      <c r="R862" s="4" t="str">
        <f>IF(Student­­Performance[[#This Row],[Reading Score]]&gt;=50,"Pass","Fail")</f>
        <v>Pass</v>
      </c>
      <c r="S862" s="4" t="str">
        <f>IF(Student­­Performance[[#This Row],[Writing Score]]&gt;=50,"Pass","Fail")</f>
        <v>Pass</v>
      </c>
      <c r="T86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151</v>
      </c>
      <c r="U862" s="4" cm="1">
        <f t="array" ref="U862">IF(COUNT(F862:H862)=0,"", MAX(IF(ISNUMBER(F862:H862),F862:H862)) - MIN(IF(ISNUMBER(F862:H862),F862:H862)))</f>
        <v>11</v>
      </c>
      <c r="V862" s="4" t="str">
        <f>IF(U862="","",IF(U862&gt;25,"Outlier","Normal"))</f>
        <v>Normal</v>
      </c>
    </row>
    <row r="863" spans="1:22" x14ac:dyDescent="0.3">
      <c r="A863" s="1" t="s">
        <v>17</v>
      </c>
      <c r="B863" s="1" t="s">
        <v>13</v>
      </c>
      <c r="C863" s="1" t="s">
        <v>86</v>
      </c>
      <c r="D863" s="1" t="s">
        <v>20</v>
      </c>
      <c r="E863" s="1" t="s">
        <v>12</v>
      </c>
      <c r="F863" s="4">
        <v>49</v>
      </c>
      <c r="G863" s="4">
        <v>51</v>
      </c>
      <c r="H863" s="4">
        <v>51</v>
      </c>
      <c r="I863" s="4">
        <f>AVERAGE(Student­­Performance[[#This Row],[Math Score]],Student­­Performance[[#This Row],[Reading Score]],Student­­Performance[[#This Row],[Writing Score]])</f>
        <v>50.333333333333336</v>
      </c>
      <c r="J863" s="10" t="str">
        <f>IF(Student­­Performance[[#This Row],[Average Score]]&gt;=50,"Pass","Fail")</f>
        <v>Pass</v>
      </c>
      <c r="K86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86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86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863" s="4">
        <f>IF(ISNUMBER(Student­­Performance[[#This Row],[Math Score]]),Student­­Performance[[#This Row],[Math Score]],0)</f>
        <v>49</v>
      </c>
      <c r="O863" s="4">
        <f>IF(ISNUMBER(Student­­Performance[[#This Row],[Reading Score]]),Student­­Performance[[#This Row],[Reading Score]],0)</f>
        <v>51</v>
      </c>
      <c r="P863" s="4">
        <f>IF(ISNUMBER(Student­­Performance[[#This Row],[Writing Score]]),Student­­Performance[[#This Row],[Writing Score]],0)</f>
        <v>51</v>
      </c>
      <c r="Q863" s="4" t="str">
        <f>IF(Student­­Performance[[#This Row],[Math Score]]&gt;=50,"Pass","Fail")</f>
        <v>Fail</v>
      </c>
      <c r="R863" s="4" t="str">
        <f>IF(Student­­Performance[[#This Row],[Reading Score]]&gt;=50,"Pass","Fail")</f>
        <v>Pass</v>
      </c>
      <c r="S863" s="4" t="str">
        <f>IF(Student­­Performance[[#This Row],[Writing Score]]&gt;=50,"Pass","Fail")</f>
        <v>Pass</v>
      </c>
      <c r="T86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151</v>
      </c>
      <c r="U863" s="4" cm="1">
        <f t="array" ref="U863">IF(COUNT(F863:H863)=0,"", MAX(IF(ISNUMBER(F863:H863),F863:H863)) - MIN(IF(ISNUMBER(F863:H863),F863:H863)))</f>
        <v>2</v>
      </c>
      <c r="V863" s="4" t="str">
        <f>IF(U863="","",IF(U863&gt;25,"Outlier","Normal"))</f>
        <v>Normal</v>
      </c>
    </row>
    <row r="864" spans="1:22" x14ac:dyDescent="0.3">
      <c r="A864" s="1" t="s">
        <v>17</v>
      </c>
      <c r="B864" s="1" t="s">
        <v>9</v>
      </c>
      <c r="C864" s="1" t="s">
        <v>88</v>
      </c>
      <c r="D864" s="1" t="s">
        <v>20</v>
      </c>
      <c r="E864" s="1" t="s">
        <v>15</v>
      </c>
      <c r="F864" s="4">
        <v>49</v>
      </c>
      <c r="G864" s="4">
        <v>50</v>
      </c>
      <c r="H864" s="4">
        <v>52</v>
      </c>
      <c r="I864" s="4">
        <f>AVERAGE(Student­­Performance[[#This Row],[Math Score]],Student­­Performance[[#This Row],[Reading Score]],Student­­Performance[[#This Row],[Writing Score]])</f>
        <v>50.333333333333336</v>
      </c>
      <c r="J864" s="10" t="str">
        <f>IF(Student­­Performance[[#This Row],[Average Score]]&gt;=50,"Pass","Fail")</f>
        <v>Pass</v>
      </c>
      <c r="K86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86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86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864" s="4">
        <f>IF(ISNUMBER(Student­­Performance[[#This Row],[Math Score]]),Student­­Performance[[#This Row],[Math Score]],0)</f>
        <v>49</v>
      </c>
      <c r="O864" s="4">
        <f>IF(ISNUMBER(Student­­Performance[[#This Row],[Reading Score]]),Student­­Performance[[#This Row],[Reading Score]],0)</f>
        <v>50</v>
      </c>
      <c r="P864" s="4">
        <f>IF(ISNUMBER(Student­­Performance[[#This Row],[Writing Score]]),Student­­Performance[[#This Row],[Writing Score]],0)</f>
        <v>52</v>
      </c>
      <c r="Q864" s="4" t="str">
        <f>IF(Student­­Performance[[#This Row],[Math Score]]&gt;=50,"Pass","Fail")</f>
        <v>Fail</v>
      </c>
      <c r="R864" s="4" t="str">
        <f>IF(Student­­Performance[[#This Row],[Reading Score]]&gt;=50,"Pass","Fail")</f>
        <v>Pass</v>
      </c>
      <c r="S864" s="4" t="str">
        <f>IF(Student­­Performance[[#This Row],[Writing Score]]&gt;=50,"Pass","Fail")</f>
        <v>Pass</v>
      </c>
      <c r="T86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151</v>
      </c>
      <c r="U864" s="4" cm="1">
        <f t="array" ref="U864">IF(COUNT(F864:H864)=0,"", MAX(IF(ISNUMBER(F864:H864),F864:H864)) - MIN(IF(ISNUMBER(F864:H864),F864:H864)))</f>
        <v>3</v>
      </c>
      <c r="V864" s="4" t="str">
        <f>IF(U864="","",IF(U864&gt;25,"Outlier","Normal"))</f>
        <v>Normal</v>
      </c>
    </row>
    <row r="865" spans="1:22" x14ac:dyDescent="0.3">
      <c r="A865" s="1" t="s">
        <v>17</v>
      </c>
      <c r="B865" s="1" t="s">
        <v>21</v>
      </c>
      <c r="C865" s="1" t="s">
        <v>83</v>
      </c>
      <c r="D865" s="1" t="s">
        <v>11</v>
      </c>
      <c r="E865" s="1" t="s">
        <v>12</v>
      </c>
      <c r="F865" s="4">
        <v>54</v>
      </c>
      <c r="G865" s="4">
        <v>49</v>
      </c>
      <c r="H865" s="4">
        <v>47</v>
      </c>
      <c r="I865" s="4">
        <f>AVERAGE(Student­­Performance[[#This Row],[Math Score]],Student­­Performance[[#This Row],[Reading Score]],Student­­Performance[[#This Row],[Writing Score]])</f>
        <v>50</v>
      </c>
      <c r="J865" s="10" t="str">
        <f>IF(Student­­Performance[[#This Row],[Average Score]]&gt;=50,"Pass","Fail")</f>
        <v>Pass</v>
      </c>
      <c r="K86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86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86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865" s="4">
        <f>IF(ISNUMBER(Student­­Performance[[#This Row],[Math Score]]),Student­­Performance[[#This Row],[Math Score]],0)</f>
        <v>54</v>
      </c>
      <c r="O865" s="4">
        <f>IF(ISNUMBER(Student­­Performance[[#This Row],[Reading Score]]),Student­­Performance[[#This Row],[Reading Score]],0)</f>
        <v>49</v>
      </c>
      <c r="P865" s="4">
        <f>IF(ISNUMBER(Student­­Performance[[#This Row],[Writing Score]]),Student­­Performance[[#This Row],[Writing Score]],0)</f>
        <v>47</v>
      </c>
      <c r="Q865" s="4" t="str">
        <f>IF(Student­­Performance[[#This Row],[Math Score]]&gt;=50,"Pass","Fail")</f>
        <v>Pass</v>
      </c>
      <c r="R865" s="4" t="str">
        <f>IF(Student­­Performance[[#This Row],[Reading Score]]&gt;=50,"Pass","Fail")</f>
        <v>Fail</v>
      </c>
      <c r="S865" s="4" t="str">
        <f>IF(Student­­Performance[[#This Row],[Writing Score]]&gt;=50,"Pass","Fail")</f>
        <v>Fail</v>
      </c>
      <c r="T86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150</v>
      </c>
      <c r="U865" s="4" cm="1">
        <f t="array" ref="U865">IF(COUNT(F865:H865)=0,"", MAX(IF(ISNUMBER(F865:H865),F865:H865)) - MIN(IF(ISNUMBER(F865:H865),F865:H865)))</f>
        <v>7</v>
      </c>
      <c r="V865" s="4" t="str">
        <f>IF(U865="","",IF(U865&gt;25,"Outlier","Normal"))</f>
        <v>Normal</v>
      </c>
    </row>
    <row r="866" spans="1:22" x14ac:dyDescent="0.3">
      <c r="A866" s="1" t="s">
        <v>8</v>
      </c>
      <c r="B866" s="1" t="s">
        <v>21</v>
      </c>
      <c r="C866" s="1" t="s">
        <v>88</v>
      </c>
      <c r="D866" s="1" t="s">
        <v>20</v>
      </c>
      <c r="E866" s="1" t="s">
        <v>15</v>
      </c>
      <c r="F866" s="4">
        <v>35</v>
      </c>
      <c r="G866" s="4">
        <v>55</v>
      </c>
      <c r="H866" s="4">
        <v>60</v>
      </c>
      <c r="I866" s="4">
        <f>AVERAGE(Student­­Performance[[#This Row],[Math Score]],Student­­Performance[[#This Row],[Reading Score]],Student­­Performance[[#This Row],[Writing Score]])</f>
        <v>50</v>
      </c>
      <c r="J866" s="10" t="str">
        <f>IF(Student­­Performance[[#This Row],[Average Score]]&gt;=50,"Pass","Fail")</f>
        <v>Pass</v>
      </c>
      <c r="K86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20</v>
      </c>
      <c r="L86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86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25</v>
      </c>
      <c r="N866" s="4">
        <f>IF(ISNUMBER(Student­­Performance[[#This Row],[Math Score]]),Student­­Performance[[#This Row],[Math Score]],0)</f>
        <v>35</v>
      </c>
      <c r="O866" s="4">
        <f>IF(ISNUMBER(Student­­Performance[[#This Row],[Reading Score]]),Student­­Performance[[#This Row],[Reading Score]],0)</f>
        <v>55</v>
      </c>
      <c r="P866" s="4">
        <f>IF(ISNUMBER(Student­­Performance[[#This Row],[Writing Score]]),Student­­Performance[[#This Row],[Writing Score]],0)</f>
        <v>60</v>
      </c>
      <c r="Q866" s="4" t="str">
        <f>IF(Student­­Performance[[#This Row],[Math Score]]&gt;=50,"Pass","Fail")</f>
        <v>Fail</v>
      </c>
      <c r="R866" s="4" t="str">
        <f>IF(Student­­Performance[[#This Row],[Reading Score]]&gt;=50,"Pass","Fail")</f>
        <v>Pass</v>
      </c>
      <c r="S866" s="4" t="str">
        <f>IF(Student­­Performance[[#This Row],[Writing Score]]&gt;=50,"Pass","Fail")</f>
        <v>Pass</v>
      </c>
      <c r="T86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150</v>
      </c>
      <c r="U866" s="4" cm="1">
        <f t="array" ref="U866">IF(COUNT(F866:H866)=0,"", MAX(IF(ISNUMBER(F866:H866),F866:H866)) - MIN(IF(ISNUMBER(F866:H866),F866:H866)))</f>
        <v>25</v>
      </c>
      <c r="V866" s="4" t="str">
        <f>IF(U866="","",IF(U866&gt;25,"Outlier","Normal"))</f>
        <v>Normal</v>
      </c>
    </row>
    <row r="867" spans="1:22" x14ac:dyDescent="0.3">
      <c r="A867" s="1" t="s">
        <v>8</v>
      </c>
      <c r="B867" s="1" t="s">
        <v>13</v>
      </c>
      <c r="C867" s="1" t="s">
        <v>87</v>
      </c>
      <c r="D867" s="1" t="s">
        <v>20</v>
      </c>
      <c r="E867" s="1" t="s">
        <v>12</v>
      </c>
      <c r="F867" s="4">
        <v>35</v>
      </c>
      <c r="G867" s="4">
        <v>61</v>
      </c>
      <c r="H867" s="4">
        <v>54</v>
      </c>
      <c r="I867" s="4">
        <f>AVERAGE(Student­­Performance[[#This Row],[Math Score]],Student­­Performance[[#This Row],[Reading Score]],Student­­Performance[[#This Row],[Writing Score]])</f>
        <v>50</v>
      </c>
      <c r="J867" s="10" t="str">
        <f>IF(Student­­Performance[[#This Row],[Average Score]]&gt;=50,"Pass","Fail")</f>
        <v>Pass</v>
      </c>
      <c r="K86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26</v>
      </c>
      <c r="L86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86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19</v>
      </c>
      <c r="N867" s="4">
        <f>IF(ISNUMBER(Student­­Performance[[#This Row],[Math Score]]),Student­­Performance[[#This Row],[Math Score]],0)</f>
        <v>35</v>
      </c>
      <c r="O867" s="4">
        <f>IF(ISNUMBER(Student­­Performance[[#This Row],[Reading Score]]),Student­­Performance[[#This Row],[Reading Score]],0)</f>
        <v>61</v>
      </c>
      <c r="P867" s="4">
        <f>IF(ISNUMBER(Student­­Performance[[#This Row],[Writing Score]]),Student­­Performance[[#This Row],[Writing Score]],0)</f>
        <v>54</v>
      </c>
      <c r="Q867" s="4" t="str">
        <f>IF(Student­­Performance[[#This Row],[Math Score]]&gt;=50,"Pass","Fail")</f>
        <v>Fail</v>
      </c>
      <c r="R867" s="4" t="str">
        <f>IF(Student­­Performance[[#This Row],[Reading Score]]&gt;=50,"Pass","Fail")</f>
        <v>Pass</v>
      </c>
      <c r="S867" s="4" t="str">
        <f>IF(Student­­Performance[[#This Row],[Writing Score]]&gt;=50,"Pass","Fail")</f>
        <v>Pass</v>
      </c>
      <c r="T86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150</v>
      </c>
      <c r="U867" s="4" cm="1">
        <f t="array" ref="U867">IF(COUNT(F867:H867)=0,"", MAX(IF(ISNUMBER(F867:H867),F867:H867)) - MIN(IF(ISNUMBER(F867:H867),F867:H867)))</f>
        <v>26</v>
      </c>
      <c r="V867" s="4" t="str">
        <f>IF(U867="","",IF(U867&gt;25,"Outlier","Normal"))</f>
        <v>Outlier</v>
      </c>
    </row>
    <row r="868" spans="1:22" x14ac:dyDescent="0.3">
      <c r="A868" s="1" t="s">
        <v>8</v>
      </c>
      <c r="B868" s="1" t="s">
        <v>13</v>
      </c>
      <c r="C868" s="1" t="s">
        <v>88</v>
      </c>
      <c r="D868" s="1" t="s">
        <v>11</v>
      </c>
      <c r="E868" s="1" t="s">
        <v>15</v>
      </c>
      <c r="F868" s="4">
        <v>44</v>
      </c>
      <c r="G868" s="4">
        <v>51</v>
      </c>
      <c r="H868" s="4">
        <v>55</v>
      </c>
      <c r="I868" s="4">
        <f>AVERAGE(Student­­Performance[[#This Row],[Math Score]],Student­­Performance[[#This Row],[Reading Score]],Student­­Performance[[#This Row],[Writing Score]])</f>
        <v>50</v>
      </c>
      <c r="J868" s="10" t="str">
        <f>IF(Student­­Performance[[#This Row],[Average Score]]&gt;=50,"Pass","Fail")</f>
        <v>Pass</v>
      </c>
      <c r="K86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86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86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868" s="4">
        <f>IF(ISNUMBER(Student­­Performance[[#This Row],[Math Score]]),Student­­Performance[[#This Row],[Math Score]],0)</f>
        <v>44</v>
      </c>
      <c r="O868" s="4">
        <f>IF(ISNUMBER(Student­­Performance[[#This Row],[Reading Score]]),Student­­Performance[[#This Row],[Reading Score]],0)</f>
        <v>51</v>
      </c>
      <c r="P868" s="4">
        <f>IF(ISNUMBER(Student­­Performance[[#This Row],[Writing Score]]),Student­­Performance[[#This Row],[Writing Score]],0)</f>
        <v>55</v>
      </c>
      <c r="Q868" s="4" t="str">
        <f>IF(Student­­Performance[[#This Row],[Math Score]]&gt;=50,"Pass","Fail")</f>
        <v>Fail</v>
      </c>
      <c r="R868" s="4" t="str">
        <f>IF(Student­­Performance[[#This Row],[Reading Score]]&gt;=50,"Pass","Fail")</f>
        <v>Pass</v>
      </c>
      <c r="S868" s="4" t="str">
        <f>IF(Student­­Performance[[#This Row],[Writing Score]]&gt;=50,"Pass","Fail")</f>
        <v>Pass</v>
      </c>
      <c r="T86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150</v>
      </c>
      <c r="U868" s="4" cm="1">
        <f t="array" ref="U868">IF(COUNT(F868:H868)=0,"", MAX(IF(ISNUMBER(F868:H868),F868:H868)) - MIN(IF(ISNUMBER(F868:H868),F868:H868)))</f>
        <v>11</v>
      </c>
      <c r="V868" s="4" t="str">
        <f>IF(U868="","",IF(U868&gt;25,"Outlier","Normal"))</f>
        <v>Normal</v>
      </c>
    </row>
    <row r="869" spans="1:22" x14ac:dyDescent="0.3">
      <c r="A869" s="1" t="s">
        <v>8</v>
      </c>
      <c r="B869" s="1" t="s">
        <v>18</v>
      </c>
      <c r="C869" s="1" t="s">
        <v>86</v>
      </c>
      <c r="D869" s="1" t="s">
        <v>20</v>
      </c>
      <c r="E869" s="1" t="s">
        <v>12</v>
      </c>
      <c r="F869" s="4">
        <v>37</v>
      </c>
      <c r="G869" s="4">
        <v>57</v>
      </c>
      <c r="H869" s="4">
        <v>56</v>
      </c>
      <c r="I869" s="4">
        <f>AVERAGE(Student­­Performance[[#This Row],[Math Score]],Student­­Performance[[#This Row],[Reading Score]],Student­­Performance[[#This Row],[Writing Score]])</f>
        <v>50</v>
      </c>
      <c r="J869" s="10" t="str">
        <f>IF(Student­­Performance[[#This Row],[Average Score]]&gt;=50,"Pass","Fail")</f>
        <v>Pass</v>
      </c>
      <c r="K86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20</v>
      </c>
      <c r="L86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86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19</v>
      </c>
      <c r="N869" s="4">
        <f>IF(ISNUMBER(Student­­Performance[[#This Row],[Math Score]]),Student­­Performance[[#This Row],[Math Score]],0)</f>
        <v>37</v>
      </c>
      <c r="O869" s="4">
        <f>IF(ISNUMBER(Student­­Performance[[#This Row],[Reading Score]]),Student­­Performance[[#This Row],[Reading Score]],0)</f>
        <v>57</v>
      </c>
      <c r="P869" s="4">
        <f>IF(ISNUMBER(Student­­Performance[[#This Row],[Writing Score]]),Student­­Performance[[#This Row],[Writing Score]],0)</f>
        <v>56</v>
      </c>
      <c r="Q869" s="4" t="str">
        <f>IF(Student­­Performance[[#This Row],[Math Score]]&gt;=50,"Pass","Fail")</f>
        <v>Fail</v>
      </c>
      <c r="R869" s="4" t="str">
        <f>IF(Student­­Performance[[#This Row],[Reading Score]]&gt;=50,"Pass","Fail")</f>
        <v>Pass</v>
      </c>
      <c r="S869" s="4" t="str">
        <f>IF(Student­­Performance[[#This Row],[Writing Score]]&gt;=50,"Pass","Fail")</f>
        <v>Pass</v>
      </c>
      <c r="T86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150</v>
      </c>
      <c r="U869" s="4" cm="1">
        <f t="array" ref="U869">IF(COUNT(F869:H869)=0,"", MAX(IF(ISNUMBER(F869:H869),F869:H869)) - MIN(IF(ISNUMBER(F869:H869),F869:H869)))</f>
        <v>20</v>
      </c>
      <c r="V869" s="4" t="str">
        <f>IF(U869="","",IF(U869&gt;25,"Outlier","Normal"))</f>
        <v>Normal</v>
      </c>
    </row>
    <row r="870" spans="1:22" x14ac:dyDescent="0.3">
      <c r="A870" s="1" t="s">
        <v>8</v>
      </c>
      <c r="B870" s="1" t="s">
        <v>13</v>
      </c>
      <c r="C870" s="1" t="s">
        <v>86</v>
      </c>
      <c r="D870" s="1" t="s">
        <v>11</v>
      </c>
      <c r="E870" s="1" t="s">
        <v>12</v>
      </c>
      <c r="F870" s="4">
        <v>40</v>
      </c>
      <c r="G870" s="4">
        <v>59</v>
      </c>
      <c r="H870" s="4">
        <v>51</v>
      </c>
      <c r="I870" s="4">
        <f>AVERAGE(Student­­Performance[[#This Row],[Math Score]],Student­­Performance[[#This Row],[Reading Score]],Student­­Performance[[#This Row],[Writing Score]])</f>
        <v>50</v>
      </c>
      <c r="J870" s="10" t="str">
        <f>IF(Student­­Performance[[#This Row],[Average Score]]&gt;=50,"Pass","Fail")</f>
        <v>Pass</v>
      </c>
      <c r="K87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19</v>
      </c>
      <c r="L87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-8</v>
      </c>
      <c r="M87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870" s="4">
        <f>IF(ISNUMBER(Student­­Performance[[#This Row],[Math Score]]),Student­­Performance[[#This Row],[Math Score]],0)</f>
        <v>40</v>
      </c>
      <c r="O870" s="4">
        <f>IF(ISNUMBER(Student­­Performance[[#This Row],[Reading Score]]),Student­­Performance[[#This Row],[Reading Score]],0)</f>
        <v>59</v>
      </c>
      <c r="P870" s="4">
        <f>IF(ISNUMBER(Student­­Performance[[#This Row],[Writing Score]]),Student­­Performance[[#This Row],[Writing Score]],0)</f>
        <v>51</v>
      </c>
      <c r="Q870" s="4" t="str">
        <f>IF(Student­­Performance[[#This Row],[Math Score]]&gt;=50,"Pass","Fail")</f>
        <v>Fail</v>
      </c>
      <c r="R870" s="4" t="str">
        <f>IF(Student­­Performance[[#This Row],[Reading Score]]&gt;=50,"Pass","Fail")</f>
        <v>Pass</v>
      </c>
      <c r="S870" s="4" t="str">
        <f>IF(Student­­Performance[[#This Row],[Writing Score]]&gt;=50,"Pass","Fail")</f>
        <v>Pass</v>
      </c>
      <c r="T87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150</v>
      </c>
      <c r="U870" s="4" cm="1">
        <f t="array" ref="U870">IF(COUNT(F870:H870)=0,"", MAX(IF(ISNUMBER(F870:H870),F870:H870)) - MIN(IF(ISNUMBER(F870:H870),F870:H870)))</f>
        <v>19</v>
      </c>
      <c r="V870" s="4" t="str">
        <f>IF(U870="","",IF(U870&gt;25,"Outlier","Normal"))</f>
        <v>Normal</v>
      </c>
    </row>
    <row r="871" spans="1:22" x14ac:dyDescent="0.3">
      <c r="A871" s="1" t="s">
        <v>17</v>
      </c>
      <c r="B871" s="1" t="s">
        <v>13</v>
      </c>
      <c r="C871" s="1" t="s">
        <v>84</v>
      </c>
      <c r="D871" s="1" t="s">
        <v>11</v>
      </c>
      <c r="E871" s="1" t="s">
        <v>12</v>
      </c>
      <c r="F871" s="4">
        <v>58</v>
      </c>
      <c r="G871" s="4">
        <v>49</v>
      </c>
      <c r="H871" s="4">
        <v>42</v>
      </c>
      <c r="I871" s="4">
        <f>AVERAGE(Student­­Performance[[#This Row],[Math Score]],Student­­Performance[[#This Row],[Reading Score]],Student­­Performance[[#This Row],[Writing Score]])</f>
        <v>49.666666666666664</v>
      </c>
      <c r="J871" s="10" t="str">
        <f>IF(Student­­Performance[[#This Row],[Average Score]]&gt;=50,"Pass","Fail")</f>
        <v>Fail</v>
      </c>
      <c r="K87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-9</v>
      </c>
      <c r="L87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87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-16</v>
      </c>
      <c r="N871" s="4">
        <f>IF(ISNUMBER(Student­­Performance[[#This Row],[Math Score]]),Student­­Performance[[#This Row],[Math Score]],0)</f>
        <v>58</v>
      </c>
      <c r="O871" s="4">
        <f>IF(ISNUMBER(Student­­Performance[[#This Row],[Reading Score]]),Student­­Performance[[#This Row],[Reading Score]],0)</f>
        <v>49</v>
      </c>
      <c r="P871" s="4">
        <f>IF(ISNUMBER(Student­­Performance[[#This Row],[Writing Score]]),Student­­Performance[[#This Row],[Writing Score]],0)</f>
        <v>42</v>
      </c>
      <c r="Q871" s="4" t="str">
        <f>IF(Student­­Performance[[#This Row],[Math Score]]&gt;=50,"Pass","Fail")</f>
        <v>Pass</v>
      </c>
      <c r="R871" s="4" t="str">
        <f>IF(Student­­Performance[[#This Row],[Reading Score]]&gt;=50,"Pass","Fail")</f>
        <v>Fail</v>
      </c>
      <c r="S871" s="4" t="str">
        <f>IF(Student­­Performance[[#This Row],[Writing Score]]&gt;=50,"Pass","Fail")</f>
        <v>Fail</v>
      </c>
      <c r="T87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149</v>
      </c>
      <c r="U871" s="4" cm="1">
        <f t="array" ref="U871">IF(COUNT(F871:H871)=0,"", MAX(IF(ISNUMBER(F871:H871),F871:H871)) - MIN(IF(ISNUMBER(F871:H871),F871:H871)))</f>
        <v>16</v>
      </c>
      <c r="V871" s="4" t="str">
        <f>IF(U871="","",IF(U871&gt;25,"Outlier","Normal"))</f>
        <v>Normal</v>
      </c>
    </row>
    <row r="872" spans="1:22" x14ac:dyDescent="0.3">
      <c r="A872" s="1" t="s">
        <v>8</v>
      </c>
      <c r="B872" s="1" t="s">
        <v>13</v>
      </c>
      <c r="C872" s="1" t="s">
        <v>88</v>
      </c>
      <c r="D872" s="1" t="s">
        <v>20</v>
      </c>
      <c r="E872" s="1" t="s">
        <v>12</v>
      </c>
      <c r="F872" s="4">
        <v>43</v>
      </c>
      <c r="G872" s="4">
        <v>53</v>
      </c>
      <c r="H872" s="4">
        <v>53</v>
      </c>
      <c r="I872" s="4">
        <f>AVERAGE(Student­­Performance[[#This Row],[Math Score]],Student­­Performance[[#This Row],[Reading Score]],Student­­Performance[[#This Row],[Writing Score]])</f>
        <v>49.666666666666664</v>
      </c>
      <c r="J872" s="10" t="str">
        <f>IF(Student­­Performance[[#This Row],[Average Score]]&gt;=50,"Pass","Fail")</f>
        <v>Fail</v>
      </c>
      <c r="K87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87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87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872" s="4">
        <f>IF(ISNUMBER(Student­­Performance[[#This Row],[Math Score]]),Student­­Performance[[#This Row],[Math Score]],0)</f>
        <v>43</v>
      </c>
      <c r="O872" s="4">
        <f>IF(ISNUMBER(Student­­Performance[[#This Row],[Reading Score]]),Student­­Performance[[#This Row],[Reading Score]],0)</f>
        <v>53</v>
      </c>
      <c r="P872" s="4">
        <f>IF(ISNUMBER(Student­­Performance[[#This Row],[Writing Score]]),Student­­Performance[[#This Row],[Writing Score]],0)</f>
        <v>53</v>
      </c>
      <c r="Q872" s="4" t="str">
        <f>IF(Student­­Performance[[#This Row],[Math Score]]&gt;=50,"Pass","Fail")</f>
        <v>Fail</v>
      </c>
      <c r="R872" s="4" t="str">
        <f>IF(Student­­Performance[[#This Row],[Reading Score]]&gt;=50,"Pass","Fail")</f>
        <v>Pass</v>
      </c>
      <c r="S872" s="4" t="str">
        <f>IF(Student­­Performance[[#This Row],[Writing Score]]&gt;=50,"Pass","Fail")</f>
        <v>Pass</v>
      </c>
      <c r="T87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149</v>
      </c>
      <c r="U872" s="4" cm="1">
        <f t="array" ref="U872">IF(COUNT(F872:H872)=0,"", MAX(IF(ISNUMBER(F872:H872),F872:H872)) - MIN(IF(ISNUMBER(F872:H872),F872:H872)))</f>
        <v>10</v>
      </c>
      <c r="V872" s="4" t="str">
        <f>IF(U872="","",IF(U872&gt;25,"Outlier","Normal"))</f>
        <v>Normal</v>
      </c>
    </row>
    <row r="873" spans="1:22" x14ac:dyDescent="0.3">
      <c r="A873" s="1" t="s">
        <v>17</v>
      </c>
      <c r="B873" s="1" t="s">
        <v>9</v>
      </c>
      <c r="C873" s="1" t="s">
        <v>87</v>
      </c>
      <c r="D873" s="1" t="s">
        <v>11</v>
      </c>
      <c r="E873" s="1" t="s">
        <v>12</v>
      </c>
      <c r="F873" s="4">
        <v>52</v>
      </c>
      <c r="G873" s="4">
        <v>48</v>
      </c>
      <c r="H873" s="4">
        <v>49</v>
      </c>
      <c r="I873" s="4">
        <f>AVERAGE(Student­­Performance[[#This Row],[Math Score]],Student­­Performance[[#This Row],[Reading Score]],Student­­Performance[[#This Row],[Writing Score]])</f>
        <v>49.666666666666664</v>
      </c>
      <c r="J873" s="10" t="str">
        <f>IF(Student­­Performance[[#This Row],[Average Score]]&gt;=50,"Pass","Fail")</f>
        <v>Fail</v>
      </c>
      <c r="K87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87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87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873" s="4">
        <f>IF(ISNUMBER(Student­­Performance[[#This Row],[Math Score]]),Student­­Performance[[#This Row],[Math Score]],0)</f>
        <v>52</v>
      </c>
      <c r="O873" s="4">
        <f>IF(ISNUMBER(Student­­Performance[[#This Row],[Reading Score]]),Student­­Performance[[#This Row],[Reading Score]],0)</f>
        <v>48</v>
      </c>
      <c r="P873" s="4">
        <f>IF(ISNUMBER(Student­­Performance[[#This Row],[Writing Score]]),Student­­Performance[[#This Row],[Writing Score]],0)</f>
        <v>49</v>
      </c>
      <c r="Q873" s="4" t="str">
        <f>IF(Student­­Performance[[#This Row],[Math Score]]&gt;=50,"Pass","Fail")</f>
        <v>Pass</v>
      </c>
      <c r="R873" s="4" t="str">
        <f>IF(Student­­Performance[[#This Row],[Reading Score]]&gt;=50,"Pass","Fail")</f>
        <v>Fail</v>
      </c>
      <c r="S873" s="4" t="str">
        <f>IF(Student­­Performance[[#This Row],[Writing Score]]&gt;=50,"Pass","Fail")</f>
        <v>Fail</v>
      </c>
      <c r="T87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149</v>
      </c>
      <c r="U873" s="4" cm="1">
        <f t="array" ref="U873">IF(COUNT(F873:H873)=0,"", MAX(IF(ISNUMBER(F873:H873),F873:H873)) - MIN(IF(ISNUMBER(F873:H873),F873:H873)))</f>
        <v>4</v>
      </c>
      <c r="V873" s="4" t="str">
        <f>IF(U873="","",IF(U873&gt;25,"Outlier","Normal"))</f>
        <v>Normal</v>
      </c>
    </row>
    <row r="874" spans="1:22" x14ac:dyDescent="0.3">
      <c r="A874" s="1" t="s">
        <v>8</v>
      </c>
      <c r="B874" s="1" t="s">
        <v>13</v>
      </c>
      <c r="C874" s="1" t="s">
        <v>86</v>
      </c>
      <c r="D874" s="1" t="s">
        <v>11</v>
      </c>
      <c r="E874" s="1" t="s">
        <v>12</v>
      </c>
      <c r="F874" s="4">
        <v>69</v>
      </c>
      <c r="G874" s="4">
        <v>80</v>
      </c>
      <c r="H874" s="4" t="s">
        <v>90</v>
      </c>
      <c r="I874" s="4">
        <f>AVERAGE(Student­­Performance[[#This Row],[Math Score]],Student­­Performance[[#This Row],[Reading Score]],Student­­Performance[[#This Row],[Writing Score]])</f>
        <v>74.5</v>
      </c>
      <c r="J874" s="10" t="str">
        <f>IF(Student­­Performance[[#This Row],[Average Score]]&gt;=50,"Pass","Fail")</f>
        <v>Pass</v>
      </c>
      <c r="K87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874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874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874" s="4">
        <f>IF(ISNUMBER(Student­­Performance[[#This Row],[Math Score]]),Student­­Performance[[#This Row],[Math Score]],0)</f>
        <v>69</v>
      </c>
      <c r="O874" s="4">
        <f>IF(ISNUMBER(Student­­Performance[[#This Row],[Reading Score]]),Student­­Performance[[#This Row],[Reading Score]],0)</f>
        <v>80</v>
      </c>
      <c r="P874" s="4">
        <f>IF(ISNUMBER(Student­­Performance[[#This Row],[Writing Score]]),Student­­Performance[[#This Row],[Writing Score]],0)</f>
        <v>0</v>
      </c>
      <c r="Q874" s="4" t="str">
        <f>IF(Student­­Performance[[#This Row],[Math Score]]&gt;=50,"Pass","Fail")</f>
        <v>Pass</v>
      </c>
      <c r="R874" s="4" t="str">
        <f>IF(Student­­Performance[[#This Row],[Reading Score]]&gt;=50,"Pass","Fail")</f>
        <v>Pass</v>
      </c>
      <c r="S874" s="4" t="str">
        <f>IF(Student­­Performance[[#This Row],[Writing Score]]&gt;=50,"Pass","Fail")</f>
        <v>Pass</v>
      </c>
      <c r="T87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149</v>
      </c>
      <c r="U874" s="4" cm="1">
        <f t="array" ref="U874">IF(COUNT(F874:H874)=0,"", MAX(IF(ISNUMBER(F874:H874),F874:H874)) - MIN(IF(ISNUMBER(F874:H874),F874:H874)))</f>
        <v>11</v>
      </c>
      <c r="V874" s="4" t="str">
        <f>IF(U874="","",IF(U874&gt;25,"Outlier","Normal"))</f>
        <v>Normal</v>
      </c>
    </row>
    <row r="875" spans="1:22" x14ac:dyDescent="0.3">
      <c r="A875" s="1" t="s">
        <v>17</v>
      </c>
      <c r="B875" s="1" t="s">
        <v>18</v>
      </c>
      <c r="C875" s="1" t="s">
        <v>86</v>
      </c>
      <c r="D875" s="1" t="s">
        <v>20</v>
      </c>
      <c r="E875" s="1" t="s">
        <v>12</v>
      </c>
      <c r="F875" s="4">
        <v>47</v>
      </c>
      <c r="G875" s="4">
        <v>57</v>
      </c>
      <c r="H875" s="4">
        <v>44</v>
      </c>
      <c r="I875" s="4">
        <f>AVERAGE(Student­­Performance[[#This Row],[Math Score]],Student­­Performance[[#This Row],[Reading Score]],Student­­Performance[[#This Row],[Writing Score]])</f>
        <v>49.333333333333336</v>
      </c>
      <c r="J875" s="10" t="str">
        <f>IF(Student­­Performance[[#This Row],[Average Score]]&gt;=50,"Pass","Fail")</f>
        <v>Fail</v>
      </c>
      <c r="K87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87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-13</v>
      </c>
      <c r="M87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875" s="4">
        <f>IF(ISNUMBER(Student­­Performance[[#This Row],[Math Score]]),Student­­Performance[[#This Row],[Math Score]],0)</f>
        <v>47</v>
      </c>
      <c r="O875" s="4">
        <f>IF(ISNUMBER(Student­­Performance[[#This Row],[Reading Score]]),Student­­Performance[[#This Row],[Reading Score]],0)</f>
        <v>57</v>
      </c>
      <c r="P875" s="4">
        <f>IF(ISNUMBER(Student­­Performance[[#This Row],[Writing Score]]),Student­­Performance[[#This Row],[Writing Score]],0)</f>
        <v>44</v>
      </c>
      <c r="Q875" s="4" t="str">
        <f>IF(Student­­Performance[[#This Row],[Math Score]]&gt;=50,"Pass","Fail")</f>
        <v>Fail</v>
      </c>
      <c r="R875" s="4" t="str">
        <f>IF(Student­­Performance[[#This Row],[Reading Score]]&gt;=50,"Pass","Fail")</f>
        <v>Pass</v>
      </c>
      <c r="S875" s="4" t="str">
        <f>IF(Student­­Performance[[#This Row],[Writing Score]]&gt;=50,"Pass","Fail")</f>
        <v>Fail</v>
      </c>
      <c r="T87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148</v>
      </c>
      <c r="U875" s="4" cm="1">
        <f t="array" ref="U875">IF(COUNT(F875:H875)=0,"", MAX(IF(ISNUMBER(F875:H875),F875:H875)) - MIN(IF(ISNUMBER(F875:H875),F875:H875)))</f>
        <v>13</v>
      </c>
      <c r="V875" s="4" t="str">
        <f>IF(U875="","",IF(U875&gt;25,"Outlier","Normal"))</f>
        <v>Normal</v>
      </c>
    </row>
    <row r="876" spans="1:22" x14ac:dyDescent="0.3">
      <c r="A876" s="1" t="s">
        <v>8</v>
      </c>
      <c r="B876" s="1" t="s">
        <v>9</v>
      </c>
      <c r="C876" s="1" t="s">
        <v>87</v>
      </c>
      <c r="D876" s="1" t="s">
        <v>20</v>
      </c>
      <c r="E876" s="1" t="s">
        <v>12</v>
      </c>
      <c r="F876" s="4">
        <v>38</v>
      </c>
      <c r="G876" s="4">
        <v>60</v>
      </c>
      <c r="H876" s="4">
        <v>50</v>
      </c>
      <c r="I876" s="4">
        <f>AVERAGE(Student­­Performance[[#This Row],[Math Score]],Student­­Performance[[#This Row],[Reading Score]],Student­­Performance[[#This Row],[Writing Score]])</f>
        <v>49.333333333333336</v>
      </c>
      <c r="J876" s="10" t="str">
        <f>IF(Student­­Performance[[#This Row],[Average Score]]&gt;=50,"Pass","Fail")</f>
        <v>Fail</v>
      </c>
      <c r="K87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22</v>
      </c>
      <c r="L87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-10</v>
      </c>
      <c r="M87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876" s="4">
        <f>IF(ISNUMBER(Student­­Performance[[#This Row],[Math Score]]),Student­­Performance[[#This Row],[Math Score]],0)</f>
        <v>38</v>
      </c>
      <c r="O876" s="4">
        <f>IF(ISNUMBER(Student­­Performance[[#This Row],[Reading Score]]),Student­­Performance[[#This Row],[Reading Score]],0)</f>
        <v>60</v>
      </c>
      <c r="P876" s="4">
        <f>IF(ISNUMBER(Student­­Performance[[#This Row],[Writing Score]]),Student­­Performance[[#This Row],[Writing Score]],0)</f>
        <v>50</v>
      </c>
      <c r="Q876" s="4" t="str">
        <f>IF(Student­­Performance[[#This Row],[Math Score]]&gt;=50,"Pass","Fail")</f>
        <v>Fail</v>
      </c>
      <c r="R876" s="4" t="str">
        <f>IF(Student­­Performance[[#This Row],[Reading Score]]&gt;=50,"Pass","Fail")</f>
        <v>Pass</v>
      </c>
      <c r="S876" s="4" t="str">
        <f>IF(Student­­Performance[[#This Row],[Writing Score]]&gt;=50,"Pass","Fail")</f>
        <v>Pass</v>
      </c>
      <c r="T87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148</v>
      </c>
      <c r="U876" s="4" cm="1">
        <f t="array" ref="U876">IF(COUNT(F876:H876)=0,"", MAX(IF(ISNUMBER(F876:H876),F876:H876)) - MIN(IF(ISNUMBER(F876:H876),F876:H876)))</f>
        <v>22</v>
      </c>
      <c r="V876" s="4" t="str">
        <f>IF(U876="","",IF(U876&gt;25,"Outlier","Normal"))</f>
        <v>Normal</v>
      </c>
    </row>
    <row r="877" spans="1:22" x14ac:dyDescent="0.3">
      <c r="A877" s="1" t="s">
        <v>8</v>
      </c>
      <c r="B877" s="1" t="s">
        <v>13</v>
      </c>
      <c r="C877" s="1" t="s">
        <v>83</v>
      </c>
      <c r="D877" s="1" t="s">
        <v>20</v>
      </c>
      <c r="E877" s="1" t="s">
        <v>15</v>
      </c>
      <c r="F877" s="4">
        <v>43</v>
      </c>
      <c r="G877" s="4">
        <v>51</v>
      </c>
      <c r="H877" s="4">
        <v>54</v>
      </c>
      <c r="I877" s="4">
        <f>AVERAGE(Student­­Performance[[#This Row],[Math Score]],Student­­Performance[[#This Row],[Reading Score]],Student­­Performance[[#This Row],[Writing Score]])</f>
        <v>49.333333333333336</v>
      </c>
      <c r="J877" s="10" t="str">
        <f>IF(Student­­Performance[[#This Row],[Average Score]]&gt;=50,"Pass","Fail")</f>
        <v>Fail</v>
      </c>
      <c r="K87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87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87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877" s="4">
        <f>IF(ISNUMBER(Student­­Performance[[#This Row],[Math Score]]),Student­­Performance[[#This Row],[Math Score]],0)</f>
        <v>43</v>
      </c>
      <c r="O877" s="4">
        <f>IF(ISNUMBER(Student­­Performance[[#This Row],[Reading Score]]),Student­­Performance[[#This Row],[Reading Score]],0)</f>
        <v>51</v>
      </c>
      <c r="P877" s="4">
        <f>IF(ISNUMBER(Student­­Performance[[#This Row],[Writing Score]]),Student­­Performance[[#This Row],[Writing Score]],0)</f>
        <v>54</v>
      </c>
      <c r="Q877" s="4" t="str">
        <f>IF(Student­­Performance[[#This Row],[Math Score]]&gt;=50,"Pass","Fail")</f>
        <v>Fail</v>
      </c>
      <c r="R877" s="4" t="str">
        <f>IF(Student­­Performance[[#This Row],[Reading Score]]&gt;=50,"Pass","Fail")</f>
        <v>Pass</v>
      </c>
      <c r="S877" s="4" t="str">
        <f>IF(Student­­Performance[[#This Row],[Writing Score]]&gt;=50,"Pass","Fail")</f>
        <v>Pass</v>
      </c>
      <c r="T87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148</v>
      </c>
      <c r="U877" s="4" cm="1">
        <f t="array" ref="U877">IF(COUNT(F877:H877)=0,"", MAX(IF(ISNUMBER(F877:H877),F877:H877)) - MIN(IF(ISNUMBER(F877:H877),F877:H877)))</f>
        <v>11</v>
      </c>
      <c r="V877" s="4" t="str">
        <f>IF(U877="","",IF(U877&gt;25,"Outlier","Normal"))</f>
        <v>Normal</v>
      </c>
    </row>
    <row r="878" spans="1:22" x14ac:dyDescent="0.3">
      <c r="A878" s="1" t="s">
        <v>17</v>
      </c>
      <c r="B878" s="1" t="s">
        <v>18</v>
      </c>
      <c r="C878" s="1" t="s">
        <v>86</v>
      </c>
      <c r="D878" s="1" t="s">
        <v>20</v>
      </c>
      <c r="E878" s="1" t="s">
        <v>15</v>
      </c>
      <c r="F878" s="4">
        <v>40</v>
      </c>
      <c r="G878" s="4">
        <v>55</v>
      </c>
      <c r="H878" s="4">
        <v>53</v>
      </c>
      <c r="I878" s="4">
        <f>AVERAGE(Student­­Performance[[#This Row],[Math Score]],Student­­Performance[[#This Row],[Reading Score]],Student­­Performance[[#This Row],[Writing Score]])</f>
        <v>49.333333333333336</v>
      </c>
      <c r="J878" s="10" t="str">
        <f>IF(Student­­Performance[[#This Row],[Average Score]]&gt;=50,"Pass","Fail")</f>
        <v>Fail</v>
      </c>
      <c r="K87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15</v>
      </c>
      <c r="L87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87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13</v>
      </c>
      <c r="N878" s="4">
        <f>IF(ISNUMBER(Student­­Performance[[#This Row],[Math Score]]),Student­­Performance[[#This Row],[Math Score]],0)</f>
        <v>40</v>
      </c>
      <c r="O878" s="4">
        <f>IF(ISNUMBER(Student­­Performance[[#This Row],[Reading Score]]),Student­­Performance[[#This Row],[Reading Score]],0)</f>
        <v>55</v>
      </c>
      <c r="P878" s="4">
        <f>IF(ISNUMBER(Student­­Performance[[#This Row],[Writing Score]]),Student­­Performance[[#This Row],[Writing Score]],0)</f>
        <v>53</v>
      </c>
      <c r="Q878" s="4" t="str">
        <f>IF(Student­­Performance[[#This Row],[Math Score]]&gt;=50,"Pass","Fail")</f>
        <v>Fail</v>
      </c>
      <c r="R878" s="4" t="str">
        <f>IF(Student­­Performance[[#This Row],[Reading Score]]&gt;=50,"Pass","Fail")</f>
        <v>Pass</v>
      </c>
      <c r="S878" s="4" t="str">
        <f>IF(Student­­Performance[[#This Row],[Writing Score]]&gt;=50,"Pass","Fail")</f>
        <v>Pass</v>
      </c>
      <c r="T87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148</v>
      </c>
      <c r="U878" s="4" cm="1">
        <f t="array" ref="U878">IF(COUNT(F878:H878)=0,"", MAX(IF(ISNUMBER(F878:H878),F878:H878)) - MIN(IF(ISNUMBER(F878:H878),F878:H878)))</f>
        <v>15</v>
      </c>
      <c r="V878" s="4" t="str">
        <f>IF(U878="","",IF(U878&gt;25,"Outlier","Normal"))</f>
        <v>Normal</v>
      </c>
    </row>
    <row r="879" spans="1:22" x14ac:dyDescent="0.3">
      <c r="A879" s="1" t="s">
        <v>17</v>
      </c>
      <c r="B879" s="1" t="s">
        <v>18</v>
      </c>
      <c r="C879" s="1" t="s">
        <v>87</v>
      </c>
      <c r="D879" s="1" t="s">
        <v>11</v>
      </c>
      <c r="E879" s="1" t="s">
        <v>12</v>
      </c>
      <c r="F879" s="4">
        <v>57</v>
      </c>
      <c r="G879" s="4">
        <v>43</v>
      </c>
      <c r="H879" s="4">
        <v>47</v>
      </c>
      <c r="I879" s="4">
        <f>AVERAGE(Student­­Performance[[#This Row],[Math Score]],Student­­Performance[[#This Row],[Reading Score]],Student­­Performance[[#This Row],[Writing Score]])</f>
        <v>49</v>
      </c>
      <c r="J879" s="10" t="str">
        <f>IF(Student­­Performance[[#This Row],[Average Score]]&gt;=50,"Pass","Fail")</f>
        <v>Fail</v>
      </c>
      <c r="K87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-14</v>
      </c>
      <c r="L87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87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-10</v>
      </c>
      <c r="N879" s="4">
        <f>IF(ISNUMBER(Student­­Performance[[#This Row],[Math Score]]),Student­­Performance[[#This Row],[Math Score]],0)</f>
        <v>57</v>
      </c>
      <c r="O879" s="4">
        <f>IF(ISNUMBER(Student­­Performance[[#This Row],[Reading Score]]),Student­­Performance[[#This Row],[Reading Score]],0)</f>
        <v>43</v>
      </c>
      <c r="P879" s="4">
        <f>IF(ISNUMBER(Student­­Performance[[#This Row],[Writing Score]]),Student­­Performance[[#This Row],[Writing Score]],0)</f>
        <v>47</v>
      </c>
      <c r="Q879" s="4" t="str">
        <f>IF(Student­­Performance[[#This Row],[Math Score]]&gt;=50,"Pass","Fail")</f>
        <v>Pass</v>
      </c>
      <c r="R879" s="4" t="str">
        <f>IF(Student­­Performance[[#This Row],[Reading Score]]&gt;=50,"Pass","Fail")</f>
        <v>Fail</v>
      </c>
      <c r="S879" s="4" t="str">
        <f>IF(Student­­Performance[[#This Row],[Writing Score]]&gt;=50,"Pass","Fail")</f>
        <v>Fail</v>
      </c>
      <c r="T87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147</v>
      </c>
      <c r="U879" s="4" cm="1">
        <f t="array" ref="U879">IF(COUNT(F879:H879)=0,"", MAX(IF(ISNUMBER(F879:H879),F879:H879)) - MIN(IF(ISNUMBER(F879:H879),F879:H879)))</f>
        <v>14</v>
      </c>
      <c r="V879" s="4" t="str">
        <f>IF(U879="","",IF(U879&gt;25,"Outlier","Normal"))</f>
        <v>Normal</v>
      </c>
    </row>
    <row r="880" spans="1:22" x14ac:dyDescent="0.3">
      <c r="A880" s="1" t="s">
        <v>8</v>
      </c>
      <c r="B880" s="1" t="s">
        <v>26</v>
      </c>
      <c r="C880" s="1" t="s">
        <v>87</v>
      </c>
      <c r="D880" s="1" t="s">
        <v>11</v>
      </c>
      <c r="E880" s="1" t="s">
        <v>12</v>
      </c>
      <c r="F880" s="4">
        <v>50</v>
      </c>
      <c r="G880" s="4">
        <v>50</v>
      </c>
      <c r="H880" s="4">
        <v>47</v>
      </c>
      <c r="I880" s="4">
        <f>AVERAGE(Student­­Performance[[#This Row],[Math Score]],Student­­Performance[[#This Row],[Reading Score]],Student­­Performance[[#This Row],[Writing Score]])</f>
        <v>49</v>
      </c>
      <c r="J880" s="10" t="str">
        <f>IF(Student­­Performance[[#This Row],[Average Score]]&gt;=50,"Pass","Fail")</f>
        <v>Fail</v>
      </c>
      <c r="K88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88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88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880" s="4">
        <f>IF(ISNUMBER(Student­­Performance[[#This Row],[Math Score]]),Student­­Performance[[#This Row],[Math Score]],0)</f>
        <v>50</v>
      </c>
      <c r="O880" s="4">
        <f>IF(ISNUMBER(Student­­Performance[[#This Row],[Reading Score]]),Student­­Performance[[#This Row],[Reading Score]],0)</f>
        <v>50</v>
      </c>
      <c r="P880" s="4">
        <f>IF(ISNUMBER(Student­­Performance[[#This Row],[Writing Score]]),Student­­Performance[[#This Row],[Writing Score]],0)</f>
        <v>47</v>
      </c>
      <c r="Q880" s="4" t="str">
        <f>IF(Student­­Performance[[#This Row],[Math Score]]&gt;=50,"Pass","Fail")</f>
        <v>Pass</v>
      </c>
      <c r="R880" s="4" t="str">
        <f>IF(Student­­Performance[[#This Row],[Reading Score]]&gt;=50,"Pass","Fail")</f>
        <v>Pass</v>
      </c>
      <c r="S880" s="4" t="str">
        <f>IF(Student­­Performance[[#This Row],[Writing Score]]&gt;=50,"Pass","Fail")</f>
        <v>Fail</v>
      </c>
      <c r="T88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147</v>
      </c>
      <c r="U880" s="4" cm="1">
        <f t="array" ref="U880">IF(COUNT(F880:H880)=0,"", MAX(IF(ISNUMBER(F880:H880),F880:H880)) - MIN(IF(ISNUMBER(F880:H880),F880:H880)))</f>
        <v>3</v>
      </c>
      <c r="V880" s="4" t="str">
        <f>IF(U880="","",IF(U880&gt;25,"Outlier","Normal"))</f>
        <v>Normal</v>
      </c>
    </row>
    <row r="881" spans="1:22" x14ac:dyDescent="0.3">
      <c r="A881" s="1" t="s">
        <v>17</v>
      </c>
      <c r="B881" s="1" t="s">
        <v>21</v>
      </c>
      <c r="C881" s="1" t="s">
        <v>87</v>
      </c>
      <c r="D881" s="1" t="s">
        <v>11</v>
      </c>
      <c r="E881" s="1" t="s">
        <v>12</v>
      </c>
      <c r="F881" s="4">
        <v>53</v>
      </c>
      <c r="G881" s="4">
        <v>52</v>
      </c>
      <c r="H881" s="4">
        <v>42</v>
      </c>
      <c r="I881" s="4">
        <f>AVERAGE(Student­­Performance[[#This Row],[Math Score]],Student­­Performance[[#This Row],[Reading Score]],Student­­Performance[[#This Row],[Writing Score]])</f>
        <v>49</v>
      </c>
      <c r="J881" s="10" t="str">
        <f>IF(Student­­Performance[[#This Row],[Average Score]]&gt;=50,"Pass","Fail")</f>
        <v>Fail</v>
      </c>
      <c r="K88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88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-10</v>
      </c>
      <c r="M88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-11</v>
      </c>
      <c r="N881" s="4">
        <f>IF(ISNUMBER(Student­­Performance[[#This Row],[Math Score]]),Student­­Performance[[#This Row],[Math Score]],0)</f>
        <v>53</v>
      </c>
      <c r="O881" s="4">
        <f>IF(ISNUMBER(Student­­Performance[[#This Row],[Reading Score]]),Student­­Performance[[#This Row],[Reading Score]],0)</f>
        <v>52</v>
      </c>
      <c r="P881" s="4">
        <f>IF(ISNUMBER(Student­­Performance[[#This Row],[Writing Score]]),Student­­Performance[[#This Row],[Writing Score]],0)</f>
        <v>42</v>
      </c>
      <c r="Q881" s="4" t="str">
        <f>IF(Student­­Performance[[#This Row],[Math Score]]&gt;=50,"Pass","Fail")</f>
        <v>Pass</v>
      </c>
      <c r="R881" s="4" t="str">
        <f>IF(Student­­Performance[[#This Row],[Reading Score]]&gt;=50,"Pass","Fail")</f>
        <v>Pass</v>
      </c>
      <c r="S881" s="4" t="str">
        <f>IF(Student­­Performance[[#This Row],[Writing Score]]&gt;=50,"Pass","Fail")</f>
        <v>Fail</v>
      </c>
      <c r="T88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147</v>
      </c>
      <c r="U881" s="4" cm="1">
        <f t="array" ref="U881">IF(COUNT(F881:H881)=0,"", MAX(IF(ISNUMBER(F881:H881),F881:H881)) - MIN(IF(ISNUMBER(F881:H881),F881:H881)))</f>
        <v>11</v>
      </c>
      <c r="V881" s="4" t="str">
        <f>IF(U881="","",IF(U881&gt;25,"Outlier","Normal"))</f>
        <v>Normal</v>
      </c>
    </row>
    <row r="882" spans="1:22" x14ac:dyDescent="0.3">
      <c r="A882" s="1" t="s">
        <v>17</v>
      </c>
      <c r="B882" s="1" t="s">
        <v>13</v>
      </c>
      <c r="C882" s="1" t="s">
        <v>88</v>
      </c>
      <c r="D882" s="1" t="s">
        <v>11</v>
      </c>
      <c r="E882" s="1" t="s">
        <v>12</v>
      </c>
      <c r="F882" s="4">
        <v>51</v>
      </c>
      <c r="G882" s="4">
        <v>52</v>
      </c>
      <c r="H882" s="4">
        <v>44</v>
      </c>
      <c r="I882" s="4">
        <f>AVERAGE(Student­­Performance[[#This Row],[Math Score]],Student­­Performance[[#This Row],[Reading Score]],Student­­Performance[[#This Row],[Writing Score]])</f>
        <v>49</v>
      </c>
      <c r="J882" s="10" t="str">
        <f>IF(Student­­Performance[[#This Row],[Average Score]]&gt;=50,"Pass","Fail")</f>
        <v>Fail</v>
      </c>
      <c r="K88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88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-8</v>
      </c>
      <c r="M88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882" s="4">
        <f>IF(ISNUMBER(Student­­Performance[[#This Row],[Math Score]]),Student­­Performance[[#This Row],[Math Score]],0)</f>
        <v>51</v>
      </c>
      <c r="O882" s="4">
        <f>IF(ISNUMBER(Student­­Performance[[#This Row],[Reading Score]]),Student­­Performance[[#This Row],[Reading Score]],0)</f>
        <v>52</v>
      </c>
      <c r="P882" s="4">
        <f>IF(ISNUMBER(Student­­Performance[[#This Row],[Writing Score]]),Student­­Performance[[#This Row],[Writing Score]],0)</f>
        <v>44</v>
      </c>
      <c r="Q882" s="4" t="str">
        <f>IF(Student­­Performance[[#This Row],[Math Score]]&gt;=50,"Pass","Fail")</f>
        <v>Pass</v>
      </c>
      <c r="R882" s="4" t="str">
        <f>IF(Student­­Performance[[#This Row],[Reading Score]]&gt;=50,"Pass","Fail")</f>
        <v>Pass</v>
      </c>
      <c r="S882" s="4" t="str">
        <f>IF(Student­­Performance[[#This Row],[Writing Score]]&gt;=50,"Pass","Fail")</f>
        <v>Fail</v>
      </c>
      <c r="T88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147</v>
      </c>
      <c r="U882" s="4" cm="1">
        <f t="array" ref="U882">IF(COUNT(F882:H882)=0,"", MAX(IF(ISNUMBER(F882:H882),F882:H882)) - MIN(IF(ISNUMBER(F882:H882),F882:H882)))</f>
        <v>8</v>
      </c>
      <c r="V882" s="4" t="str">
        <f>IF(U882="","",IF(U882&gt;25,"Outlier","Normal"))</f>
        <v>Normal</v>
      </c>
    </row>
    <row r="883" spans="1:22" x14ac:dyDescent="0.3">
      <c r="A883" s="1" t="s">
        <v>8</v>
      </c>
      <c r="B883" s="1" t="s">
        <v>9</v>
      </c>
      <c r="C883" s="1" t="s">
        <v>88</v>
      </c>
      <c r="D883" s="1" t="s">
        <v>11</v>
      </c>
      <c r="E883" s="1" t="s">
        <v>12</v>
      </c>
      <c r="F883" s="4">
        <v>41</v>
      </c>
      <c r="G883" s="4">
        <v>55</v>
      </c>
      <c r="H883" s="4">
        <v>51</v>
      </c>
      <c r="I883" s="4">
        <f>AVERAGE(Student­­Performance[[#This Row],[Math Score]],Student­­Performance[[#This Row],[Reading Score]],Student­­Performance[[#This Row],[Writing Score]])</f>
        <v>49</v>
      </c>
      <c r="J883" s="10" t="str">
        <f>IF(Student­­Performance[[#This Row],[Average Score]]&gt;=50,"Pass","Fail")</f>
        <v>Fail</v>
      </c>
      <c r="K88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14</v>
      </c>
      <c r="L88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88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883" s="4">
        <f>IF(ISNUMBER(Student­­Performance[[#This Row],[Math Score]]),Student­­Performance[[#This Row],[Math Score]],0)</f>
        <v>41</v>
      </c>
      <c r="O883" s="4">
        <f>IF(ISNUMBER(Student­­Performance[[#This Row],[Reading Score]]),Student­­Performance[[#This Row],[Reading Score]],0)</f>
        <v>55</v>
      </c>
      <c r="P883" s="4">
        <f>IF(ISNUMBER(Student­­Performance[[#This Row],[Writing Score]]),Student­­Performance[[#This Row],[Writing Score]],0)</f>
        <v>51</v>
      </c>
      <c r="Q883" s="4" t="str">
        <f>IF(Student­­Performance[[#This Row],[Math Score]]&gt;=50,"Pass","Fail")</f>
        <v>Fail</v>
      </c>
      <c r="R883" s="4" t="str">
        <f>IF(Student­­Performance[[#This Row],[Reading Score]]&gt;=50,"Pass","Fail")</f>
        <v>Pass</v>
      </c>
      <c r="S883" s="4" t="str">
        <f>IF(Student­­Performance[[#This Row],[Writing Score]]&gt;=50,"Pass","Fail")</f>
        <v>Pass</v>
      </c>
      <c r="T88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147</v>
      </c>
      <c r="U883" s="4" cm="1">
        <f t="array" ref="U883">IF(COUNT(F883:H883)=0,"", MAX(IF(ISNUMBER(F883:H883),F883:H883)) - MIN(IF(ISNUMBER(F883:H883),F883:H883)))</f>
        <v>14</v>
      </c>
      <c r="V883" s="4" t="str">
        <f>IF(U883="","",IF(U883&gt;25,"Outlier","Normal"))</f>
        <v>Normal</v>
      </c>
    </row>
    <row r="884" spans="1:22" x14ac:dyDescent="0.3">
      <c r="A884" s="1" t="s">
        <v>17</v>
      </c>
      <c r="B884" s="1" t="s">
        <v>9</v>
      </c>
      <c r="C884" s="1" t="s">
        <v>87</v>
      </c>
      <c r="D884" s="1" t="s">
        <v>11</v>
      </c>
      <c r="E884" s="1" t="s">
        <v>15</v>
      </c>
      <c r="F884" s="4">
        <v>52</v>
      </c>
      <c r="G884" s="4">
        <v>49</v>
      </c>
      <c r="H884" s="4">
        <v>46</v>
      </c>
      <c r="I884" s="4">
        <f>AVERAGE(Student­­Performance[[#This Row],[Math Score]],Student­­Performance[[#This Row],[Reading Score]],Student­­Performance[[#This Row],[Writing Score]])</f>
        <v>49</v>
      </c>
      <c r="J884" s="10" t="str">
        <f>IF(Student­­Performance[[#This Row],[Average Score]]&gt;=50,"Pass","Fail")</f>
        <v>Fail</v>
      </c>
      <c r="K88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88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88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884" s="4">
        <f>IF(ISNUMBER(Student­­Performance[[#This Row],[Math Score]]),Student­­Performance[[#This Row],[Math Score]],0)</f>
        <v>52</v>
      </c>
      <c r="O884" s="4">
        <f>IF(ISNUMBER(Student­­Performance[[#This Row],[Reading Score]]),Student­­Performance[[#This Row],[Reading Score]],0)</f>
        <v>49</v>
      </c>
      <c r="P884" s="4">
        <f>IF(ISNUMBER(Student­­Performance[[#This Row],[Writing Score]]),Student­­Performance[[#This Row],[Writing Score]],0)</f>
        <v>46</v>
      </c>
      <c r="Q884" s="4" t="str">
        <f>IF(Student­­Performance[[#This Row],[Math Score]]&gt;=50,"Pass","Fail")</f>
        <v>Pass</v>
      </c>
      <c r="R884" s="4" t="str">
        <f>IF(Student­­Performance[[#This Row],[Reading Score]]&gt;=50,"Pass","Fail")</f>
        <v>Fail</v>
      </c>
      <c r="S884" s="4" t="str">
        <f>IF(Student­­Performance[[#This Row],[Writing Score]]&gt;=50,"Pass","Fail")</f>
        <v>Fail</v>
      </c>
      <c r="T88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147</v>
      </c>
      <c r="U884" s="4" cm="1">
        <f t="array" ref="U884">IF(COUNT(F884:H884)=0,"", MAX(IF(ISNUMBER(F884:H884),F884:H884)) - MIN(IF(ISNUMBER(F884:H884),F884:H884)))</f>
        <v>6</v>
      </c>
      <c r="V884" s="4" t="str">
        <f>IF(U884="","",IF(U884&gt;25,"Outlier","Normal"))</f>
        <v>Normal</v>
      </c>
    </row>
    <row r="885" spans="1:22" x14ac:dyDescent="0.3">
      <c r="A885" s="1" t="s">
        <v>8</v>
      </c>
      <c r="B885" s="1" t="s">
        <v>9</v>
      </c>
      <c r="C885" s="1" t="s">
        <v>86</v>
      </c>
      <c r="D885" s="1" t="s">
        <v>11</v>
      </c>
      <c r="E885" s="1" t="s">
        <v>12</v>
      </c>
      <c r="F885" s="4">
        <v>47</v>
      </c>
      <c r="G885" s="4">
        <v>49</v>
      </c>
      <c r="H885" s="4">
        <v>50</v>
      </c>
      <c r="I885" s="4">
        <f>AVERAGE(Student­­Performance[[#This Row],[Math Score]],Student­­Performance[[#This Row],[Reading Score]],Student­­Performance[[#This Row],[Writing Score]])</f>
        <v>48.666666666666664</v>
      </c>
      <c r="J885" s="10" t="str">
        <f>IF(Student­­Performance[[#This Row],[Average Score]]&gt;=50,"Pass","Fail")</f>
        <v>Fail</v>
      </c>
      <c r="K88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88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88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885" s="4">
        <f>IF(ISNUMBER(Student­­Performance[[#This Row],[Math Score]]),Student­­Performance[[#This Row],[Math Score]],0)</f>
        <v>47</v>
      </c>
      <c r="O885" s="4">
        <f>IF(ISNUMBER(Student­­Performance[[#This Row],[Reading Score]]),Student­­Performance[[#This Row],[Reading Score]],0)</f>
        <v>49</v>
      </c>
      <c r="P885" s="4">
        <f>IF(ISNUMBER(Student­­Performance[[#This Row],[Writing Score]]),Student­­Performance[[#This Row],[Writing Score]],0)</f>
        <v>50</v>
      </c>
      <c r="Q885" s="4" t="str">
        <f>IF(Student­­Performance[[#This Row],[Math Score]]&gt;=50,"Pass","Fail")</f>
        <v>Fail</v>
      </c>
      <c r="R885" s="4" t="str">
        <f>IF(Student­­Performance[[#This Row],[Reading Score]]&gt;=50,"Pass","Fail")</f>
        <v>Fail</v>
      </c>
      <c r="S885" s="4" t="str">
        <f>IF(Student­­Performance[[#This Row],[Writing Score]]&gt;=50,"Pass","Fail")</f>
        <v>Pass</v>
      </c>
      <c r="T88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146</v>
      </c>
      <c r="U885" s="4" cm="1">
        <f t="array" ref="U885">IF(COUNT(F885:H885)=0,"", MAX(IF(ISNUMBER(F885:H885),F885:H885)) - MIN(IF(ISNUMBER(F885:H885),F885:H885)))</f>
        <v>3</v>
      </c>
      <c r="V885" s="4" t="str">
        <f>IF(U885="","",IF(U885&gt;25,"Outlier","Normal"))</f>
        <v>Normal</v>
      </c>
    </row>
    <row r="886" spans="1:22" x14ac:dyDescent="0.3">
      <c r="A886" s="1" t="s">
        <v>17</v>
      </c>
      <c r="B886" s="1" t="s">
        <v>9</v>
      </c>
      <c r="C886" s="1" t="s">
        <v>88</v>
      </c>
      <c r="D886" s="1" t="s">
        <v>11</v>
      </c>
      <c r="E886" s="1" t="s">
        <v>15</v>
      </c>
      <c r="F886" s="4">
        <v>51</v>
      </c>
      <c r="G886" s="4">
        <v>54</v>
      </c>
      <c r="H886" s="4">
        <v>41</v>
      </c>
      <c r="I886" s="4">
        <f>AVERAGE(Student­­Performance[[#This Row],[Math Score]],Student­­Performance[[#This Row],[Reading Score]],Student­­Performance[[#This Row],[Writing Score]])</f>
        <v>48.666666666666664</v>
      </c>
      <c r="J886" s="10" t="str">
        <f>IF(Student­­Performance[[#This Row],[Average Score]]&gt;=50,"Pass","Fail")</f>
        <v>Fail</v>
      </c>
      <c r="K88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88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-13</v>
      </c>
      <c r="M88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-10</v>
      </c>
      <c r="N886" s="4">
        <f>IF(ISNUMBER(Student­­Performance[[#This Row],[Math Score]]),Student­­Performance[[#This Row],[Math Score]],0)</f>
        <v>51</v>
      </c>
      <c r="O886" s="4">
        <f>IF(ISNUMBER(Student­­Performance[[#This Row],[Reading Score]]),Student­­Performance[[#This Row],[Reading Score]],0)</f>
        <v>54</v>
      </c>
      <c r="P886" s="4">
        <f>IF(ISNUMBER(Student­­Performance[[#This Row],[Writing Score]]),Student­­Performance[[#This Row],[Writing Score]],0)</f>
        <v>41</v>
      </c>
      <c r="Q886" s="4" t="str">
        <f>IF(Student­­Performance[[#This Row],[Math Score]]&gt;=50,"Pass","Fail")</f>
        <v>Pass</v>
      </c>
      <c r="R886" s="4" t="str">
        <f>IF(Student­­Performance[[#This Row],[Reading Score]]&gt;=50,"Pass","Fail")</f>
        <v>Pass</v>
      </c>
      <c r="S886" s="4" t="str">
        <f>IF(Student­­Performance[[#This Row],[Writing Score]]&gt;=50,"Pass","Fail")</f>
        <v>Fail</v>
      </c>
      <c r="T88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146</v>
      </c>
      <c r="U886" s="4" cm="1">
        <f t="array" ref="U886">IF(COUNT(F886:H886)=0,"", MAX(IF(ISNUMBER(F886:H886),F886:H886)) - MIN(IF(ISNUMBER(F886:H886),F886:H886)))</f>
        <v>13</v>
      </c>
      <c r="V886" s="4" t="str">
        <f>IF(U886="","",IF(U886&gt;25,"Outlier","Normal"))</f>
        <v>Normal</v>
      </c>
    </row>
    <row r="887" spans="1:22" x14ac:dyDescent="0.3">
      <c r="A887" s="1" t="s">
        <v>17</v>
      </c>
      <c r="B887" s="1" t="s">
        <v>18</v>
      </c>
      <c r="C887" s="1" t="s">
        <v>87</v>
      </c>
      <c r="D887" s="1" t="s">
        <v>11</v>
      </c>
      <c r="E887" s="1" t="s">
        <v>15</v>
      </c>
      <c r="F887" s="4">
        <v>72</v>
      </c>
      <c r="G887" s="4" t="s">
        <v>90</v>
      </c>
      <c r="H887" s="4">
        <v>74</v>
      </c>
      <c r="I887" s="4">
        <f>AVERAGE(Student­­Performance[[#This Row],[Math Score]],Student­­Performance[[#This Row],[Reading Score]],Student­­Performance[[#This Row],[Writing Score]])</f>
        <v>73</v>
      </c>
      <c r="J887" s="10" t="str">
        <f>IF(Student­­Performance[[#This Row],[Average Score]]&gt;=50,"Pass","Fail")</f>
        <v>Pass</v>
      </c>
      <c r="K887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887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88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887" s="4">
        <f>IF(ISNUMBER(Student­­Performance[[#This Row],[Math Score]]),Student­­Performance[[#This Row],[Math Score]],0)</f>
        <v>72</v>
      </c>
      <c r="O887" s="4">
        <f>IF(ISNUMBER(Student­­Performance[[#This Row],[Reading Score]]),Student­­Performance[[#This Row],[Reading Score]],0)</f>
        <v>0</v>
      </c>
      <c r="P887" s="4">
        <f>IF(ISNUMBER(Student­­Performance[[#This Row],[Writing Score]]),Student­­Performance[[#This Row],[Writing Score]],0)</f>
        <v>74</v>
      </c>
      <c r="Q887" s="4" t="str">
        <f>IF(Student­­Performance[[#This Row],[Math Score]]&gt;=50,"Pass","Fail")</f>
        <v>Pass</v>
      </c>
      <c r="R887" s="4" t="str">
        <f>IF(Student­­Performance[[#This Row],[Reading Score]]&gt;=50,"Pass","Fail")</f>
        <v>Pass</v>
      </c>
      <c r="S887" s="4" t="str">
        <f>IF(Student­­Performance[[#This Row],[Writing Score]]&gt;=50,"Pass","Fail")</f>
        <v>Pass</v>
      </c>
      <c r="T88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146</v>
      </c>
      <c r="U887" s="4" cm="1">
        <f t="array" ref="U887">IF(COUNT(F887:H887)=0,"", MAX(IF(ISNUMBER(F887:H887),F887:H887)) - MIN(IF(ISNUMBER(F887:H887),F887:H887)))</f>
        <v>2</v>
      </c>
      <c r="V887" s="4" t="str">
        <f>IF(U887="","",IF(U887&gt;25,"Outlier","Normal"))</f>
        <v>Normal</v>
      </c>
    </row>
    <row r="888" spans="1:22" x14ac:dyDescent="0.3">
      <c r="A888" s="1" t="s">
        <v>17</v>
      </c>
      <c r="B888" s="1" t="s">
        <v>13</v>
      </c>
      <c r="C888" s="1" t="s">
        <v>88</v>
      </c>
      <c r="D888" s="1" t="s">
        <v>20</v>
      </c>
      <c r="E888" s="1" t="s">
        <v>15</v>
      </c>
      <c r="F888" s="4">
        <v>45</v>
      </c>
      <c r="G888" s="4">
        <v>52</v>
      </c>
      <c r="H888" s="4">
        <v>49</v>
      </c>
      <c r="I888" s="4">
        <f>AVERAGE(Student­­Performance[[#This Row],[Math Score]],Student­­Performance[[#This Row],[Reading Score]],Student­­Performance[[#This Row],[Writing Score]])</f>
        <v>48.666666666666664</v>
      </c>
      <c r="J888" s="10" t="str">
        <f>IF(Student­­Performance[[#This Row],[Average Score]]&gt;=50,"Pass","Fail")</f>
        <v>Fail</v>
      </c>
      <c r="K88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88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88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888" s="4">
        <f>IF(ISNUMBER(Student­­Performance[[#This Row],[Math Score]]),Student­­Performance[[#This Row],[Math Score]],0)</f>
        <v>45</v>
      </c>
      <c r="O888" s="4">
        <f>IF(ISNUMBER(Student­­Performance[[#This Row],[Reading Score]]),Student­­Performance[[#This Row],[Reading Score]],0)</f>
        <v>52</v>
      </c>
      <c r="P888" s="4">
        <f>IF(ISNUMBER(Student­­Performance[[#This Row],[Writing Score]]),Student­­Performance[[#This Row],[Writing Score]],0)</f>
        <v>49</v>
      </c>
      <c r="Q888" s="4" t="str">
        <f>IF(Student­­Performance[[#This Row],[Math Score]]&gt;=50,"Pass","Fail")</f>
        <v>Fail</v>
      </c>
      <c r="R888" s="4" t="str">
        <f>IF(Student­­Performance[[#This Row],[Reading Score]]&gt;=50,"Pass","Fail")</f>
        <v>Pass</v>
      </c>
      <c r="S888" s="4" t="str">
        <f>IF(Student­­Performance[[#This Row],[Writing Score]]&gt;=50,"Pass","Fail")</f>
        <v>Fail</v>
      </c>
      <c r="T88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146</v>
      </c>
      <c r="U888" s="4" cm="1">
        <f t="array" ref="U888">IF(COUNT(F888:H888)=0,"", MAX(IF(ISNUMBER(F888:H888),F888:H888)) - MIN(IF(ISNUMBER(F888:H888),F888:H888)))</f>
        <v>7</v>
      </c>
      <c r="V888" s="4" t="str">
        <f>IF(U888="","",IF(U888&gt;25,"Outlier","Normal"))</f>
        <v>Normal</v>
      </c>
    </row>
    <row r="889" spans="1:22" x14ac:dyDescent="0.3">
      <c r="A889" s="1" t="s">
        <v>8</v>
      </c>
      <c r="B889" s="1" t="s">
        <v>18</v>
      </c>
      <c r="C889" s="1" t="s">
        <v>87</v>
      </c>
      <c r="D889" s="1" t="s">
        <v>11</v>
      </c>
      <c r="E889" s="1" t="s">
        <v>12</v>
      </c>
      <c r="F889" s="4" t="s">
        <v>90</v>
      </c>
      <c r="G889" s="4">
        <v>73</v>
      </c>
      <c r="H889" s="4">
        <v>73</v>
      </c>
      <c r="I889" s="4">
        <f>AVERAGE(Student­­Performance[[#This Row],[Math Score]],Student­­Performance[[#This Row],[Reading Score]],Student­­Performance[[#This Row],[Writing Score]])</f>
        <v>73</v>
      </c>
      <c r="J889" s="10" t="str">
        <f>IF(Student­­Performance[[#This Row],[Average Score]]&gt;=50,"Pass","Fail")</f>
        <v>Pass</v>
      </c>
      <c r="K889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88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889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889" s="4">
        <f>IF(ISNUMBER(Student­­Performance[[#This Row],[Math Score]]),Student­­Performance[[#This Row],[Math Score]],0)</f>
        <v>0</v>
      </c>
      <c r="O889" s="4">
        <f>IF(ISNUMBER(Student­­Performance[[#This Row],[Reading Score]]),Student­­Performance[[#This Row],[Reading Score]],0)</f>
        <v>73</v>
      </c>
      <c r="P889" s="4">
        <f>IF(ISNUMBER(Student­­Performance[[#This Row],[Writing Score]]),Student­­Performance[[#This Row],[Writing Score]],0)</f>
        <v>73</v>
      </c>
      <c r="Q889" s="4" t="str">
        <f>IF(Student­­Performance[[#This Row],[Math Score]]&gt;=50,"Pass","Fail")</f>
        <v>Pass</v>
      </c>
      <c r="R889" s="4" t="str">
        <f>IF(Student­­Performance[[#This Row],[Reading Score]]&gt;=50,"Pass","Fail")</f>
        <v>Pass</v>
      </c>
      <c r="S889" s="4" t="str">
        <f>IF(Student­­Performance[[#This Row],[Writing Score]]&gt;=50,"Pass","Fail")</f>
        <v>Pass</v>
      </c>
      <c r="T88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146</v>
      </c>
      <c r="U889" s="4" cm="1">
        <f t="array" ref="U889">IF(COUNT(F889:H889)=0,"", MAX(IF(ISNUMBER(F889:H889),F889:H889)) - MIN(IF(ISNUMBER(F889:H889),F889:H889)))</f>
        <v>0</v>
      </c>
      <c r="V889" s="4" t="str">
        <f>IF(U889="","",IF(U889&gt;25,"Outlier","Normal"))</f>
        <v>Normal</v>
      </c>
    </row>
    <row r="890" spans="1:22" x14ac:dyDescent="0.3">
      <c r="A890" s="1" t="s">
        <v>17</v>
      </c>
      <c r="B890" s="1" t="s">
        <v>21</v>
      </c>
      <c r="C890" s="1" t="s">
        <v>88</v>
      </c>
      <c r="D890" s="1" t="s">
        <v>11</v>
      </c>
      <c r="E890" s="1" t="s">
        <v>12</v>
      </c>
      <c r="F890" s="4">
        <v>55</v>
      </c>
      <c r="G890" s="4">
        <v>47</v>
      </c>
      <c r="H890" s="4">
        <v>44</v>
      </c>
      <c r="I890" s="4">
        <f>AVERAGE(Student­­Performance[[#This Row],[Math Score]],Student­­Performance[[#This Row],[Reading Score]],Student­­Performance[[#This Row],[Writing Score]])</f>
        <v>48.666666666666664</v>
      </c>
      <c r="J890" s="10" t="str">
        <f>IF(Student­­Performance[[#This Row],[Average Score]]&gt;=50,"Pass","Fail")</f>
        <v>Fail</v>
      </c>
      <c r="K89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-8</v>
      </c>
      <c r="L89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89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-11</v>
      </c>
      <c r="N890" s="4">
        <f>IF(ISNUMBER(Student­­Performance[[#This Row],[Math Score]]),Student­­Performance[[#This Row],[Math Score]],0)</f>
        <v>55</v>
      </c>
      <c r="O890" s="4">
        <f>IF(ISNUMBER(Student­­Performance[[#This Row],[Reading Score]]),Student­­Performance[[#This Row],[Reading Score]],0)</f>
        <v>47</v>
      </c>
      <c r="P890" s="4">
        <f>IF(ISNUMBER(Student­­Performance[[#This Row],[Writing Score]]),Student­­Performance[[#This Row],[Writing Score]],0)</f>
        <v>44</v>
      </c>
      <c r="Q890" s="4" t="str">
        <f>IF(Student­­Performance[[#This Row],[Math Score]]&gt;=50,"Pass","Fail")</f>
        <v>Pass</v>
      </c>
      <c r="R890" s="4" t="str">
        <f>IF(Student­­Performance[[#This Row],[Reading Score]]&gt;=50,"Pass","Fail")</f>
        <v>Fail</v>
      </c>
      <c r="S890" s="4" t="str">
        <f>IF(Student­­Performance[[#This Row],[Writing Score]]&gt;=50,"Pass","Fail")</f>
        <v>Fail</v>
      </c>
      <c r="T89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146</v>
      </c>
      <c r="U890" s="4" cm="1">
        <f t="array" ref="U890">IF(COUNT(F890:H890)=0,"", MAX(IF(ISNUMBER(F890:H890),F890:H890)) - MIN(IF(ISNUMBER(F890:H890),F890:H890)))</f>
        <v>11</v>
      </c>
      <c r="V890" s="4" t="str">
        <f>IF(U890="","",IF(U890&gt;25,"Outlier","Normal"))</f>
        <v>Normal</v>
      </c>
    </row>
    <row r="891" spans="1:22" x14ac:dyDescent="0.3">
      <c r="A891" s="1" t="s">
        <v>17</v>
      </c>
      <c r="B891" s="1" t="s">
        <v>26</v>
      </c>
      <c r="C891" s="1" t="s">
        <v>86</v>
      </c>
      <c r="D891" s="1" t="s">
        <v>20</v>
      </c>
      <c r="E891" s="1" t="s">
        <v>15</v>
      </c>
      <c r="F891" s="4">
        <v>77</v>
      </c>
      <c r="G891" s="4" t="s">
        <v>90</v>
      </c>
      <c r="H891" s="4">
        <v>68</v>
      </c>
      <c r="I891" s="4">
        <f>AVERAGE(Student­­Performance[[#This Row],[Math Score]],Student­­Performance[[#This Row],[Reading Score]],Student­­Performance[[#This Row],[Writing Score]])</f>
        <v>72.5</v>
      </c>
      <c r="J891" s="10" t="str">
        <f>IF(Student­­Performance[[#This Row],[Average Score]]&gt;=50,"Pass","Fail")</f>
        <v>Pass</v>
      </c>
      <c r="K891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891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89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-9</v>
      </c>
      <c r="N891" s="4">
        <f>IF(ISNUMBER(Student­­Performance[[#This Row],[Math Score]]),Student­­Performance[[#This Row],[Math Score]],0)</f>
        <v>77</v>
      </c>
      <c r="O891" s="4">
        <f>IF(ISNUMBER(Student­­Performance[[#This Row],[Reading Score]]),Student­­Performance[[#This Row],[Reading Score]],0)</f>
        <v>0</v>
      </c>
      <c r="P891" s="4">
        <f>IF(ISNUMBER(Student­­Performance[[#This Row],[Writing Score]]),Student­­Performance[[#This Row],[Writing Score]],0)</f>
        <v>68</v>
      </c>
      <c r="Q891" s="4" t="str">
        <f>IF(Student­­Performance[[#This Row],[Math Score]]&gt;=50,"Pass","Fail")</f>
        <v>Pass</v>
      </c>
      <c r="R891" s="4" t="str">
        <f>IF(Student­­Performance[[#This Row],[Reading Score]]&gt;=50,"Pass","Fail")</f>
        <v>Pass</v>
      </c>
      <c r="S891" s="4" t="str">
        <f>IF(Student­­Performance[[#This Row],[Writing Score]]&gt;=50,"Pass","Fail")</f>
        <v>Pass</v>
      </c>
      <c r="T89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145</v>
      </c>
      <c r="U891" s="4" cm="1">
        <f t="array" ref="U891">IF(COUNT(F891:H891)=0,"", MAX(IF(ISNUMBER(F891:H891),F891:H891)) - MIN(IF(ISNUMBER(F891:H891),F891:H891)))</f>
        <v>9</v>
      </c>
      <c r="V891" s="4" t="str">
        <f>IF(U891="","",IF(U891&gt;25,"Outlier","Normal"))</f>
        <v>Normal</v>
      </c>
    </row>
    <row r="892" spans="1:22" x14ac:dyDescent="0.3">
      <c r="A892" s="1" t="s">
        <v>17</v>
      </c>
      <c r="B892" s="1" t="s">
        <v>9</v>
      </c>
      <c r="C892" s="1" t="s">
        <v>88</v>
      </c>
      <c r="D892" s="1" t="s">
        <v>20</v>
      </c>
      <c r="E892" s="1" t="s">
        <v>12</v>
      </c>
      <c r="F892" s="4">
        <v>48</v>
      </c>
      <c r="G892" s="4">
        <v>52</v>
      </c>
      <c r="H892" s="4">
        <v>45</v>
      </c>
      <c r="I892" s="4">
        <f>AVERAGE(Student­­Performance[[#This Row],[Math Score]],Student­­Performance[[#This Row],[Reading Score]],Student­­Performance[[#This Row],[Writing Score]])</f>
        <v>48.333333333333336</v>
      </c>
      <c r="J892" s="10" t="str">
        <f>IF(Student­­Performance[[#This Row],[Average Score]]&gt;=50,"Pass","Fail")</f>
        <v>Fail</v>
      </c>
      <c r="K89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89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89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892" s="4">
        <f>IF(ISNUMBER(Student­­Performance[[#This Row],[Math Score]]),Student­­Performance[[#This Row],[Math Score]],0)</f>
        <v>48</v>
      </c>
      <c r="O892" s="4">
        <f>IF(ISNUMBER(Student­­Performance[[#This Row],[Reading Score]]),Student­­Performance[[#This Row],[Reading Score]],0)</f>
        <v>52</v>
      </c>
      <c r="P892" s="4">
        <f>IF(ISNUMBER(Student­­Performance[[#This Row],[Writing Score]]),Student­­Performance[[#This Row],[Writing Score]],0)</f>
        <v>45</v>
      </c>
      <c r="Q892" s="4" t="str">
        <f>IF(Student­­Performance[[#This Row],[Math Score]]&gt;=50,"Pass","Fail")</f>
        <v>Fail</v>
      </c>
      <c r="R892" s="4" t="str">
        <f>IF(Student­­Performance[[#This Row],[Reading Score]]&gt;=50,"Pass","Fail")</f>
        <v>Pass</v>
      </c>
      <c r="S892" s="4" t="str">
        <f>IF(Student­­Performance[[#This Row],[Writing Score]]&gt;=50,"Pass","Fail")</f>
        <v>Fail</v>
      </c>
      <c r="T89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145</v>
      </c>
      <c r="U892" s="4" cm="1">
        <f t="array" ref="U892">IF(COUNT(F892:H892)=0,"", MAX(IF(ISNUMBER(F892:H892),F892:H892)) - MIN(IF(ISNUMBER(F892:H892),F892:H892)))</f>
        <v>7</v>
      </c>
      <c r="V892" s="4" t="str">
        <f>IF(U892="","",IF(U892&gt;25,"Outlier","Normal"))</f>
        <v>Normal</v>
      </c>
    </row>
    <row r="893" spans="1:22" x14ac:dyDescent="0.3">
      <c r="A893" s="1" t="s">
        <v>8</v>
      </c>
      <c r="B893" s="1" t="s">
        <v>13</v>
      </c>
      <c r="C893" s="1" t="s">
        <v>88</v>
      </c>
      <c r="D893" s="1" t="s">
        <v>20</v>
      </c>
      <c r="E893" s="1" t="s">
        <v>12</v>
      </c>
      <c r="F893" s="4">
        <v>44</v>
      </c>
      <c r="G893" s="4">
        <v>50</v>
      </c>
      <c r="H893" s="4">
        <v>51</v>
      </c>
      <c r="I893" s="4">
        <f>AVERAGE(Student­­Performance[[#This Row],[Math Score]],Student­­Performance[[#This Row],[Reading Score]],Student­­Performance[[#This Row],[Writing Score]])</f>
        <v>48.333333333333336</v>
      </c>
      <c r="J893" s="10" t="str">
        <f>IF(Student­­Performance[[#This Row],[Average Score]]&gt;=50,"Pass","Fail")</f>
        <v>Fail</v>
      </c>
      <c r="K89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89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89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893" s="4">
        <f>IF(ISNUMBER(Student­­Performance[[#This Row],[Math Score]]),Student­­Performance[[#This Row],[Math Score]],0)</f>
        <v>44</v>
      </c>
      <c r="O893" s="4">
        <f>IF(ISNUMBER(Student­­Performance[[#This Row],[Reading Score]]),Student­­Performance[[#This Row],[Reading Score]],0)</f>
        <v>50</v>
      </c>
      <c r="P893" s="4">
        <f>IF(ISNUMBER(Student­­Performance[[#This Row],[Writing Score]]),Student­­Performance[[#This Row],[Writing Score]],0)</f>
        <v>51</v>
      </c>
      <c r="Q893" s="4" t="str">
        <f>IF(Student­­Performance[[#This Row],[Math Score]]&gt;=50,"Pass","Fail")</f>
        <v>Fail</v>
      </c>
      <c r="R893" s="4" t="str">
        <f>IF(Student­­Performance[[#This Row],[Reading Score]]&gt;=50,"Pass","Fail")</f>
        <v>Pass</v>
      </c>
      <c r="S893" s="4" t="str">
        <f>IF(Student­­Performance[[#This Row],[Writing Score]]&gt;=50,"Pass","Fail")</f>
        <v>Pass</v>
      </c>
      <c r="T89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145</v>
      </c>
      <c r="U893" s="4" cm="1">
        <f t="array" ref="U893">IF(COUNT(F893:H893)=0,"", MAX(IF(ISNUMBER(F893:H893),F893:H893)) - MIN(IF(ISNUMBER(F893:H893),F893:H893)))</f>
        <v>7</v>
      </c>
      <c r="V893" s="4" t="str">
        <f>IF(U893="","",IF(U893&gt;25,"Outlier","Normal"))</f>
        <v>Normal</v>
      </c>
    </row>
    <row r="894" spans="1:22" x14ac:dyDescent="0.3">
      <c r="A894" s="1" t="s">
        <v>8</v>
      </c>
      <c r="B894" s="1" t="s">
        <v>9</v>
      </c>
      <c r="C894" s="1" t="s">
        <v>87</v>
      </c>
      <c r="D894" s="1" t="s">
        <v>11</v>
      </c>
      <c r="E894" s="1" t="s">
        <v>12</v>
      </c>
      <c r="F894" s="4">
        <v>42</v>
      </c>
      <c r="G894" s="4">
        <v>52</v>
      </c>
      <c r="H894" s="4">
        <v>51</v>
      </c>
      <c r="I894" s="4">
        <f>AVERAGE(Student­­Performance[[#This Row],[Math Score]],Student­­Performance[[#This Row],[Reading Score]],Student­­Performance[[#This Row],[Writing Score]])</f>
        <v>48.333333333333336</v>
      </c>
      <c r="J894" s="10" t="str">
        <f>IF(Student­­Performance[[#This Row],[Average Score]]&gt;=50,"Pass","Fail")</f>
        <v>Fail</v>
      </c>
      <c r="K89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89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89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894" s="4">
        <f>IF(ISNUMBER(Student­­Performance[[#This Row],[Math Score]]),Student­­Performance[[#This Row],[Math Score]],0)</f>
        <v>42</v>
      </c>
      <c r="O894" s="4">
        <f>IF(ISNUMBER(Student­­Performance[[#This Row],[Reading Score]]),Student­­Performance[[#This Row],[Reading Score]],0)</f>
        <v>52</v>
      </c>
      <c r="P894" s="4">
        <f>IF(ISNUMBER(Student­­Performance[[#This Row],[Writing Score]]),Student­­Performance[[#This Row],[Writing Score]],0)</f>
        <v>51</v>
      </c>
      <c r="Q894" s="4" t="str">
        <f>IF(Student­­Performance[[#This Row],[Math Score]]&gt;=50,"Pass","Fail")</f>
        <v>Fail</v>
      </c>
      <c r="R894" s="4" t="str">
        <f>IF(Student­­Performance[[#This Row],[Reading Score]]&gt;=50,"Pass","Fail")</f>
        <v>Pass</v>
      </c>
      <c r="S894" s="4" t="str">
        <f>IF(Student­­Performance[[#This Row],[Writing Score]]&gt;=50,"Pass","Fail")</f>
        <v>Pass</v>
      </c>
      <c r="T89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145</v>
      </c>
      <c r="U894" s="4" cm="1">
        <f t="array" ref="U894">IF(COUNT(F894:H894)=0,"", MAX(IF(ISNUMBER(F894:H894),F894:H894)) - MIN(IF(ISNUMBER(F894:H894),F894:H894)))</f>
        <v>10</v>
      </c>
      <c r="V894" s="4" t="str">
        <f>IF(U894="","",IF(U894&gt;25,"Outlier","Normal"))</f>
        <v>Normal</v>
      </c>
    </row>
    <row r="895" spans="1:22" x14ac:dyDescent="0.3">
      <c r="A895" s="1" t="s">
        <v>17</v>
      </c>
      <c r="B895" s="1" t="s">
        <v>13</v>
      </c>
      <c r="C895" s="1" t="s">
        <v>83</v>
      </c>
      <c r="D895" s="1" t="s">
        <v>20</v>
      </c>
      <c r="E895" s="1" t="s">
        <v>15</v>
      </c>
      <c r="F895" s="4">
        <v>70</v>
      </c>
      <c r="G895" s="4">
        <v>75</v>
      </c>
      <c r="H895" s="4" t="s">
        <v>90</v>
      </c>
      <c r="I895" s="4">
        <f>AVERAGE(Student­­Performance[[#This Row],[Math Score]],Student­­Performance[[#This Row],[Reading Score]],Student­­Performance[[#This Row],[Writing Score]])</f>
        <v>72.5</v>
      </c>
      <c r="J895" s="10" t="str">
        <f>IF(Student­­Performance[[#This Row],[Average Score]]&gt;=50,"Pass","Fail")</f>
        <v>Pass</v>
      </c>
      <c r="K89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895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895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895" s="4">
        <f>IF(ISNUMBER(Student­­Performance[[#This Row],[Math Score]]),Student­­Performance[[#This Row],[Math Score]],0)</f>
        <v>70</v>
      </c>
      <c r="O895" s="4">
        <f>IF(ISNUMBER(Student­­Performance[[#This Row],[Reading Score]]),Student­­Performance[[#This Row],[Reading Score]],0)</f>
        <v>75</v>
      </c>
      <c r="P895" s="4">
        <f>IF(ISNUMBER(Student­­Performance[[#This Row],[Writing Score]]),Student­­Performance[[#This Row],[Writing Score]],0)</f>
        <v>0</v>
      </c>
      <c r="Q895" s="4" t="str">
        <f>IF(Student­­Performance[[#This Row],[Math Score]]&gt;=50,"Pass","Fail")</f>
        <v>Pass</v>
      </c>
      <c r="R895" s="4" t="str">
        <f>IF(Student­­Performance[[#This Row],[Reading Score]]&gt;=50,"Pass","Fail")</f>
        <v>Pass</v>
      </c>
      <c r="S895" s="4" t="str">
        <f>IF(Student­­Performance[[#This Row],[Writing Score]]&gt;=50,"Pass","Fail")</f>
        <v>Pass</v>
      </c>
      <c r="T89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145</v>
      </c>
      <c r="U895" s="4" cm="1">
        <f t="array" ref="U895">IF(COUNT(F895:H895)=0,"", MAX(IF(ISNUMBER(F895:H895),F895:H895)) - MIN(IF(ISNUMBER(F895:H895),F895:H895)))</f>
        <v>5</v>
      </c>
      <c r="V895" s="4" t="str">
        <f>IF(U895="","",IF(U895&gt;25,"Outlier","Normal"))</f>
        <v>Normal</v>
      </c>
    </row>
    <row r="896" spans="1:22" x14ac:dyDescent="0.3">
      <c r="A896" s="1" t="s">
        <v>17</v>
      </c>
      <c r="B896" s="1" t="s">
        <v>21</v>
      </c>
      <c r="C896" s="1" t="s">
        <v>83</v>
      </c>
      <c r="D896" s="1" t="s">
        <v>20</v>
      </c>
      <c r="E896" s="1" t="s">
        <v>12</v>
      </c>
      <c r="F896" s="4">
        <v>55</v>
      </c>
      <c r="G896" s="4">
        <v>46</v>
      </c>
      <c r="H896" s="4">
        <v>44</v>
      </c>
      <c r="I896" s="4">
        <f>AVERAGE(Student­­Performance[[#This Row],[Math Score]],Student­­Performance[[#This Row],[Reading Score]],Student­­Performance[[#This Row],[Writing Score]])</f>
        <v>48.333333333333336</v>
      </c>
      <c r="J896" s="10" t="str">
        <f>IF(Student­­Performance[[#This Row],[Average Score]]&gt;=50,"Pass","Fail")</f>
        <v>Fail</v>
      </c>
      <c r="K89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-9</v>
      </c>
      <c r="L89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89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-11</v>
      </c>
      <c r="N896" s="4">
        <f>IF(ISNUMBER(Student­­Performance[[#This Row],[Math Score]]),Student­­Performance[[#This Row],[Math Score]],0)</f>
        <v>55</v>
      </c>
      <c r="O896" s="4">
        <f>IF(ISNUMBER(Student­­Performance[[#This Row],[Reading Score]]),Student­­Performance[[#This Row],[Reading Score]],0)</f>
        <v>46</v>
      </c>
      <c r="P896" s="4">
        <f>IF(ISNUMBER(Student­­Performance[[#This Row],[Writing Score]]),Student­­Performance[[#This Row],[Writing Score]],0)</f>
        <v>44</v>
      </c>
      <c r="Q896" s="4" t="str">
        <f>IF(Student­­Performance[[#This Row],[Math Score]]&gt;=50,"Pass","Fail")</f>
        <v>Pass</v>
      </c>
      <c r="R896" s="4" t="str">
        <f>IF(Student­­Performance[[#This Row],[Reading Score]]&gt;=50,"Pass","Fail")</f>
        <v>Fail</v>
      </c>
      <c r="S896" s="4" t="str">
        <f>IF(Student­­Performance[[#This Row],[Writing Score]]&gt;=50,"Pass","Fail")</f>
        <v>Fail</v>
      </c>
      <c r="T89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145</v>
      </c>
      <c r="U896" s="4" cm="1">
        <f t="array" ref="U896">IF(COUNT(F896:H896)=0,"", MAX(IF(ISNUMBER(F896:H896),F896:H896)) - MIN(IF(ISNUMBER(F896:H896),F896:H896)))</f>
        <v>11</v>
      </c>
      <c r="V896" s="4" t="str">
        <f>IF(U896="","",IF(U896&gt;25,"Outlier","Normal"))</f>
        <v>Normal</v>
      </c>
    </row>
    <row r="897" spans="1:22" x14ac:dyDescent="0.3">
      <c r="A897" s="1" t="s">
        <v>17</v>
      </c>
      <c r="B897" s="1" t="s">
        <v>13</v>
      </c>
      <c r="C897" s="1" t="s">
        <v>86</v>
      </c>
      <c r="D897" s="1" t="s">
        <v>11</v>
      </c>
      <c r="E897" s="1" t="s">
        <v>15</v>
      </c>
      <c r="F897" s="4">
        <v>73</v>
      </c>
      <c r="G897" s="4" t="s">
        <v>90</v>
      </c>
      <c r="H897" s="4">
        <v>72</v>
      </c>
      <c r="I897" s="4">
        <f>AVERAGE(Student­­Performance[[#This Row],[Math Score]],Student­­Performance[[#This Row],[Reading Score]],Student­­Performance[[#This Row],[Writing Score]])</f>
        <v>72.5</v>
      </c>
      <c r="J897" s="10" t="str">
        <f>IF(Student­­Performance[[#This Row],[Average Score]]&gt;=50,"Pass","Fail")</f>
        <v>Pass</v>
      </c>
      <c r="K897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897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89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897" s="4">
        <f>IF(ISNUMBER(Student­­Performance[[#This Row],[Math Score]]),Student­­Performance[[#This Row],[Math Score]],0)</f>
        <v>73</v>
      </c>
      <c r="O897" s="4">
        <f>IF(ISNUMBER(Student­­Performance[[#This Row],[Reading Score]]),Student­­Performance[[#This Row],[Reading Score]],0)</f>
        <v>0</v>
      </c>
      <c r="P897" s="4">
        <f>IF(ISNUMBER(Student­­Performance[[#This Row],[Writing Score]]),Student­­Performance[[#This Row],[Writing Score]],0)</f>
        <v>72</v>
      </c>
      <c r="Q897" s="4" t="str">
        <f>IF(Student­­Performance[[#This Row],[Math Score]]&gt;=50,"Pass","Fail")</f>
        <v>Pass</v>
      </c>
      <c r="R897" s="4" t="str">
        <f>IF(Student­­Performance[[#This Row],[Reading Score]]&gt;=50,"Pass","Fail")</f>
        <v>Pass</v>
      </c>
      <c r="S897" s="4" t="str">
        <f>IF(Student­­Performance[[#This Row],[Writing Score]]&gt;=50,"Pass","Fail")</f>
        <v>Pass</v>
      </c>
      <c r="T89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145</v>
      </c>
      <c r="U897" s="4" cm="1">
        <f t="array" ref="U897">IF(COUNT(F897:H897)=0,"", MAX(IF(ISNUMBER(F897:H897),F897:H897)) - MIN(IF(ISNUMBER(F897:H897),F897:H897)))</f>
        <v>1</v>
      </c>
      <c r="V897" s="4" t="str">
        <f>IF(U897="","",IF(U897&gt;25,"Outlier","Normal"))</f>
        <v>Normal</v>
      </c>
    </row>
    <row r="898" spans="1:22" x14ac:dyDescent="0.3">
      <c r="A898" s="1" t="s">
        <v>8</v>
      </c>
      <c r="B898" s="1" t="s">
        <v>13</v>
      </c>
      <c r="C898" s="1" t="s">
        <v>83</v>
      </c>
      <c r="D898" s="1" t="s">
        <v>11</v>
      </c>
      <c r="E898" s="1" t="s">
        <v>12</v>
      </c>
      <c r="F898" s="4">
        <v>63</v>
      </c>
      <c r="G898" s="4" t="s">
        <v>90</v>
      </c>
      <c r="H898" s="4">
        <v>81</v>
      </c>
      <c r="I898" s="4">
        <f>AVERAGE(Student­­Performance[[#This Row],[Math Score]],Student­­Performance[[#This Row],[Reading Score]],Student­­Performance[[#This Row],[Writing Score]])</f>
        <v>72</v>
      </c>
      <c r="J898" s="10" t="str">
        <f>IF(Student­­Performance[[#This Row],[Average Score]]&gt;=50,"Pass","Fail")</f>
        <v>Pass</v>
      </c>
      <c r="K898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898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89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18</v>
      </c>
      <c r="N898" s="4">
        <f>IF(ISNUMBER(Student­­Performance[[#This Row],[Math Score]]),Student­­Performance[[#This Row],[Math Score]],0)</f>
        <v>63</v>
      </c>
      <c r="O898" s="4">
        <f>IF(ISNUMBER(Student­­Performance[[#This Row],[Reading Score]]),Student­­Performance[[#This Row],[Reading Score]],0)</f>
        <v>0</v>
      </c>
      <c r="P898" s="4">
        <f>IF(ISNUMBER(Student­­Performance[[#This Row],[Writing Score]]),Student­­Performance[[#This Row],[Writing Score]],0)</f>
        <v>81</v>
      </c>
      <c r="Q898" s="4" t="str">
        <f>IF(Student­­Performance[[#This Row],[Math Score]]&gt;=50,"Pass","Fail")</f>
        <v>Pass</v>
      </c>
      <c r="R898" s="4" t="str">
        <f>IF(Student­­Performance[[#This Row],[Reading Score]]&gt;=50,"Pass","Fail")</f>
        <v>Pass</v>
      </c>
      <c r="S898" s="4" t="str">
        <f>IF(Student­­Performance[[#This Row],[Writing Score]]&gt;=50,"Pass","Fail")</f>
        <v>Pass</v>
      </c>
      <c r="T89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144</v>
      </c>
      <c r="U898" s="4" cm="1">
        <f t="array" ref="U898">IF(COUNT(F898:H898)=0,"", MAX(IF(ISNUMBER(F898:H898),F898:H898)) - MIN(IF(ISNUMBER(F898:H898),F898:H898)))</f>
        <v>18</v>
      </c>
      <c r="V898" s="4" t="str">
        <f>IF(U898="","",IF(U898&gt;25,"Outlier","Normal"))</f>
        <v>Normal</v>
      </c>
    </row>
    <row r="899" spans="1:22" x14ac:dyDescent="0.3">
      <c r="A899" s="1" t="s">
        <v>17</v>
      </c>
      <c r="B899" s="1" t="s">
        <v>21</v>
      </c>
      <c r="C899" s="1" t="s">
        <v>87</v>
      </c>
      <c r="D899" s="1" t="s">
        <v>11</v>
      </c>
      <c r="E899" s="1" t="s">
        <v>12</v>
      </c>
      <c r="F899" s="4">
        <v>41</v>
      </c>
      <c r="G899" s="4">
        <v>52</v>
      </c>
      <c r="H899" s="4">
        <v>51</v>
      </c>
      <c r="I899" s="4">
        <f>AVERAGE(Student­­Performance[[#This Row],[Math Score]],Student­­Performance[[#This Row],[Reading Score]],Student­­Performance[[#This Row],[Writing Score]])</f>
        <v>48</v>
      </c>
      <c r="J899" s="10" t="str">
        <f>IF(Student­­Performance[[#This Row],[Average Score]]&gt;=50,"Pass","Fail")</f>
        <v>Fail</v>
      </c>
      <c r="K89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89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89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899" s="4">
        <f>IF(ISNUMBER(Student­­Performance[[#This Row],[Math Score]]),Student­­Performance[[#This Row],[Math Score]],0)</f>
        <v>41</v>
      </c>
      <c r="O899" s="4">
        <f>IF(ISNUMBER(Student­­Performance[[#This Row],[Reading Score]]),Student­­Performance[[#This Row],[Reading Score]],0)</f>
        <v>52</v>
      </c>
      <c r="P899" s="4">
        <f>IF(ISNUMBER(Student­­Performance[[#This Row],[Writing Score]]),Student­­Performance[[#This Row],[Writing Score]],0)</f>
        <v>51</v>
      </c>
      <c r="Q899" s="4" t="str">
        <f>IF(Student­­Performance[[#This Row],[Math Score]]&gt;=50,"Pass","Fail")</f>
        <v>Fail</v>
      </c>
      <c r="R899" s="4" t="str">
        <f>IF(Student­­Performance[[#This Row],[Reading Score]]&gt;=50,"Pass","Fail")</f>
        <v>Pass</v>
      </c>
      <c r="S899" s="4" t="str">
        <f>IF(Student­­Performance[[#This Row],[Writing Score]]&gt;=50,"Pass","Fail")</f>
        <v>Pass</v>
      </c>
      <c r="T89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144</v>
      </c>
      <c r="U899" s="4" cm="1">
        <f t="array" ref="U899">IF(COUNT(F899:H899)=0,"", MAX(IF(ISNUMBER(F899:H899),F899:H899)) - MIN(IF(ISNUMBER(F899:H899),F899:H899)))</f>
        <v>11</v>
      </c>
      <c r="V899" s="4" t="str">
        <f>IF(U899="","",IF(U899&gt;25,"Outlier","Normal"))</f>
        <v>Normal</v>
      </c>
    </row>
    <row r="900" spans="1:22" x14ac:dyDescent="0.3">
      <c r="A900" s="1" t="s">
        <v>17</v>
      </c>
      <c r="B900" s="1" t="s">
        <v>13</v>
      </c>
      <c r="C900" s="1" t="s">
        <v>86</v>
      </c>
      <c r="D900" s="1" t="s">
        <v>20</v>
      </c>
      <c r="E900" s="1" t="s">
        <v>12</v>
      </c>
      <c r="F900" s="4">
        <v>77</v>
      </c>
      <c r="G900" s="4">
        <v>67</v>
      </c>
      <c r="H900" s="4" t="s">
        <v>90</v>
      </c>
      <c r="I900" s="4">
        <f>AVERAGE(Student­­Performance[[#This Row],[Math Score]],Student­­Performance[[#This Row],[Reading Score]],Student­­Performance[[#This Row],[Writing Score]])</f>
        <v>72</v>
      </c>
      <c r="J900" s="10" t="str">
        <f>IF(Student­­Performance[[#This Row],[Average Score]]&gt;=50,"Pass","Fail")</f>
        <v>Pass</v>
      </c>
      <c r="K90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-10</v>
      </c>
      <c r="L900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900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00" s="4">
        <f>IF(ISNUMBER(Student­­Performance[[#This Row],[Math Score]]),Student­­Performance[[#This Row],[Math Score]],0)</f>
        <v>77</v>
      </c>
      <c r="O900" s="4">
        <f>IF(ISNUMBER(Student­­Performance[[#This Row],[Reading Score]]),Student­­Performance[[#This Row],[Reading Score]],0)</f>
        <v>67</v>
      </c>
      <c r="P900" s="4">
        <f>IF(ISNUMBER(Student­­Performance[[#This Row],[Writing Score]]),Student­­Performance[[#This Row],[Writing Score]],0)</f>
        <v>0</v>
      </c>
      <c r="Q900" s="4" t="str">
        <f>IF(Student­­Performance[[#This Row],[Math Score]]&gt;=50,"Pass","Fail")</f>
        <v>Pass</v>
      </c>
      <c r="R900" s="4" t="str">
        <f>IF(Student­­Performance[[#This Row],[Reading Score]]&gt;=50,"Pass","Fail")</f>
        <v>Pass</v>
      </c>
      <c r="S900" s="4" t="str">
        <f>IF(Student­­Performance[[#This Row],[Writing Score]]&gt;=50,"Pass","Fail")</f>
        <v>Pass</v>
      </c>
      <c r="T90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144</v>
      </c>
      <c r="U900" s="4" cm="1">
        <f t="array" ref="U900">IF(COUNT(F900:H900)=0,"", MAX(IF(ISNUMBER(F900:H900),F900:H900)) - MIN(IF(ISNUMBER(F900:H900),F900:H900)))</f>
        <v>10</v>
      </c>
      <c r="V900" s="4" t="str">
        <f>IF(U900="","",IF(U900&gt;25,"Outlier","Normal"))</f>
        <v>Normal</v>
      </c>
    </row>
    <row r="901" spans="1:22" x14ac:dyDescent="0.3">
      <c r="A901" s="1" t="s">
        <v>17</v>
      </c>
      <c r="B901" s="1" t="s">
        <v>18</v>
      </c>
      <c r="C901" s="1" t="s">
        <v>88</v>
      </c>
      <c r="D901" s="1" t="s">
        <v>20</v>
      </c>
      <c r="E901" s="1" t="s">
        <v>12</v>
      </c>
      <c r="F901" s="4">
        <v>55</v>
      </c>
      <c r="G901" s="4">
        <v>46</v>
      </c>
      <c r="H901" s="4">
        <v>43</v>
      </c>
      <c r="I901" s="4">
        <f>AVERAGE(Student­­Performance[[#This Row],[Math Score]],Student­­Performance[[#This Row],[Reading Score]],Student­­Performance[[#This Row],[Writing Score]])</f>
        <v>48</v>
      </c>
      <c r="J901" s="10" t="str">
        <f>IF(Student­­Performance[[#This Row],[Average Score]]&gt;=50,"Pass","Fail")</f>
        <v>Fail</v>
      </c>
      <c r="K90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-9</v>
      </c>
      <c r="L90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90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-12</v>
      </c>
      <c r="N901" s="4">
        <f>IF(ISNUMBER(Student­­Performance[[#This Row],[Math Score]]),Student­­Performance[[#This Row],[Math Score]],0)</f>
        <v>55</v>
      </c>
      <c r="O901" s="4">
        <f>IF(ISNUMBER(Student­­Performance[[#This Row],[Reading Score]]),Student­­Performance[[#This Row],[Reading Score]],0)</f>
        <v>46</v>
      </c>
      <c r="P901" s="4">
        <f>IF(ISNUMBER(Student­­Performance[[#This Row],[Writing Score]]),Student­­Performance[[#This Row],[Writing Score]],0)</f>
        <v>43</v>
      </c>
      <c r="Q901" s="4" t="str">
        <f>IF(Student­­Performance[[#This Row],[Math Score]]&gt;=50,"Pass","Fail")</f>
        <v>Pass</v>
      </c>
      <c r="R901" s="4" t="str">
        <f>IF(Student­­Performance[[#This Row],[Reading Score]]&gt;=50,"Pass","Fail")</f>
        <v>Fail</v>
      </c>
      <c r="S901" s="4" t="str">
        <f>IF(Student­­Performance[[#This Row],[Writing Score]]&gt;=50,"Pass","Fail")</f>
        <v>Fail</v>
      </c>
      <c r="T90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144</v>
      </c>
      <c r="U901" s="4" cm="1">
        <f t="array" ref="U901">IF(COUNT(F901:H901)=0,"", MAX(IF(ISNUMBER(F901:H901),F901:H901)) - MIN(IF(ISNUMBER(F901:H901),F901:H901)))</f>
        <v>12</v>
      </c>
      <c r="V901" s="4" t="str">
        <f>IF(U901="","",IF(U901&gt;25,"Outlier","Normal"))</f>
        <v>Normal</v>
      </c>
    </row>
    <row r="902" spans="1:22" x14ac:dyDescent="0.3">
      <c r="A902" s="1" t="s">
        <v>17</v>
      </c>
      <c r="B902" s="1" t="s">
        <v>9</v>
      </c>
      <c r="C902" s="1" t="s">
        <v>86</v>
      </c>
      <c r="D902" s="1" t="s">
        <v>11</v>
      </c>
      <c r="E902" s="1" t="s">
        <v>12</v>
      </c>
      <c r="F902" s="4">
        <v>61</v>
      </c>
      <c r="G902" s="4">
        <v>42</v>
      </c>
      <c r="H902" s="4">
        <v>41</v>
      </c>
      <c r="I902" s="4">
        <f>AVERAGE(Student­­Performance[[#This Row],[Math Score]],Student­­Performance[[#This Row],[Reading Score]],Student­­Performance[[#This Row],[Writing Score]])</f>
        <v>48</v>
      </c>
      <c r="J902" s="10" t="str">
        <f>IF(Student­­Performance[[#This Row],[Average Score]]&gt;=50,"Pass","Fail")</f>
        <v>Fail</v>
      </c>
      <c r="K90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-19</v>
      </c>
      <c r="L90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90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-20</v>
      </c>
      <c r="N902" s="4">
        <f>IF(ISNUMBER(Student­­Performance[[#This Row],[Math Score]]),Student­­Performance[[#This Row],[Math Score]],0)</f>
        <v>61</v>
      </c>
      <c r="O902" s="4">
        <f>IF(ISNUMBER(Student­­Performance[[#This Row],[Reading Score]]),Student­­Performance[[#This Row],[Reading Score]],0)</f>
        <v>42</v>
      </c>
      <c r="P902" s="4">
        <f>IF(ISNUMBER(Student­­Performance[[#This Row],[Writing Score]]),Student­­Performance[[#This Row],[Writing Score]],0)</f>
        <v>41</v>
      </c>
      <c r="Q902" s="4" t="str">
        <f>IF(Student­­Performance[[#This Row],[Math Score]]&gt;=50,"Pass","Fail")</f>
        <v>Pass</v>
      </c>
      <c r="R902" s="4" t="str">
        <f>IF(Student­­Performance[[#This Row],[Reading Score]]&gt;=50,"Pass","Fail")</f>
        <v>Fail</v>
      </c>
      <c r="S902" s="4" t="str">
        <f>IF(Student­­Performance[[#This Row],[Writing Score]]&gt;=50,"Pass","Fail")</f>
        <v>Fail</v>
      </c>
      <c r="T90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144</v>
      </c>
      <c r="U902" s="4" cm="1">
        <f t="array" ref="U902">IF(COUNT(F902:H902)=0,"", MAX(IF(ISNUMBER(F902:H902),F902:H902)) - MIN(IF(ISNUMBER(F902:H902),F902:H902)))</f>
        <v>20</v>
      </c>
      <c r="V902" s="4" t="str">
        <f>IF(U902="","",IF(U902&gt;25,"Outlier","Normal"))</f>
        <v>Normal</v>
      </c>
    </row>
    <row r="903" spans="1:22" x14ac:dyDescent="0.3">
      <c r="A903" s="1" t="s">
        <v>17</v>
      </c>
      <c r="B903" s="1" t="s">
        <v>21</v>
      </c>
      <c r="C903" s="1" t="s">
        <v>87</v>
      </c>
      <c r="D903" s="1" t="s">
        <v>11</v>
      </c>
      <c r="E903" s="1" t="s">
        <v>15</v>
      </c>
      <c r="F903" s="4">
        <v>55</v>
      </c>
      <c r="G903" s="4">
        <v>41</v>
      </c>
      <c r="H903" s="4">
        <v>48</v>
      </c>
      <c r="I903" s="4">
        <f>AVERAGE(Student­­Performance[[#This Row],[Math Score]],Student­­Performance[[#This Row],[Reading Score]],Student­­Performance[[#This Row],[Writing Score]])</f>
        <v>48</v>
      </c>
      <c r="J903" s="10" t="str">
        <f>IF(Student­­Performance[[#This Row],[Average Score]]&gt;=50,"Pass","Fail")</f>
        <v>Fail</v>
      </c>
      <c r="K90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-14</v>
      </c>
      <c r="L90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7</v>
      </c>
      <c r="M90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903" s="4">
        <f>IF(ISNUMBER(Student­­Performance[[#This Row],[Math Score]]),Student­­Performance[[#This Row],[Math Score]],0)</f>
        <v>55</v>
      </c>
      <c r="O903" s="4">
        <f>IF(ISNUMBER(Student­­Performance[[#This Row],[Reading Score]]),Student­­Performance[[#This Row],[Reading Score]],0)</f>
        <v>41</v>
      </c>
      <c r="P903" s="4">
        <f>IF(ISNUMBER(Student­­Performance[[#This Row],[Writing Score]]),Student­­Performance[[#This Row],[Writing Score]],0)</f>
        <v>48</v>
      </c>
      <c r="Q903" s="4" t="str">
        <f>IF(Student­­Performance[[#This Row],[Math Score]]&gt;=50,"Pass","Fail")</f>
        <v>Pass</v>
      </c>
      <c r="R903" s="4" t="str">
        <f>IF(Student­­Performance[[#This Row],[Reading Score]]&gt;=50,"Pass","Fail")</f>
        <v>Fail</v>
      </c>
      <c r="S903" s="4" t="str">
        <f>IF(Student­­Performance[[#This Row],[Writing Score]]&gt;=50,"Pass","Fail")</f>
        <v>Fail</v>
      </c>
      <c r="T90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144</v>
      </c>
      <c r="U903" s="4" cm="1">
        <f t="array" ref="U903">IF(COUNT(F903:H903)=0,"", MAX(IF(ISNUMBER(F903:H903),F903:H903)) - MIN(IF(ISNUMBER(F903:H903),F903:H903)))</f>
        <v>14</v>
      </c>
      <c r="V903" s="4" t="str">
        <f>IF(U903="","",IF(U903&gt;25,"Outlier","Normal"))</f>
        <v>Normal</v>
      </c>
    </row>
    <row r="904" spans="1:22" x14ac:dyDescent="0.3">
      <c r="A904" s="1" t="s">
        <v>17</v>
      </c>
      <c r="B904" s="1" t="s">
        <v>13</v>
      </c>
      <c r="C904" s="1" t="s">
        <v>86</v>
      </c>
      <c r="D904" s="1" t="s">
        <v>11</v>
      </c>
      <c r="E904" s="1" t="s">
        <v>12</v>
      </c>
      <c r="F904" s="4">
        <v>49</v>
      </c>
      <c r="G904" s="4">
        <v>51</v>
      </c>
      <c r="H904" s="4">
        <v>43</v>
      </c>
      <c r="I904" s="4">
        <f>AVERAGE(Student­­Performance[[#This Row],[Math Score]],Student­­Performance[[#This Row],[Reading Score]],Student­­Performance[[#This Row],[Writing Score]])</f>
        <v>47.666666666666664</v>
      </c>
      <c r="J904" s="10" t="str">
        <f>IF(Student­­Performance[[#This Row],[Average Score]]&gt;=50,"Pass","Fail")</f>
        <v>Fail</v>
      </c>
      <c r="K90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90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-8</v>
      </c>
      <c r="M90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904" s="4">
        <f>IF(ISNUMBER(Student­­Performance[[#This Row],[Math Score]]),Student­­Performance[[#This Row],[Math Score]],0)</f>
        <v>49</v>
      </c>
      <c r="O904" s="4">
        <f>IF(ISNUMBER(Student­­Performance[[#This Row],[Reading Score]]),Student­­Performance[[#This Row],[Reading Score]],0)</f>
        <v>51</v>
      </c>
      <c r="P904" s="4">
        <f>IF(ISNUMBER(Student­­Performance[[#This Row],[Writing Score]]),Student­­Performance[[#This Row],[Writing Score]],0)</f>
        <v>43</v>
      </c>
      <c r="Q904" s="4" t="str">
        <f>IF(Student­­Performance[[#This Row],[Math Score]]&gt;=50,"Pass","Fail")</f>
        <v>Fail</v>
      </c>
      <c r="R904" s="4" t="str">
        <f>IF(Student­­Performance[[#This Row],[Reading Score]]&gt;=50,"Pass","Fail")</f>
        <v>Pass</v>
      </c>
      <c r="S904" s="4" t="str">
        <f>IF(Student­­Performance[[#This Row],[Writing Score]]&gt;=50,"Pass","Fail")</f>
        <v>Fail</v>
      </c>
      <c r="T90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143</v>
      </c>
      <c r="U904" s="4" cm="1">
        <f t="array" ref="U904">IF(COUNT(F904:H904)=0,"", MAX(IF(ISNUMBER(F904:H904),F904:H904)) - MIN(IF(ISNUMBER(F904:H904),F904:H904)))</f>
        <v>8</v>
      </c>
      <c r="V904" s="4" t="str">
        <f>IF(U904="","",IF(U904&gt;25,"Outlier","Normal"))</f>
        <v>Normal</v>
      </c>
    </row>
    <row r="905" spans="1:22" x14ac:dyDescent="0.3">
      <c r="A905" s="1" t="s">
        <v>17</v>
      </c>
      <c r="B905" s="1" t="s">
        <v>21</v>
      </c>
      <c r="C905" s="1" t="s">
        <v>87</v>
      </c>
      <c r="D905" s="1" t="s">
        <v>20</v>
      </c>
      <c r="E905" s="1" t="s">
        <v>12</v>
      </c>
      <c r="F905" s="4">
        <v>44</v>
      </c>
      <c r="G905" s="4">
        <v>51</v>
      </c>
      <c r="H905" s="4">
        <v>48</v>
      </c>
      <c r="I905" s="4">
        <f>AVERAGE(Student­­Performance[[#This Row],[Math Score]],Student­­Performance[[#This Row],[Reading Score]],Student­­Performance[[#This Row],[Writing Score]])</f>
        <v>47.666666666666664</v>
      </c>
      <c r="J905" s="10" t="str">
        <f>IF(Student­­Performance[[#This Row],[Average Score]]&gt;=50,"Pass","Fail")</f>
        <v>Fail</v>
      </c>
      <c r="K90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90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90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905" s="4">
        <f>IF(ISNUMBER(Student­­Performance[[#This Row],[Math Score]]),Student­­Performance[[#This Row],[Math Score]],0)</f>
        <v>44</v>
      </c>
      <c r="O905" s="4">
        <f>IF(ISNUMBER(Student­­Performance[[#This Row],[Reading Score]]),Student­­Performance[[#This Row],[Reading Score]],0)</f>
        <v>51</v>
      </c>
      <c r="P905" s="4">
        <f>IF(ISNUMBER(Student­­Performance[[#This Row],[Writing Score]]),Student­­Performance[[#This Row],[Writing Score]],0)</f>
        <v>48</v>
      </c>
      <c r="Q905" s="4" t="str">
        <f>IF(Student­­Performance[[#This Row],[Math Score]]&gt;=50,"Pass","Fail")</f>
        <v>Fail</v>
      </c>
      <c r="R905" s="4" t="str">
        <f>IF(Student­­Performance[[#This Row],[Reading Score]]&gt;=50,"Pass","Fail")</f>
        <v>Pass</v>
      </c>
      <c r="S905" s="4" t="str">
        <f>IF(Student­­Performance[[#This Row],[Writing Score]]&gt;=50,"Pass","Fail")</f>
        <v>Fail</v>
      </c>
      <c r="T90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143</v>
      </c>
      <c r="U905" s="4" cm="1">
        <f t="array" ref="U905">IF(COUNT(F905:H905)=0,"", MAX(IF(ISNUMBER(F905:H905),F905:H905)) - MIN(IF(ISNUMBER(F905:H905),F905:H905)))</f>
        <v>7</v>
      </c>
      <c r="V905" s="4" t="str">
        <f>IF(U905="","",IF(U905&gt;25,"Outlier","Normal"))</f>
        <v>Normal</v>
      </c>
    </row>
    <row r="906" spans="1:22" x14ac:dyDescent="0.3">
      <c r="A906" s="1" t="s">
        <v>17</v>
      </c>
      <c r="B906" s="1" t="s">
        <v>9</v>
      </c>
      <c r="C906" s="1" t="s">
        <v>87</v>
      </c>
      <c r="D906" s="1" t="s">
        <v>20</v>
      </c>
      <c r="E906" s="1" t="s">
        <v>12</v>
      </c>
      <c r="F906" s="4">
        <v>66</v>
      </c>
      <c r="G906" s="4">
        <v>77</v>
      </c>
      <c r="H906" s="4" t="s">
        <v>90</v>
      </c>
      <c r="I906" s="4">
        <f>AVERAGE(Student­­Performance[[#This Row],[Math Score]],Student­­Performance[[#This Row],[Reading Score]],Student­­Performance[[#This Row],[Writing Score]])</f>
        <v>71.5</v>
      </c>
      <c r="J906" s="10" t="str">
        <f>IF(Student­­Performance[[#This Row],[Average Score]]&gt;=50,"Pass","Fail")</f>
        <v>Pass</v>
      </c>
      <c r="K90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906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906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06" s="4">
        <f>IF(ISNUMBER(Student­­Performance[[#This Row],[Math Score]]),Student­­Performance[[#This Row],[Math Score]],0)</f>
        <v>66</v>
      </c>
      <c r="O906" s="4">
        <f>IF(ISNUMBER(Student­­Performance[[#This Row],[Reading Score]]),Student­­Performance[[#This Row],[Reading Score]],0)</f>
        <v>77</v>
      </c>
      <c r="P906" s="4">
        <f>IF(ISNUMBER(Student­­Performance[[#This Row],[Writing Score]]),Student­­Performance[[#This Row],[Writing Score]],0)</f>
        <v>0</v>
      </c>
      <c r="Q906" s="4" t="str">
        <f>IF(Student­­Performance[[#This Row],[Math Score]]&gt;=50,"Pass","Fail")</f>
        <v>Pass</v>
      </c>
      <c r="R906" s="4" t="str">
        <f>IF(Student­­Performance[[#This Row],[Reading Score]]&gt;=50,"Pass","Fail")</f>
        <v>Pass</v>
      </c>
      <c r="S906" s="4" t="str">
        <f>IF(Student­­Performance[[#This Row],[Writing Score]]&gt;=50,"Pass","Fail")</f>
        <v>Pass</v>
      </c>
      <c r="T90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143</v>
      </c>
      <c r="U906" s="4" cm="1">
        <f t="array" ref="U906">IF(COUNT(F906:H906)=0,"", MAX(IF(ISNUMBER(F906:H906),F906:H906)) - MIN(IF(ISNUMBER(F906:H906),F906:H906)))</f>
        <v>11</v>
      </c>
      <c r="V906" s="4" t="str">
        <f>IF(U906="","",IF(U906&gt;25,"Outlier","Normal"))</f>
        <v>Normal</v>
      </c>
    </row>
    <row r="907" spans="1:22" x14ac:dyDescent="0.3">
      <c r="A907" s="1" t="s">
        <v>8</v>
      </c>
      <c r="B907" s="1" t="s">
        <v>21</v>
      </c>
      <c r="C907" s="1" t="s">
        <v>84</v>
      </c>
      <c r="D907" s="1" t="s">
        <v>20</v>
      </c>
      <c r="E907" s="1" t="s">
        <v>12</v>
      </c>
      <c r="F907" s="4">
        <v>65</v>
      </c>
      <c r="G907" s="4" t="s">
        <v>90</v>
      </c>
      <c r="H907" s="4">
        <v>77</v>
      </c>
      <c r="I907" s="4">
        <f>AVERAGE(Student­­Performance[[#This Row],[Math Score]],Student­­Performance[[#This Row],[Reading Score]],Student­­Performance[[#This Row],[Writing Score]])</f>
        <v>71</v>
      </c>
      <c r="J907" s="10" t="str">
        <f>IF(Student­­Performance[[#This Row],[Average Score]]&gt;=50,"Pass","Fail")</f>
        <v>Pass</v>
      </c>
      <c r="K907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907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90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907" s="4">
        <f>IF(ISNUMBER(Student­­Performance[[#This Row],[Math Score]]),Student­­Performance[[#This Row],[Math Score]],0)</f>
        <v>65</v>
      </c>
      <c r="O907" s="4">
        <f>IF(ISNUMBER(Student­­Performance[[#This Row],[Reading Score]]),Student­­Performance[[#This Row],[Reading Score]],0)</f>
        <v>0</v>
      </c>
      <c r="P907" s="4">
        <f>IF(ISNUMBER(Student­­Performance[[#This Row],[Writing Score]]),Student­­Performance[[#This Row],[Writing Score]],0)</f>
        <v>77</v>
      </c>
      <c r="Q907" s="4" t="str">
        <f>IF(Student­­Performance[[#This Row],[Math Score]]&gt;=50,"Pass","Fail")</f>
        <v>Pass</v>
      </c>
      <c r="R907" s="4" t="str">
        <f>IF(Student­­Performance[[#This Row],[Reading Score]]&gt;=50,"Pass","Fail")</f>
        <v>Pass</v>
      </c>
      <c r="S907" s="4" t="str">
        <f>IF(Student­­Performance[[#This Row],[Writing Score]]&gt;=50,"Pass","Fail")</f>
        <v>Pass</v>
      </c>
      <c r="T90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142</v>
      </c>
      <c r="U907" s="4" cm="1">
        <f t="array" ref="U907">IF(COUNT(F907:H907)=0,"", MAX(IF(ISNUMBER(F907:H907),F907:H907)) - MIN(IF(ISNUMBER(F907:H907),F907:H907)))</f>
        <v>12</v>
      </c>
      <c r="V907" s="4" t="str">
        <f>IF(U907="","",IF(U907&gt;25,"Outlier","Normal"))</f>
        <v>Normal</v>
      </c>
    </row>
    <row r="908" spans="1:22" x14ac:dyDescent="0.3">
      <c r="A908" s="1" t="s">
        <v>17</v>
      </c>
      <c r="B908" s="1" t="s">
        <v>13</v>
      </c>
      <c r="C908" s="1" t="s">
        <v>84</v>
      </c>
      <c r="D908" s="1" t="s">
        <v>11</v>
      </c>
      <c r="E908" s="1" t="s">
        <v>12</v>
      </c>
      <c r="F908" s="4">
        <v>59</v>
      </c>
      <c r="G908" s="4">
        <v>41</v>
      </c>
      <c r="H908" s="4">
        <v>42</v>
      </c>
      <c r="I908" s="4">
        <f>AVERAGE(Student­­Performance[[#This Row],[Math Score]],Student­­Performance[[#This Row],[Reading Score]],Student­­Performance[[#This Row],[Writing Score]])</f>
        <v>47.333333333333336</v>
      </c>
      <c r="J908" s="10" t="str">
        <f>IF(Student­­Performance[[#This Row],[Average Score]]&gt;=50,"Pass","Fail")</f>
        <v>Fail</v>
      </c>
      <c r="K90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-18</v>
      </c>
      <c r="L90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90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-17</v>
      </c>
      <c r="N908" s="4">
        <f>IF(ISNUMBER(Student­­Performance[[#This Row],[Math Score]]),Student­­Performance[[#This Row],[Math Score]],0)</f>
        <v>59</v>
      </c>
      <c r="O908" s="4">
        <f>IF(ISNUMBER(Student­­Performance[[#This Row],[Reading Score]]),Student­­Performance[[#This Row],[Reading Score]],0)</f>
        <v>41</v>
      </c>
      <c r="P908" s="4">
        <f>IF(ISNUMBER(Student­­Performance[[#This Row],[Writing Score]]),Student­­Performance[[#This Row],[Writing Score]],0)</f>
        <v>42</v>
      </c>
      <c r="Q908" s="4" t="str">
        <f>IF(Student­­Performance[[#This Row],[Math Score]]&gt;=50,"Pass","Fail")</f>
        <v>Pass</v>
      </c>
      <c r="R908" s="4" t="str">
        <f>IF(Student­­Performance[[#This Row],[Reading Score]]&gt;=50,"Pass","Fail")</f>
        <v>Fail</v>
      </c>
      <c r="S908" s="4" t="str">
        <f>IF(Student­­Performance[[#This Row],[Writing Score]]&gt;=50,"Pass","Fail")</f>
        <v>Fail</v>
      </c>
      <c r="T90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142</v>
      </c>
      <c r="U908" s="4" cm="1">
        <f t="array" ref="U908">IF(COUNT(F908:H908)=0,"", MAX(IF(ISNUMBER(F908:H908),F908:H908)) - MIN(IF(ISNUMBER(F908:H908),F908:H908)))</f>
        <v>18</v>
      </c>
      <c r="V908" s="4" t="str">
        <f>IF(U908="","",IF(U908&gt;25,"Outlier","Normal"))</f>
        <v>Normal</v>
      </c>
    </row>
    <row r="909" spans="1:22" x14ac:dyDescent="0.3">
      <c r="A909" s="1" t="s">
        <v>17</v>
      </c>
      <c r="B909" s="1" t="s">
        <v>18</v>
      </c>
      <c r="C909" s="1" t="s">
        <v>87</v>
      </c>
      <c r="D909" s="1" t="s">
        <v>20</v>
      </c>
      <c r="E909" s="1" t="s">
        <v>12</v>
      </c>
      <c r="F909" s="4">
        <v>45</v>
      </c>
      <c r="G909" s="4">
        <v>47</v>
      </c>
      <c r="H909" s="4">
        <v>49</v>
      </c>
      <c r="I909" s="4">
        <f>AVERAGE(Student­­Performance[[#This Row],[Math Score]],Student­­Performance[[#This Row],[Reading Score]],Student­­Performance[[#This Row],[Writing Score]])</f>
        <v>47</v>
      </c>
      <c r="J909" s="10" t="str">
        <f>IF(Student­­Performance[[#This Row],[Average Score]]&gt;=50,"Pass","Fail")</f>
        <v>Fail</v>
      </c>
      <c r="K90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90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90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4</v>
      </c>
      <c r="N909" s="4">
        <f>IF(ISNUMBER(Student­­Performance[[#This Row],[Math Score]]),Student­­Performance[[#This Row],[Math Score]],0)</f>
        <v>45</v>
      </c>
      <c r="O909" s="4">
        <f>IF(ISNUMBER(Student­­Performance[[#This Row],[Reading Score]]),Student­­Performance[[#This Row],[Reading Score]],0)</f>
        <v>47</v>
      </c>
      <c r="P909" s="4">
        <f>IF(ISNUMBER(Student­­Performance[[#This Row],[Writing Score]]),Student­­Performance[[#This Row],[Writing Score]],0)</f>
        <v>49</v>
      </c>
      <c r="Q909" s="4" t="str">
        <f>IF(Student­­Performance[[#This Row],[Math Score]]&gt;=50,"Pass","Fail")</f>
        <v>Fail</v>
      </c>
      <c r="R909" s="4" t="str">
        <f>IF(Student­­Performance[[#This Row],[Reading Score]]&gt;=50,"Pass","Fail")</f>
        <v>Fail</v>
      </c>
      <c r="S909" s="4" t="str">
        <f>IF(Student­­Performance[[#This Row],[Writing Score]]&gt;=50,"Pass","Fail")</f>
        <v>Fail</v>
      </c>
      <c r="T90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141</v>
      </c>
      <c r="U909" s="4" cm="1">
        <f t="array" ref="U909">IF(COUNT(F909:H909)=0,"", MAX(IF(ISNUMBER(F909:H909),F909:H909)) - MIN(IF(ISNUMBER(F909:H909),F909:H909)))</f>
        <v>4</v>
      </c>
      <c r="V909" s="4" t="str">
        <f>IF(U909="","",IF(U909&gt;25,"Outlier","Normal"))</f>
        <v>Normal</v>
      </c>
    </row>
    <row r="910" spans="1:22" x14ac:dyDescent="0.3">
      <c r="A910" s="1" t="s">
        <v>8</v>
      </c>
      <c r="B910" s="1" t="s">
        <v>18</v>
      </c>
      <c r="C910" s="1" t="s">
        <v>86</v>
      </c>
      <c r="D910" s="1" t="s">
        <v>20</v>
      </c>
      <c r="E910" s="1" t="s">
        <v>12</v>
      </c>
      <c r="F910" s="4">
        <v>41</v>
      </c>
      <c r="G910" s="4">
        <v>51</v>
      </c>
      <c r="H910" s="4">
        <v>48</v>
      </c>
      <c r="I910" s="4">
        <f>AVERAGE(Student­­Performance[[#This Row],[Math Score]],Student­­Performance[[#This Row],[Reading Score]],Student­­Performance[[#This Row],[Writing Score]])</f>
        <v>46.666666666666664</v>
      </c>
      <c r="J910" s="10" t="str">
        <f>IF(Student­­Performance[[#This Row],[Average Score]]&gt;=50,"Pass","Fail")</f>
        <v>Fail</v>
      </c>
      <c r="K91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10</v>
      </c>
      <c r="L91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91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910" s="4">
        <f>IF(ISNUMBER(Student­­Performance[[#This Row],[Math Score]]),Student­­Performance[[#This Row],[Math Score]],0)</f>
        <v>41</v>
      </c>
      <c r="O910" s="4">
        <f>IF(ISNUMBER(Student­­Performance[[#This Row],[Reading Score]]),Student­­Performance[[#This Row],[Reading Score]],0)</f>
        <v>51</v>
      </c>
      <c r="P910" s="4">
        <f>IF(ISNUMBER(Student­­Performance[[#This Row],[Writing Score]]),Student­­Performance[[#This Row],[Writing Score]],0)</f>
        <v>48</v>
      </c>
      <c r="Q910" s="4" t="str">
        <f>IF(Student­­Performance[[#This Row],[Math Score]]&gt;=50,"Pass","Fail")</f>
        <v>Fail</v>
      </c>
      <c r="R910" s="4" t="str">
        <f>IF(Student­­Performance[[#This Row],[Reading Score]]&gt;=50,"Pass","Fail")</f>
        <v>Pass</v>
      </c>
      <c r="S910" s="4" t="str">
        <f>IF(Student­­Performance[[#This Row],[Writing Score]]&gt;=50,"Pass","Fail")</f>
        <v>Fail</v>
      </c>
      <c r="T91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140</v>
      </c>
      <c r="U910" s="4" cm="1">
        <f t="array" ref="U910">IF(COUNT(F910:H910)=0,"", MAX(IF(ISNUMBER(F910:H910),F910:H910)) - MIN(IF(ISNUMBER(F910:H910),F910:H910)))</f>
        <v>10</v>
      </c>
      <c r="V910" s="4" t="str">
        <f>IF(U910="","",IF(U910&gt;25,"Outlier","Normal"))</f>
        <v>Normal</v>
      </c>
    </row>
    <row r="911" spans="1:22" x14ac:dyDescent="0.3">
      <c r="A911" s="1" t="s">
        <v>17</v>
      </c>
      <c r="B911" s="1" t="s">
        <v>13</v>
      </c>
      <c r="C911" s="1" t="s">
        <v>83</v>
      </c>
      <c r="D911" s="1" t="s">
        <v>20</v>
      </c>
      <c r="E911" s="1" t="s">
        <v>12</v>
      </c>
      <c r="F911" s="4">
        <v>37</v>
      </c>
      <c r="G911" s="4">
        <v>56</v>
      </c>
      <c r="H911" s="4">
        <v>47</v>
      </c>
      <c r="I911" s="4">
        <f>AVERAGE(Student­­Performance[[#This Row],[Math Score]],Student­­Performance[[#This Row],[Reading Score]],Student­­Performance[[#This Row],[Writing Score]])</f>
        <v>46.666666666666664</v>
      </c>
      <c r="J911" s="10" t="str">
        <f>IF(Student­­Performance[[#This Row],[Average Score]]&gt;=50,"Pass","Fail")</f>
        <v>Fail</v>
      </c>
      <c r="K91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19</v>
      </c>
      <c r="L91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-9</v>
      </c>
      <c r="M91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911" s="4">
        <f>IF(ISNUMBER(Student­­Performance[[#This Row],[Math Score]]),Student­­Performance[[#This Row],[Math Score]],0)</f>
        <v>37</v>
      </c>
      <c r="O911" s="4">
        <f>IF(ISNUMBER(Student­­Performance[[#This Row],[Reading Score]]),Student­­Performance[[#This Row],[Reading Score]],0)</f>
        <v>56</v>
      </c>
      <c r="P911" s="4">
        <f>IF(ISNUMBER(Student­­Performance[[#This Row],[Writing Score]]),Student­­Performance[[#This Row],[Writing Score]],0)</f>
        <v>47</v>
      </c>
      <c r="Q911" s="4" t="str">
        <f>IF(Student­­Performance[[#This Row],[Math Score]]&gt;=50,"Pass","Fail")</f>
        <v>Fail</v>
      </c>
      <c r="R911" s="4" t="str">
        <f>IF(Student­­Performance[[#This Row],[Reading Score]]&gt;=50,"Pass","Fail")</f>
        <v>Pass</v>
      </c>
      <c r="S911" s="4" t="str">
        <f>IF(Student­­Performance[[#This Row],[Writing Score]]&gt;=50,"Pass","Fail")</f>
        <v>Fail</v>
      </c>
      <c r="T91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140</v>
      </c>
      <c r="U911" s="4" cm="1">
        <f t="array" ref="U911">IF(COUNT(F911:H911)=0,"", MAX(IF(ISNUMBER(F911:H911),F911:H911)) - MIN(IF(ISNUMBER(F911:H911),F911:H911)))</f>
        <v>19</v>
      </c>
      <c r="V911" s="4" t="str">
        <f>IF(U911="","",IF(U911&gt;25,"Outlier","Normal"))</f>
        <v>Normal</v>
      </c>
    </row>
    <row r="912" spans="1:22" x14ac:dyDescent="0.3">
      <c r="A912" s="1" t="s">
        <v>17</v>
      </c>
      <c r="B912" s="1" t="s">
        <v>13</v>
      </c>
      <c r="C912" s="1" t="s">
        <v>87</v>
      </c>
      <c r="D912" s="1" t="s">
        <v>11</v>
      </c>
      <c r="E912" s="1" t="s">
        <v>12</v>
      </c>
      <c r="F912" s="4">
        <v>50</v>
      </c>
      <c r="G912" s="4">
        <v>48</v>
      </c>
      <c r="H912" s="4">
        <v>42</v>
      </c>
      <c r="I912" s="4">
        <f>AVERAGE(Student­­Performance[[#This Row],[Math Score]],Student­­Performance[[#This Row],[Reading Score]],Student­­Performance[[#This Row],[Writing Score]])</f>
        <v>46.666666666666664</v>
      </c>
      <c r="J912" s="10" t="str">
        <f>IF(Student­­Performance[[#This Row],[Average Score]]&gt;=50,"Pass","Fail")</f>
        <v>Fail</v>
      </c>
      <c r="K91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</v>
      </c>
      <c r="L91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91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912" s="4">
        <f>IF(ISNUMBER(Student­­Performance[[#This Row],[Math Score]]),Student­­Performance[[#This Row],[Math Score]],0)</f>
        <v>50</v>
      </c>
      <c r="O912" s="4">
        <f>IF(ISNUMBER(Student­­Performance[[#This Row],[Reading Score]]),Student­­Performance[[#This Row],[Reading Score]],0)</f>
        <v>48</v>
      </c>
      <c r="P912" s="4">
        <f>IF(ISNUMBER(Student­­Performance[[#This Row],[Writing Score]]),Student­­Performance[[#This Row],[Writing Score]],0)</f>
        <v>42</v>
      </c>
      <c r="Q912" s="4" t="str">
        <f>IF(Student­­Performance[[#This Row],[Math Score]]&gt;=50,"Pass","Fail")</f>
        <v>Pass</v>
      </c>
      <c r="R912" s="4" t="str">
        <f>IF(Student­­Performance[[#This Row],[Reading Score]]&gt;=50,"Pass","Fail")</f>
        <v>Fail</v>
      </c>
      <c r="S912" s="4" t="str">
        <f>IF(Student­­Performance[[#This Row],[Writing Score]]&gt;=50,"Pass","Fail")</f>
        <v>Fail</v>
      </c>
      <c r="T91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140</v>
      </c>
      <c r="U912" s="4" cm="1">
        <f t="array" ref="U912">IF(COUNT(F912:H912)=0,"", MAX(IF(ISNUMBER(F912:H912),F912:H912)) - MIN(IF(ISNUMBER(F912:H912),F912:H912)))</f>
        <v>8</v>
      </c>
      <c r="V912" s="4" t="str">
        <f>IF(U912="","",IF(U912&gt;25,"Outlier","Normal"))</f>
        <v>Normal</v>
      </c>
    </row>
    <row r="913" spans="1:22" x14ac:dyDescent="0.3">
      <c r="A913" s="1" t="s">
        <v>8</v>
      </c>
      <c r="B913" s="1" t="s">
        <v>9</v>
      </c>
      <c r="C913" s="1" t="s">
        <v>87</v>
      </c>
      <c r="D913" s="1" t="s">
        <v>20</v>
      </c>
      <c r="E913" s="1" t="s">
        <v>12</v>
      </c>
      <c r="F913" s="4" t="s">
        <v>90</v>
      </c>
      <c r="G913" s="4">
        <v>72</v>
      </c>
      <c r="H913" s="4">
        <v>68</v>
      </c>
      <c r="I913" s="4">
        <f>AVERAGE(Student­­Performance[[#This Row],[Math Score]],Student­­Performance[[#This Row],[Reading Score]],Student­­Performance[[#This Row],[Writing Score]])</f>
        <v>70</v>
      </c>
      <c r="J913" s="10" t="str">
        <f>IF(Student­­Performance[[#This Row],[Average Score]]&gt;=50,"Pass","Fail")</f>
        <v>Pass</v>
      </c>
      <c r="K913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91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913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13" s="4">
        <f>IF(ISNUMBER(Student­­Performance[[#This Row],[Math Score]]),Student­­Performance[[#This Row],[Math Score]],0)</f>
        <v>0</v>
      </c>
      <c r="O913" s="4">
        <f>IF(ISNUMBER(Student­­Performance[[#This Row],[Reading Score]]),Student­­Performance[[#This Row],[Reading Score]],0)</f>
        <v>72</v>
      </c>
      <c r="P913" s="4">
        <f>IF(ISNUMBER(Student­­Performance[[#This Row],[Writing Score]]),Student­­Performance[[#This Row],[Writing Score]],0)</f>
        <v>68</v>
      </c>
      <c r="Q913" s="4" t="str">
        <f>IF(Student­­Performance[[#This Row],[Math Score]]&gt;=50,"Pass","Fail")</f>
        <v>Pass</v>
      </c>
      <c r="R913" s="4" t="str">
        <f>IF(Student­­Performance[[#This Row],[Reading Score]]&gt;=50,"Pass","Fail")</f>
        <v>Pass</v>
      </c>
      <c r="S913" s="4" t="str">
        <f>IF(Student­­Performance[[#This Row],[Writing Score]]&gt;=50,"Pass","Fail")</f>
        <v>Pass</v>
      </c>
      <c r="T91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140</v>
      </c>
      <c r="U913" s="4" cm="1">
        <f t="array" ref="U913">IF(COUNT(F913:H913)=0,"", MAX(IF(ISNUMBER(F913:H913),F913:H913)) - MIN(IF(ISNUMBER(F913:H913),F913:H913)))</f>
        <v>4</v>
      </c>
      <c r="V913" s="4" t="str">
        <f>IF(U913="","",IF(U913&gt;25,"Outlier","Normal"))</f>
        <v>Normal</v>
      </c>
    </row>
    <row r="914" spans="1:22" x14ac:dyDescent="0.3">
      <c r="A914" s="1" t="s">
        <v>17</v>
      </c>
      <c r="B914" s="1" t="s">
        <v>26</v>
      </c>
      <c r="C914" s="1" t="s">
        <v>83</v>
      </c>
      <c r="D914" s="1" t="s">
        <v>11</v>
      </c>
      <c r="E914" s="1" t="s">
        <v>15</v>
      </c>
      <c r="F914" s="4">
        <v>70</v>
      </c>
      <c r="G914" s="4" t="s">
        <v>90</v>
      </c>
      <c r="H914" s="4">
        <v>70</v>
      </c>
      <c r="I914" s="4">
        <f>AVERAGE(Student­­Performance[[#This Row],[Math Score]],Student­­Performance[[#This Row],[Reading Score]],Student­­Performance[[#This Row],[Writing Score]])</f>
        <v>70</v>
      </c>
      <c r="J914" s="10" t="str">
        <f>IF(Student­­Performance[[#This Row],[Average Score]]&gt;=50,"Pass","Fail")</f>
        <v>Pass</v>
      </c>
      <c r="K914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914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91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914" s="4">
        <f>IF(ISNUMBER(Student­­Performance[[#This Row],[Math Score]]),Student­­Performance[[#This Row],[Math Score]],0)</f>
        <v>70</v>
      </c>
      <c r="O914" s="4">
        <f>IF(ISNUMBER(Student­­Performance[[#This Row],[Reading Score]]),Student­­Performance[[#This Row],[Reading Score]],0)</f>
        <v>0</v>
      </c>
      <c r="P914" s="4">
        <f>IF(ISNUMBER(Student­­Performance[[#This Row],[Writing Score]]),Student­­Performance[[#This Row],[Writing Score]],0)</f>
        <v>70</v>
      </c>
      <c r="Q914" s="4" t="str">
        <f>IF(Student­­Performance[[#This Row],[Math Score]]&gt;=50,"Pass","Fail")</f>
        <v>Pass</v>
      </c>
      <c r="R914" s="4" t="str">
        <f>IF(Student­­Performance[[#This Row],[Reading Score]]&gt;=50,"Pass","Fail")</f>
        <v>Pass</v>
      </c>
      <c r="S914" s="4" t="str">
        <f>IF(Student­­Performance[[#This Row],[Writing Score]]&gt;=50,"Pass","Fail")</f>
        <v>Pass</v>
      </c>
      <c r="T91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140</v>
      </c>
      <c r="U914" s="4" cm="1">
        <f t="array" ref="U914">IF(COUNT(F914:H914)=0,"", MAX(IF(ISNUMBER(F914:H914),F914:H914)) - MIN(IF(ISNUMBER(F914:H914),F914:H914)))</f>
        <v>0</v>
      </c>
      <c r="V914" s="4" t="str">
        <f>IF(U914="","",IF(U914&gt;25,"Outlier","Normal"))</f>
        <v>Normal</v>
      </c>
    </row>
    <row r="915" spans="1:22" x14ac:dyDescent="0.3">
      <c r="A915" s="1" t="s">
        <v>17</v>
      </c>
      <c r="B915" s="1" t="s">
        <v>21</v>
      </c>
      <c r="C915" s="1" t="s">
        <v>83</v>
      </c>
      <c r="D915" s="1" t="s">
        <v>20</v>
      </c>
      <c r="E915" s="1" t="s">
        <v>12</v>
      </c>
      <c r="F915" s="4">
        <v>50</v>
      </c>
      <c r="G915" s="4">
        <v>42</v>
      </c>
      <c r="H915" s="4">
        <v>48</v>
      </c>
      <c r="I915" s="4">
        <f>AVERAGE(Student­­Performance[[#This Row],[Math Score]],Student­­Performance[[#This Row],[Reading Score]],Student­­Performance[[#This Row],[Writing Score]])</f>
        <v>46.666666666666664</v>
      </c>
      <c r="J915" s="10" t="str">
        <f>IF(Student­­Performance[[#This Row],[Average Score]]&gt;=50,"Pass","Fail")</f>
        <v>Fail</v>
      </c>
      <c r="K91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-8</v>
      </c>
      <c r="L91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91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915" s="4">
        <f>IF(ISNUMBER(Student­­Performance[[#This Row],[Math Score]]),Student­­Performance[[#This Row],[Math Score]],0)</f>
        <v>50</v>
      </c>
      <c r="O915" s="4">
        <f>IF(ISNUMBER(Student­­Performance[[#This Row],[Reading Score]]),Student­­Performance[[#This Row],[Reading Score]],0)</f>
        <v>42</v>
      </c>
      <c r="P915" s="4">
        <f>IF(ISNUMBER(Student­­Performance[[#This Row],[Writing Score]]),Student­­Performance[[#This Row],[Writing Score]],0)</f>
        <v>48</v>
      </c>
      <c r="Q915" s="4" t="str">
        <f>IF(Student­­Performance[[#This Row],[Math Score]]&gt;=50,"Pass","Fail")</f>
        <v>Pass</v>
      </c>
      <c r="R915" s="4" t="str">
        <f>IF(Student­­Performance[[#This Row],[Reading Score]]&gt;=50,"Pass","Fail")</f>
        <v>Fail</v>
      </c>
      <c r="S915" s="4" t="str">
        <f>IF(Student­­Performance[[#This Row],[Writing Score]]&gt;=50,"Pass","Fail")</f>
        <v>Fail</v>
      </c>
      <c r="T91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140</v>
      </c>
      <c r="U915" s="4" cm="1">
        <f t="array" ref="U915">IF(COUNT(F915:H915)=0,"", MAX(IF(ISNUMBER(F915:H915),F915:H915)) - MIN(IF(ISNUMBER(F915:H915),F915:H915)))</f>
        <v>8</v>
      </c>
      <c r="V915" s="4" t="str">
        <f>IF(U915="","",IF(U915&gt;25,"Outlier","Normal"))</f>
        <v>Normal</v>
      </c>
    </row>
    <row r="916" spans="1:22" x14ac:dyDescent="0.3">
      <c r="A916" s="1" t="s">
        <v>17</v>
      </c>
      <c r="B916" s="1" t="s">
        <v>13</v>
      </c>
      <c r="C916" s="1" t="s">
        <v>84</v>
      </c>
      <c r="D916" s="1" t="s">
        <v>11</v>
      </c>
      <c r="E916" s="1" t="s">
        <v>12</v>
      </c>
      <c r="F916" s="4">
        <v>53</v>
      </c>
      <c r="G916" s="4">
        <v>44</v>
      </c>
      <c r="H916" s="4">
        <v>42</v>
      </c>
      <c r="I916" s="4">
        <f>AVERAGE(Student­­Performance[[#This Row],[Math Score]],Student­­Performance[[#This Row],[Reading Score]],Student­­Performance[[#This Row],[Writing Score]])</f>
        <v>46.333333333333336</v>
      </c>
      <c r="J916" s="10" t="str">
        <f>IF(Student­­Performance[[#This Row],[Average Score]]&gt;=50,"Pass","Fail")</f>
        <v>Fail</v>
      </c>
      <c r="K91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-9</v>
      </c>
      <c r="L91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91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-11</v>
      </c>
      <c r="N916" s="4">
        <f>IF(ISNUMBER(Student­­Performance[[#This Row],[Math Score]]),Student­­Performance[[#This Row],[Math Score]],0)</f>
        <v>53</v>
      </c>
      <c r="O916" s="4">
        <f>IF(ISNUMBER(Student­­Performance[[#This Row],[Reading Score]]),Student­­Performance[[#This Row],[Reading Score]],0)</f>
        <v>44</v>
      </c>
      <c r="P916" s="4">
        <f>IF(ISNUMBER(Student­­Performance[[#This Row],[Writing Score]]),Student­­Performance[[#This Row],[Writing Score]],0)</f>
        <v>42</v>
      </c>
      <c r="Q916" s="4" t="str">
        <f>IF(Student­­Performance[[#This Row],[Math Score]]&gt;=50,"Pass","Fail")</f>
        <v>Pass</v>
      </c>
      <c r="R916" s="4" t="str">
        <f>IF(Student­­Performance[[#This Row],[Reading Score]]&gt;=50,"Pass","Fail")</f>
        <v>Fail</v>
      </c>
      <c r="S916" s="4" t="str">
        <f>IF(Student­­Performance[[#This Row],[Writing Score]]&gt;=50,"Pass","Fail")</f>
        <v>Fail</v>
      </c>
      <c r="T91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139</v>
      </c>
      <c r="U916" s="4" cm="1">
        <f t="array" ref="U916">IF(COUNT(F916:H916)=0,"", MAX(IF(ISNUMBER(F916:H916),F916:H916)) - MIN(IF(ISNUMBER(F916:H916),F916:H916)))</f>
        <v>11</v>
      </c>
      <c r="V916" s="4" t="str">
        <f>IF(U916="","",IF(U916&gt;25,"Outlier","Normal"))</f>
        <v>Normal</v>
      </c>
    </row>
    <row r="917" spans="1:22" x14ac:dyDescent="0.3">
      <c r="A917" s="1" t="s">
        <v>17</v>
      </c>
      <c r="B917" s="1" t="s">
        <v>13</v>
      </c>
      <c r="C917" s="1" t="s">
        <v>88</v>
      </c>
      <c r="D917" s="1" t="s">
        <v>11</v>
      </c>
      <c r="E917" s="1" t="s">
        <v>12</v>
      </c>
      <c r="F917" s="4">
        <v>49</v>
      </c>
      <c r="G917" s="4">
        <v>49</v>
      </c>
      <c r="H917" s="4">
        <v>41</v>
      </c>
      <c r="I917" s="4">
        <f>AVERAGE(Student­­Performance[[#This Row],[Math Score]],Student­­Performance[[#This Row],[Reading Score]],Student­­Performance[[#This Row],[Writing Score]])</f>
        <v>46.333333333333336</v>
      </c>
      <c r="J917" s="10" t="str">
        <f>IF(Student­­Performance[[#This Row],[Average Score]]&gt;=50,"Pass","Fail")</f>
        <v>Fail</v>
      </c>
      <c r="K91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91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-8</v>
      </c>
      <c r="M91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917" s="4">
        <f>IF(ISNUMBER(Student­­Performance[[#This Row],[Math Score]]),Student­­Performance[[#This Row],[Math Score]],0)</f>
        <v>49</v>
      </c>
      <c r="O917" s="4">
        <f>IF(ISNUMBER(Student­­Performance[[#This Row],[Reading Score]]),Student­­Performance[[#This Row],[Reading Score]],0)</f>
        <v>49</v>
      </c>
      <c r="P917" s="4">
        <f>IF(ISNUMBER(Student­­Performance[[#This Row],[Writing Score]]),Student­­Performance[[#This Row],[Writing Score]],0)</f>
        <v>41</v>
      </c>
      <c r="Q917" s="4" t="str">
        <f>IF(Student­­Performance[[#This Row],[Math Score]]&gt;=50,"Pass","Fail")</f>
        <v>Fail</v>
      </c>
      <c r="R917" s="4" t="str">
        <f>IF(Student­­Performance[[#This Row],[Reading Score]]&gt;=50,"Pass","Fail")</f>
        <v>Fail</v>
      </c>
      <c r="S917" s="4" t="str">
        <f>IF(Student­­Performance[[#This Row],[Writing Score]]&gt;=50,"Pass","Fail")</f>
        <v>Fail</v>
      </c>
      <c r="T91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139</v>
      </c>
      <c r="U917" s="4" cm="1">
        <f t="array" ref="U917">IF(COUNT(F917:H917)=0,"", MAX(IF(ISNUMBER(F917:H917),F917:H917)) - MIN(IF(ISNUMBER(F917:H917),F917:H917)))</f>
        <v>8</v>
      </c>
      <c r="V917" s="4" t="str">
        <f>IF(U917="","",IF(U917&gt;25,"Outlier","Normal"))</f>
        <v>Normal</v>
      </c>
    </row>
    <row r="918" spans="1:22" x14ac:dyDescent="0.3">
      <c r="A918" s="1" t="s">
        <v>17</v>
      </c>
      <c r="B918" s="1" t="s">
        <v>9</v>
      </c>
      <c r="C918" s="1" t="s">
        <v>87</v>
      </c>
      <c r="D918" s="1" t="s">
        <v>20</v>
      </c>
      <c r="E918" s="1" t="s">
        <v>12</v>
      </c>
      <c r="F918" s="4">
        <v>49</v>
      </c>
      <c r="G918" s="4">
        <v>45</v>
      </c>
      <c r="H918" s="4">
        <v>45</v>
      </c>
      <c r="I918" s="4">
        <f>AVERAGE(Student­­Performance[[#This Row],[Math Score]],Student­­Performance[[#This Row],[Reading Score]],Student­­Performance[[#This Row],[Writing Score]])</f>
        <v>46.333333333333336</v>
      </c>
      <c r="J918" s="10" t="str">
        <f>IF(Student­­Performance[[#This Row],[Average Score]]&gt;=50,"Pass","Fail")</f>
        <v>Fail</v>
      </c>
      <c r="K91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91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91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918" s="4">
        <f>IF(ISNUMBER(Student­­Performance[[#This Row],[Math Score]]),Student­­Performance[[#This Row],[Math Score]],0)</f>
        <v>49</v>
      </c>
      <c r="O918" s="4">
        <f>IF(ISNUMBER(Student­­Performance[[#This Row],[Reading Score]]),Student­­Performance[[#This Row],[Reading Score]],0)</f>
        <v>45</v>
      </c>
      <c r="P918" s="4">
        <f>IF(ISNUMBER(Student­­Performance[[#This Row],[Writing Score]]),Student­­Performance[[#This Row],[Writing Score]],0)</f>
        <v>45</v>
      </c>
      <c r="Q918" s="4" t="str">
        <f>IF(Student­­Performance[[#This Row],[Math Score]]&gt;=50,"Pass","Fail")</f>
        <v>Fail</v>
      </c>
      <c r="R918" s="4" t="str">
        <f>IF(Student­­Performance[[#This Row],[Reading Score]]&gt;=50,"Pass","Fail")</f>
        <v>Fail</v>
      </c>
      <c r="S918" s="4" t="str">
        <f>IF(Student­­Performance[[#This Row],[Writing Score]]&gt;=50,"Pass","Fail")</f>
        <v>Fail</v>
      </c>
      <c r="T91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139</v>
      </c>
      <c r="U918" s="4" cm="1">
        <f t="array" ref="U918">IF(COUNT(F918:H918)=0,"", MAX(IF(ISNUMBER(F918:H918),F918:H918)) - MIN(IF(ISNUMBER(F918:H918),F918:H918)))</f>
        <v>4</v>
      </c>
      <c r="V918" s="4" t="str">
        <f>IF(U918="","",IF(U918&gt;25,"Outlier","Normal"))</f>
        <v>Normal</v>
      </c>
    </row>
    <row r="919" spans="1:22" x14ac:dyDescent="0.3">
      <c r="A919" s="1" t="s">
        <v>17</v>
      </c>
      <c r="B919" s="1" t="s">
        <v>18</v>
      </c>
      <c r="C919" s="1" t="s">
        <v>84</v>
      </c>
      <c r="D919" s="1" t="s">
        <v>11</v>
      </c>
      <c r="E919" s="1" t="s">
        <v>12</v>
      </c>
      <c r="F919" s="4">
        <v>53</v>
      </c>
      <c r="G919" s="4">
        <v>43</v>
      </c>
      <c r="H919" s="4">
        <v>43</v>
      </c>
      <c r="I919" s="4">
        <f>AVERAGE(Student­­Performance[[#This Row],[Math Score]],Student­­Performance[[#This Row],[Reading Score]],Student­­Performance[[#This Row],[Writing Score]])</f>
        <v>46.333333333333336</v>
      </c>
      <c r="J919" s="10" t="str">
        <f>IF(Student­­Performance[[#This Row],[Average Score]]&gt;=50,"Pass","Fail")</f>
        <v>Fail</v>
      </c>
      <c r="K91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-10</v>
      </c>
      <c r="L91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91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-10</v>
      </c>
      <c r="N919" s="4">
        <f>IF(ISNUMBER(Student­­Performance[[#This Row],[Math Score]]),Student­­Performance[[#This Row],[Math Score]],0)</f>
        <v>53</v>
      </c>
      <c r="O919" s="4">
        <f>IF(ISNUMBER(Student­­Performance[[#This Row],[Reading Score]]),Student­­Performance[[#This Row],[Reading Score]],0)</f>
        <v>43</v>
      </c>
      <c r="P919" s="4">
        <f>IF(ISNUMBER(Student­­Performance[[#This Row],[Writing Score]]),Student­­Performance[[#This Row],[Writing Score]],0)</f>
        <v>43</v>
      </c>
      <c r="Q919" s="4" t="str">
        <f>IF(Student­­Performance[[#This Row],[Math Score]]&gt;=50,"Pass","Fail")</f>
        <v>Pass</v>
      </c>
      <c r="R919" s="4" t="str">
        <f>IF(Student­­Performance[[#This Row],[Reading Score]]&gt;=50,"Pass","Fail")</f>
        <v>Fail</v>
      </c>
      <c r="S919" s="4" t="str">
        <f>IF(Student­­Performance[[#This Row],[Writing Score]]&gt;=50,"Pass","Fail")</f>
        <v>Fail</v>
      </c>
      <c r="T91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139</v>
      </c>
      <c r="U919" s="4" cm="1">
        <f t="array" ref="U919">IF(COUNT(F919:H919)=0,"", MAX(IF(ISNUMBER(F919:H919),F919:H919)) - MIN(IF(ISNUMBER(F919:H919),F919:H919)))</f>
        <v>10</v>
      </c>
      <c r="V919" s="4" t="str">
        <f>IF(U919="","",IF(U919&gt;25,"Outlier","Normal"))</f>
        <v>Normal</v>
      </c>
    </row>
    <row r="920" spans="1:22" x14ac:dyDescent="0.3">
      <c r="A920" s="1" t="s">
        <v>17</v>
      </c>
      <c r="B920" s="1" t="s">
        <v>21</v>
      </c>
      <c r="C920" s="1" t="s">
        <v>86</v>
      </c>
      <c r="D920" s="1" t="s">
        <v>11</v>
      </c>
      <c r="E920" s="1" t="s">
        <v>12</v>
      </c>
      <c r="F920" s="4">
        <v>75</v>
      </c>
      <c r="G920" s="4" t="s">
        <v>90</v>
      </c>
      <c r="H920" s="4">
        <v>64</v>
      </c>
      <c r="I920" s="4">
        <f>AVERAGE(Student­­Performance[[#This Row],[Math Score]],Student­­Performance[[#This Row],[Reading Score]],Student­­Performance[[#This Row],[Writing Score]])</f>
        <v>69.5</v>
      </c>
      <c r="J920" s="10" t="str">
        <f>IF(Student­­Performance[[#This Row],[Average Score]]&gt;=50,"Pass","Fail")</f>
        <v>Pass</v>
      </c>
      <c r="K920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920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92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-11</v>
      </c>
      <c r="N920" s="4">
        <f>IF(ISNUMBER(Student­­Performance[[#This Row],[Math Score]]),Student­­Performance[[#This Row],[Math Score]],0)</f>
        <v>75</v>
      </c>
      <c r="O920" s="4">
        <f>IF(ISNUMBER(Student­­Performance[[#This Row],[Reading Score]]),Student­­Performance[[#This Row],[Reading Score]],0)</f>
        <v>0</v>
      </c>
      <c r="P920" s="4">
        <f>IF(ISNUMBER(Student­­Performance[[#This Row],[Writing Score]]),Student­­Performance[[#This Row],[Writing Score]],0)</f>
        <v>64</v>
      </c>
      <c r="Q920" s="4" t="str">
        <f>IF(Student­­Performance[[#This Row],[Math Score]]&gt;=50,"Pass","Fail")</f>
        <v>Pass</v>
      </c>
      <c r="R920" s="4" t="str">
        <f>IF(Student­­Performance[[#This Row],[Reading Score]]&gt;=50,"Pass","Fail")</f>
        <v>Pass</v>
      </c>
      <c r="S920" s="4" t="str">
        <f>IF(Student­­Performance[[#This Row],[Writing Score]]&gt;=50,"Pass","Fail")</f>
        <v>Pass</v>
      </c>
      <c r="T92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139</v>
      </c>
      <c r="U920" s="4" cm="1">
        <f t="array" ref="U920">IF(COUNT(F920:H920)=0,"", MAX(IF(ISNUMBER(F920:H920),F920:H920)) - MIN(IF(ISNUMBER(F920:H920),F920:H920)))</f>
        <v>11</v>
      </c>
      <c r="V920" s="4" t="str">
        <f>IF(U920="","",IF(U920&gt;25,"Outlier","Normal"))</f>
        <v>Normal</v>
      </c>
    </row>
    <row r="921" spans="1:22" x14ac:dyDescent="0.3">
      <c r="A921" s="1" t="s">
        <v>17</v>
      </c>
      <c r="B921" s="1" t="s">
        <v>9</v>
      </c>
      <c r="C921" s="1" t="s">
        <v>87</v>
      </c>
      <c r="D921" s="1" t="s">
        <v>11</v>
      </c>
      <c r="E921" s="1" t="s">
        <v>15</v>
      </c>
      <c r="F921" s="4" t="s">
        <v>90</v>
      </c>
      <c r="G921" s="4">
        <v>71</v>
      </c>
      <c r="H921" s="4">
        <v>68</v>
      </c>
      <c r="I921" s="4">
        <f>AVERAGE(Student­­Performance[[#This Row],[Math Score]],Student­­Performance[[#This Row],[Reading Score]],Student­­Performance[[#This Row],[Writing Score]])</f>
        <v>69.5</v>
      </c>
      <c r="J921" s="10" t="str">
        <f>IF(Student­­Performance[[#This Row],[Average Score]]&gt;=50,"Pass","Fail")</f>
        <v>Pass</v>
      </c>
      <c r="K921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92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921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21" s="4">
        <f>IF(ISNUMBER(Student­­Performance[[#This Row],[Math Score]]),Student­­Performance[[#This Row],[Math Score]],0)</f>
        <v>0</v>
      </c>
      <c r="O921" s="4">
        <f>IF(ISNUMBER(Student­­Performance[[#This Row],[Reading Score]]),Student­­Performance[[#This Row],[Reading Score]],0)</f>
        <v>71</v>
      </c>
      <c r="P921" s="4">
        <f>IF(ISNUMBER(Student­­Performance[[#This Row],[Writing Score]]),Student­­Performance[[#This Row],[Writing Score]],0)</f>
        <v>68</v>
      </c>
      <c r="Q921" s="4" t="str">
        <f>IF(Student­­Performance[[#This Row],[Math Score]]&gt;=50,"Pass","Fail")</f>
        <v>Pass</v>
      </c>
      <c r="R921" s="4" t="str">
        <f>IF(Student­­Performance[[#This Row],[Reading Score]]&gt;=50,"Pass","Fail")</f>
        <v>Pass</v>
      </c>
      <c r="S921" s="4" t="str">
        <f>IF(Student­­Performance[[#This Row],[Writing Score]]&gt;=50,"Pass","Fail")</f>
        <v>Pass</v>
      </c>
      <c r="T92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139</v>
      </c>
      <c r="U921" s="4" cm="1">
        <f t="array" ref="U921">IF(COUNT(F921:H921)=0,"", MAX(IF(ISNUMBER(F921:H921),F921:H921)) - MIN(IF(ISNUMBER(F921:H921),F921:H921)))</f>
        <v>3</v>
      </c>
      <c r="V921" s="4" t="str">
        <f>IF(U921="","",IF(U921&gt;25,"Outlier","Normal"))</f>
        <v>Normal</v>
      </c>
    </row>
    <row r="922" spans="1:22" x14ac:dyDescent="0.3">
      <c r="A922" s="1" t="s">
        <v>17</v>
      </c>
      <c r="B922" s="1" t="s">
        <v>13</v>
      </c>
      <c r="C922" s="1" t="s">
        <v>86</v>
      </c>
      <c r="D922" s="1" t="s">
        <v>20</v>
      </c>
      <c r="E922" s="1" t="s">
        <v>15</v>
      </c>
      <c r="F922" s="4">
        <v>43</v>
      </c>
      <c r="G922" s="4">
        <v>45</v>
      </c>
      <c r="H922" s="4">
        <v>50</v>
      </c>
      <c r="I922" s="4">
        <f>AVERAGE(Student­­Performance[[#This Row],[Math Score]],Student­­Performance[[#This Row],[Reading Score]],Student­­Performance[[#This Row],[Writing Score]])</f>
        <v>46</v>
      </c>
      <c r="J922" s="10" t="str">
        <f>IF(Student­­Performance[[#This Row],[Average Score]]&gt;=50,"Pass","Fail")</f>
        <v>Fail</v>
      </c>
      <c r="K92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92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92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922" s="4">
        <f>IF(ISNUMBER(Student­­Performance[[#This Row],[Math Score]]),Student­­Performance[[#This Row],[Math Score]],0)</f>
        <v>43</v>
      </c>
      <c r="O922" s="4">
        <f>IF(ISNUMBER(Student­­Performance[[#This Row],[Reading Score]]),Student­­Performance[[#This Row],[Reading Score]],0)</f>
        <v>45</v>
      </c>
      <c r="P922" s="4">
        <f>IF(ISNUMBER(Student­­Performance[[#This Row],[Writing Score]]),Student­­Performance[[#This Row],[Writing Score]],0)</f>
        <v>50</v>
      </c>
      <c r="Q922" s="4" t="str">
        <f>IF(Student­­Performance[[#This Row],[Math Score]]&gt;=50,"Pass","Fail")</f>
        <v>Fail</v>
      </c>
      <c r="R922" s="4" t="str">
        <f>IF(Student­­Performance[[#This Row],[Reading Score]]&gt;=50,"Pass","Fail")</f>
        <v>Fail</v>
      </c>
      <c r="S922" s="4" t="str">
        <f>IF(Student­­Performance[[#This Row],[Writing Score]]&gt;=50,"Pass","Fail")</f>
        <v>Pass</v>
      </c>
      <c r="T92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138</v>
      </c>
      <c r="U922" s="4" cm="1">
        <f t="array" ref="U922">IF(COUNT(F922:H922)=0,"", MAX(IF(ISNUMBER(F922:H922),F922:H922)) - MIN(IF(ISNUMBER(F922:H922),F922:H922)))</f>
        <v>7</v>
      </c>
      <c r="V922" s="4" t="str">
        <f>IF(U922="","",IF(U922&gt;25,"Outlier","Normal"))</f>
        <v>Normal</v>
      </c>
    </row>
    <row r="923" spans="1:22" x14ac:dyDescent="0.3">
      <c r="A923" s="1" t="s">
        <v>8</v>
      </c>
      <c r="B923" s="1" t="s">
        <v>9</v>
      </c>
      <c r="C923" s="1" t="s">
        <v>86</v>
      </c>
      <c r="D923" s="1" t="s">
        <v>11</v>
      </c>
      <c r="E923" s="1" t="s">
        <v>12</v>
      </c>
      <c r="F923" s="4">
        <v>40</v>
      </c>
      <c r="G923" s="4">
        <v>48</v>
      </c>
      <c r="H923" s="4">
        <v>50</v>
      </c>
      <c r="I923" s="4">
        <f>AVERAGE(Student­­Performance[[#This Row],[Math Score]],Student­­Performance[[#This Row],[Reading Score]],Student­­Performance[[#This Row],[Writing Score]])</f>
        <v>46</v>
      </c>
      <c r="J923" s="10" t="str">
        <f>IF(Student­­Performance[[#This Row],[Average Score]]&gt;=50,"Pass","Fail")</f>
        <v>Fail</v>
      </c>
      <c r="K92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92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92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923" s="4">
        <f>IF(ISNUMBER(Student­­Performance[[#This Row],[Math Score]]),Student­­Performance[[#This Row],[Math Score]],0)</f>
        <v>40</v>
      </c>
      <c r="O923" s="4">
        <f>IF(ISNUMBER(Student­­Performance[[#This Row],[Reading Score]]),Student­­Performance[[#This Row],[Reading Score]],0)</f>
        <v>48</v>
      </c>
      <c r="P923" s="4">
        <f>IF(ISNUMBER(Student­­Performance[[#This Row],[Writing Score]]),Student­­Performance[[#This Row],[Writing Score]],0)</f>
        <v>50</v>
      </c>
      <c r="Q923" s="4" t="str">
        <f>IF(Student­­Performance[[#This Row],[Math Score]]&gt;=50,"Pass","Fail")</f>
        <v>Fail</v>
      </c>
      <c r="R923" s="4" t="str">
        <f>IF(Student­­Performance[[#This Row],[Reading Score]]&gt;=50,"Pass","Fail")</f>
        <v>Fail</v>
      </c>
      <c r="S923" s="4" t="str">
        <f>IF(Student­­Performance[[#This Row],[Writing Score]]&gt;=50,"Pass","Fail")</f>
        <v>Pass</v>
      </c>
      <c r="T92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138</v>
      </c>
      <c r="U923" s="4" cm="1">
        <f t="array" ref="U923">IF(COUNT(F923:H923)=0,"", MAX(IF(ISNUMBER(F923:H923),F923:H923)) - MIN(IF(ISNUMBER(F923:H923),F923:H923)))</f>
        <v>10</v>
      </c>
      <c r="V923" s="4" t="str">
        <f>IF(U923="","",IF(U923&gt;25,"Outlier","Normal"))</f>
        <v>Normal</v>
      </c>
    </row>
    <row r="924" spans="1:22" x14ac:dyDescent="0.3">
      <c r="A924" s="1" t="s">
        <v>17</v>
      </c>
      <c r="B924" s="1" t="s">
        <v>26</v>
      </c>
      <c r="C924" s="1" t="s">
        <v>86</v>
      </c>
      <c r="D924" s="1" t="s">
        <v>11</v>
      </c>
      <c r="E924" s="1" t="s">
        <v>12</v>
      </c>
      <c r="F924" s="4">
        <v>53</v>
      </c>
      <c r="G924" s="4">
        <v>45</v>
      </c>
      <c r="H924" s="4">
        <v>40</v>
      </c>
      <c r="I924" s="4">
        <f>AVERAGE(Student­­Performance[[#This Row],[Math Score]],Student­­Performance[[#This Row],[Reading Score]],Student­­Performance[[#This Row],[Writing Score]])</f>
        <v>46</v>
      </c>
      <c r="J924" s="10" t="str">
        <f>IF(Student­­Performance[[#This Row],[Average Score]]&gt;=50,"Pass","Fail")</f>
        <v>Fail</v>
      </c>
      <c r="K92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-8</v>
      </c>
      <c r="L92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92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-13</v>
      </c>
      <c r="N924" s="4">
        <f>IF(ISNUMBER(Student­­Performance[[#This Row],[Math Score]]),Student­­Performance[[#This Row],[Math Score]],0)</f>
        <v>53</v>
      </c>
      <c r="O924" s="4">
        <f>IF(ISNUMBER(Student­­Performance[[#This Row],[Reading Score]]),Student­­Performance[[#This Row],[Reading Score]],0)</f>
        <v>45</v>
      </c>
      <c r="P924" s="4">
        <f>IF(ISNUMBER(Student­­Performance[[#This Row],[Writing Score]]),Student­­Performance[[#This Row],[Writing Score]],0)</f>
        <v>40</v>
      </c>
      <c r="Q924" s="4" t="str">
        <f>IF(Student­­Performance[[#This Row],[Math Score]]&gt;=50,"Pass","Fail")</f>
        <v>Pass</v>
      </c>
      <c r="R924" s="4" t="str">
        <f>IF(Student­­Performance[[#This Row],[Reading Score]]&gt;=50,"Pass","Fail")</f>
        <v>Fail</v>
      </c>
      <c r="S924" s="4" t="str">
        <f>IF(Student­­Performance[[#This Row],[Writing Score]]&gt;=50,"Pass","Fail")</f>
        <v>Fail</v>
      </c>
      <c r="T92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138</v>
      </c>
      <c r="U924" s="4" cm="1">
        <f t="array" ref="U924">IF(COUNT(F924:H924)=0,"", MAX(IF(ISNUMBER(F924:H924),F924:H924)) - MIN(IF(ISNUMBER(F924:H924),F924:H924)))</f>
        <v>13</v>
      </c>
      <c r="V924" s="4" t="str">
        <f>IF(U924="","",IF(U924&gt;25,"Outlier","Normal"))</f>
        <v>Normal</v>
      </c>
    </row>
    <row r="925" spans="1:22" x14ac:dyDescent="0.3">
      <c r="A925" s="1" t="s">
        <v>8</v>
      </c>
      <c r="B925" s="1" t="s">
        <v>21</v>
      </c>
      <c r="C925" s="1" t="s">
        <v>87</v>
      </c>
      <c r="D925" s="1" t="s">
        <v>20</v>
      </c>
      <c r="E925" s="1" t="s">
        <v>12</v>
      </c>
      <c r="F925" s="4">
        <v>39</v>
      </c>
      <c r="G925" s="4">
        <v>52</v>
      </c>
      <c r="H925" s="4">
        <v>46</v>
      </c>
      <c r="I925" s="4">
        <f>AVERAGE(Student­­Performance[[#This Row],[Math Score]],Student­­Performance[[#This Row],[Reading Score]],Student­­Performance[[#This Row],[Writing Score]])</f>
        <v>45.666666666666664</v>
      </c>
      <c r="J925" s="10" t="str">
        <f>IF(Student­­Performance[[#This Row],[Average Score]]&gt;=50,"Pass","Fail")</f>
        <v>Fail</v>
      </c>
      <c r="K92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13</v>
      </c>
      <c r="L92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92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925" s="4">
        <f>IF(ISNUMBER(Student­­Performance[[#This Row],[Math Score]]),Student­­Performance[[#This Row],[Math Score]],0)</f>
        <v>39</v>
      </c>
      <c r="O925" s="4">
        <f>IF(ISNUMBER(Student­­Performance[[#This Row],[Reading Score]]),Student­­Performance[[#This Row],[Reading Score]],0)</f>
        <v>52</v>
      </c>
      <c r="P925" s="4">
        <f>IF(ISNUMBER(Student­­Performance[[#This Row],[Writing Score]]),Student­­Performance[[#This Row],[Writing Score]],0)</f>
        <v>46</v>
      </c>
      <c r="Q925" s="4" t="str">
        <f>IF(Student­­Performance[[#This Row],[Math Score]]&gt;=50,"Pass","Fail")</f>
        <v>Fail</v>
      </c>
      <c r="R925" s="4" t="str">
        <f>IF(Student­­Performance[[#This Row],[Reading Score]]&gt;=50,"Pass","Fail")</f>
        <v>Pass</v>
      </c>
      <c r="S925" s="4" t="str">
        <f>IF(Student­­Performance[[#This Row],[Writing Score]]&gt;=50,"Pass","Fail")</f>
        <v>Fail</v>
      </c>
      <c r="T92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137</v>
      </c>
      <c r="U925" s="4" cm="1">
        <f t="array" ref="U925">IF(COUNT(F925:H925)=0,"", MAX(IF(ISNUMBER(F925:H925),F925:H925)) - MIN(IF(ISNUMBER(F925:H925),F925:H925)))</f>
        <v>13</v>
      </c>
      <c r="V925" s="4" t="str">
        <f>IF(U925="","",IF(U925&gt;25,"Outlier","Normal"))</f>
        <v>Normal</v>
      </c>
    </row>
    <row r="926" spans="1:22" x14ac:dyDescent="0.3">
      <c r="A926" s="1" t="s">
        <v>8</v>
      </c>
      <c r="B926" s="1" t="s">
        <v>9</v>
      </c>
      <c r="C926" s="1" t="s">
        <v>88</v>
      </c>
      <c r="D926" s="1" t="s">
        <v>11</v>
      </c>
      <c r="E926" s="1" t="s">
        <v>12</v>
      </c>
      <c r="F926" s="4" t="s">
        <v>90</v>
      </c>
      <c r="G926" s="4">
        <v>64</v>
      </c>
      <c r="H926" s="4">
        <v>72</v>
      </c>
      <c r="I926" s="4">
        <f>AVERAGE(Student­­Performance[[#This Row],[Math Score]],Student­­Performance[[#This Row],[Reading Score]],Student­­Performance[[#This Row],[Writing Score]])</f>
        <v>68</v>
      </c>
      <c r="J926" s="10" t="str">
        <f>IF(Student­­Performance[[#This Row],[Average Score]]&gt;=50,"Pass","Fail")</f>
        <v>Pass</v>
      </c>
      <c r="K926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92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8</v>
      </c>
      <c r="M926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26" s="4">
        <f>IF(ISNUMBER(Student­­Performance[[#This Row],[Math Score]]),Student­­Performance[[#This Row],[Math Score]],0)</f>
        <v>0</v>
      </c>
      <c r="O926" s="4">
        <f>IF(ISNUMBER(Student­­Performance[[#This Row],[Reading Score]]),Student­­Performance[[#This Row],[Reading Score]],0)</f>
        <v>64</v>
      </c>
      <c r="P926" s="4">
        <f>IF(ISNUMBER(Student­­Performance[[#This Row],[Writing Score]]),Student­­Performance[[#This Row],[Writing Score]],0)</f>
        <v>72</v>
      </c>
      <c r="Q926" s="4" t="str">
        <f>IF(Student­­Performance[[#This Row],[Math Score]]&gt;=50,"Pass","Fail")</f>
        <v>Pass</v>
      </c>
      <c r="R926" s="4" t="str">
        <f>IF(Student­­Performance[[#This Row],[Reading Score]]&gt;=50,"Pass","Fail")</f>
        <v>Pass</v>
      </c>
      <c r="S926" s="4" t="str">
        <f>IF(Student­­Performance[[#This Row],[Writing Score]]&gt;=50,"Pass","Fail")</f>
        <v>Pass</v>
      </c>
      <c r="T92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136</v>
      </c>
      <c r="U926" s="4" cm="1">
        <f t="array" ref="U926">IF(COUNT(F926:H926)=0,"", MAX(IF(ISNUMBER(F926:H926),F926:H926)) - MIN(IF(ISNUMBER(F926:H926),F926:H926)))</f>
        <v>8</v>
      </c>
      <c r="V926" s="4" t="str">
        <f>IF(U926="","",IF(U926&gt;25,"Outlier","Normal"))</f>
        <v>Normal</v>
      </c>
    </row>
    <row r="927" spans="1:22" x14ac:dyDescent="0.3">
      <c r="A927" s="1" t="s">
        <v>17</v>
      </c>
      <c r="B927" s="1" t="s">
        <v>13</v>
      </c>
      <c r="C927" s="1" t="s">
        <v>87</v>
      </c>
      <c r="D927" s="1" t="s">
        <v>20</v>
      </c>
      <c r="E927" s="1" t="s">
        <v>15</v>
      </c>
      <c r="F927" s="4">
        <v>40</v>
      </c>
      <c r="G927" s="4">
        <v>46</v>
      </c>
      <c r="H927" s="4">
        <v>50</v>
      </c>
      <c r="I927" s="4">
        <f>AVERAGE(Student­­Performance[[#This Row],[Math Score]],Student­­Performance[[#This Row],[Reading Score]],Student­­Performance[[#This Row],[Writing Score]])</f>
        <v>45.333333333333336</v>
      </c>
      <c r="J927" s="10" t="str">
        <f>IF(Student­­Performance[[#This Row],[Average Score]]&gt;=50,"Pass","Fail")</f>
        <v>Fail</v>
      </c>
      <c r="K92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6</v>
      </c>
      <c r="L92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92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927" s="4">
        <f>IF(ISNUMBER(Student­­Performance[[#This Row],[Math Score]]),Student­­Performance[[#This Row],[Math Score]],0)</f>
        <v>40</v>
      </c>
      <c r="O927" s="4">
        <f>IF(ISNUMBER(Student­­Performance[[#This Row],[Reading Score]]),Student­­Performance[[#This Row],[Reading Score]],0)</f>
        <v>46</v>
      </c>
      <c r="P927" s="4">
        <f>IF(ISNUMBER(Student­­Performance[[#This Row],[Writing Score]]),Student­­Performance[[#This Row],[Writing Score]],0)</f>
        <v>50</v>
      </c>
      <c r="Q927" s="4" t="str">
        <f>IF(Student­­Performance[[#This Row],[Math Score]]&gt;=50,"Pass","Fail")</f>
        <v>Fail</v>
      </c>
      <c r="R927" s="4" t="str">
        <f>IF(Student­­Performance[[#This Row],[Reading Score]]&gt;=50,"Pass","Fail")</f>
        <v>Fail</v>
      </c>
      <c r="S927" s="4" t="str">
        <f>IF(Student­­Performance[[#This Row],[Writing Score]]&gt;=50,"Pass","Fail")</f>
        <v>Pass</v>
      </c>
      <c r="T92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136</v>
      </c>
      <c r="U927" s="4" cm="1">
        <f t="array" ref="U927">IF(COUNT(F927:H927)=0,"", MAX(IF(ISNUMBER(F927:H927),F927:H927)) - MIN(IF(ISNUMBER(F927:H927),F927:H927)))</f>
        <v>10</v>
      </c>
      <c r="V927" s="4" t="str">
        <f>IF(U927="","",IF(U927&gt;25,"Outlier","Normal"))</f>
        <v>Normal</v>
      </c>
    </row>
    <row r="928" spans="1:22" x14ac:dyDescent="0.3">
      <c r="A928" s="1" t="s">
        <v>17</v>
      </c>
      <c r="B928" s="1" t="s">
        <v>9</v>
      </c>
      <c r="C928" s="1" t="s">
        <v>86</v>
      </c>
      <c r="D928" s="1" t="s">
        <v>11</v>
      </c>
      <c r="E928" s="1" t="s">
        <v>12</v>
      </c>
      <c r="F928" s="4">
        <v>48</v>
      </c>
      <c r="G928" s="4">
        <v>43</v>
      </c>
      <c r="H928" s="4">
        <v>45</v>
      </c>
      <c r="I928" s="4">
        <f>AVERAGE(Student­­Performance[[#This Row],[Math Score]],Student­­Performance[[#This Row],[Reading Score]],Student­­Performance[[#This Row],[Writing Score]])</f>
        <v>45.333333333333336</v>
      </c>
      <c r="J928" s="10" t="str">
        <f>IF(Student­­Performance[[#This Row],[Average Score]]&gt;=50,"Pass","Fail")</f>
        <v>Fail</v>
      </c>
      <c r="K92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92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92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928" s="4">
        <f>IF(ISNUMBER(Student­­Performance[[#This Row],[Math Score]]),Student­­Performance[[#This Row],[Math Score]],0)</f>
        <v>48</v>
      </c>
      <c r="O928" s="4">
        <f>IF(ISNUMBER(Student­­Performance[[#This Row],[Reading Score]]),Student­­Performance[[#This Row],[Reading Score]],0)</f>
        <v>43</v>
      </c>
      <c r="P928" s="4">
        <f>IF(ISNUMBER(Student­­Performance[[#This Row],[Writing Score]]),Student­­Performance[[#This Row],[Writing Score]],0)</f>
        <v>45</v>
      </c>
      <c r="Q928" s="4" t="str">
        <f>IF(Student­­Performance[[#This Row],[Math Score]]&gt;=50,"Pass","Fail")</f>
        <v>Fail</v>
      </c>
      <c r="R928" s="4" t="str">
        <f>IF(Student­­Performance[[#This Row],[Reading Score]]&gt;=50,"Pass","Fail")</f>
        <v>Fail</v>
      </c>
      <c r="S928" s="4" t="str">
        <f>IF(Student­­Performance[[#This Row],[Writing Score]]&gt;=50,"Pass","Fail")</f>
        <v>Fail</v>
      </c>
      <c r="T92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136</v>
      </c>
      <c r="U928" s="4" cm="1">
        <f t="array" ref="U928">IF(COUNT(F928:H928)=0,"", MAX(IF(ISNUMBER(F928:H928),F928:H928)) - MIN(IF(ISNUMBER(F928:H928),F928:H928)))</f>
        <v>5</v>
      </c>
      <c r="V928" s="4" t="str">
        <f>IF(U928="","",IF(U928&gt;25,"Outlier","Normal"))</f>
        <v>Normal</v>
      </c>
    </row>
    <row r="929" spans="1:22" x14ac:dyDescent="0.3">
      <c r="A929" s="1" t="s">
        <v>17</v>
      </c>
      <c r="B929" s="1" t="s">
        <v>21</v>
      </c>
      <c r="C929" s="1" t="s">
        <v>86</v>
      </c>
      <c r="D929" s="1" t="s">
        <v>11</v>
      </c>
      <c r="E929" s="1" t="s">
        <v>12</v>
      </c>
      <c r="F929" s="4">
        <v>40</v>
      </c>
      <c r="G929" s="4">
        <v>52</v>
      </c>
      <c r="H929" s="4">
        <v>43</v>
      </c>
      <c r="I929" s="4">
        <f>AVERAGE(Student­­Performance[[#This Row],[Math Score]],Student­­Performance[[#This Row],[Reading Score]],Student­­Performance[[#This Row],[Writing Score]])</f>
        <v>45</v>
      </c>
      <c r="J929" s="10" t="str">
        <f>IF(Student­­Performance[[#This Row],[Average Score]]&gt;=50,"Pass","Fail")</f>
        <v>Fail</v>
      </c>
      <c r="K92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92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-9</v>
      </c>
      <c r="M92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929" s="4">
        <f>IF(ISNUMBER(Student­­Performance[[#This Row],[Math Score]]),Student­­Performance[[#This Row],[Math Score]],0)</f>
        <v>40</v>
      </c>
      <c r="O929" s="4">
        <f>IF(ISNUMBER(Student­­Performance[[#This Row],[Reading Score]]),Student­­Performance[[#This Row],[Reading Score]],0)</f>
        <v>52</v>
      </c>
      <c r="P929" s="4">
        <f>IF(ISNUMBER(Student­­Performance[[#This Row],[Writing Score]]),Student­­Performance[[#This Row],[Writing Score]],0)</f>
        <v>43</v>
      </c>
      <c r="Q929" s="4" t="str">
        <f>IF(Student­­Performance[[#This Row],[Math Score]]&gt;=50,"Pass","Fail")</f>
        <v>Fail</v>
      </c>
      <c r="R929" s="4" t="str">
        <f>IF(Student­­Performance[[#This Row],[Reading Score]]&gt;=50,"Pass","Fail")</f>
        <v>Pass</v>
      </c>
      <c r="S929" s="4" t="str">
        <f>IF(Student­­Performance[[#This Row],[Writing Score]]&gt;=50,"Pass","Fail")</f>
        <v>Fail</v>
      </c>
      <c r="T92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135</v>
      </c>
      <c r="U929" s="4" cm="1">
        <f t="array" ref="U929">IF(COUNT(F929:H929)=0,"", MAX(IF(ISNUMBER(F929:H929),F929:H929)) - MIN(IF(ISNUMBER(F929:H929),F929:H929)))</f>
        <v>12</v>
      </c>
      <c r="V929" s="4" t="str">
        <f>IF(U929="","",IF(U929&gt;25,"Outlier","Normal"))</f>
        <v>Normal</v>
      </c>
    </row>
    <row r="930" spans="1:22" x14ac:dyDescent="0.3">
      <c r="A930" s="1" t="s">
        <v>8</v>
      </c>
      <c r="B930" s="1" t="s">
        <v>21</v>
      </c>
      <c r="C930" s="1" t="s">
        <v>84</v>
      </c>
      <c r="D930" s="1" t="s">
        <v>11</v>
      </c>
      <c r="E930" s="1" t="s">
        <v>12</v>
      </c>
      <c r="F930" s="4">
        <v>65</v>
      </c>
      <c r="G930" s="4">
        <v>70</v>
      </c>
      <c r="H930" s="4" t="s">
        <v>90</v>
      </c>
      <c r="I930" s="4">
        <f>AVERAGE(Student­­Performance[[#This Row],[Math Score]],Student­­Performance[[#This Row],[Reading Score]],Student­­Performance[[#This Row],[Writing Score]])</f>
        <v>67.5</v>
      </c>
      <c r="J930" s="10" t="str">
        <f>IF(Student­­Performance[[#This Row],[Average Score]]&gt;=50,"Pass","Fail")</f>
        <v>Pass</v>
      </c>
      <c r="K93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930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930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30" s="4">
        <f>IF(ISNUMBER(Student­­Performance[[#This Row],[Math Score]]),Student­­Performance[[#This Row],[Math Score]],0)</f>
        <v>65</v>
      </c>
      <c r="O930" s="4">
        <f>IF(ISNUMBER(Student­­Performance[[#This Row],[Reading Score]]),Student­­Performance[[#This Row],[Reading Score]],0)</f>
        <v>70</v>
      </c>
      <c r="P930" s="4">
        <f>IF(ISNUMBER(Student­­Performance[[#This Row],[Writing Score]]),Student­­Performance[[#This Row],[Writing Score]],0)</f>
        <v>0</v>
      </c>
      <c r="Q930" s="4" t="str">
        <f>IF(Student­­Performance[[#This Row],[Math Score]]&gt;=50,"Pass","Fail")</f>
        <v>Pass</v>
      </c>
      <c r="R930" s="4" t="str">
        <f>IF(Student­­Performance[[#This Row],[Reading Score]]&gt;=50,"Pass","Fail")</f>
        <v>Pass</v>
      </c>
      <c r="S930" s="4" t="str">
        <f>IF(Student­­Performance[[#This Row],[Writing Score]]&gt;=50,"Pass","Fail")</f>
        <v>Pass</v>
      </c>
      <c r="T93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135</v>
      </c>
      <c r="U930" s="4" cm="1">
        <f t="array" ref="U930">IF(COUNT(F930:H930)=0,"", MAX(IF(ISNUMBER(F930:H930),F930:H930)) - MIN(IF(ISNUMBER(F930:H930),F930:H930)))</f>
        <v>5</v>
      </c>
      <c r="V930" s="4" t="str">
        <f>IF(U930="","",IF(U930&gt;25,"Outlier","Normal"))</f>
        <v>Normal</v>
      </c>
    </row>
    <row r="931" spans="1:22" x14ac:dyDescent="0.3">
      <c r="A931" s="1" t="s">
        <v>17</v>
      </c>
      <c r="B931" s="1" t="s">
        <v>9</v>
      </c>
      <c r="C931" s="1" t="s">
        <v>87</v>
      </c>
      <c r="D931" s="1" t="s">
        <v>11</v>
      </c>
      <c r="E931" s="1" t="s">
        <v>12</v>
      </c>
      <c r="F931" s="4">
        <v>47</v>
      </c>
      <c r="G931" s="4">
        <v>46</v>
      </c>
      <c r="H931" s="4">
        <v>42</v>
      </c>
      <c r="I931" s="4">
        <f>AVERAGE(Student­­Performance[[#This Row],[Math Score]],Student­­Performance[[#This Row],[Reading Score]],Student­­Performance[[#This Row],[Writing Score]])</f>
        <v>45</v>
      </c>
      <c r="J931" s="10" t="str">
        <f>IF(Student­­Performance[[#This Row],[Average Score]]&gt;=50,"Pass","Fail")</f>
        <v>Fail</v>
      </c>
      <c r="K93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93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93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-5</v>
      </c>
      <c r="N931" s="4">
        <f>IF(ISNUMBER(Student­­Performance[[#This Row],[Math Score]]),Student­­Performance[[#This Row],[Math Score]],0)</f>
        <v>47</v>
      </c>
      <c r="O931" s="4">
        <f>IF(ISNUMBER(Student­­Performance[[#This Row],[Reading Score]]),Student­­Performance[[#This Row],[Reading Score]],0)</f>
        <v>46</v>
      </c>
      <c r="P931" s="4">
        <f>IF(ISNUMBER(Student­­Performance[[#This Row],[Writing Score]]),Student­­Performance[[#This Row],[Writing Score]],0)</f>
        <v>42</v>
      </c>
      <c r="Q931" s="4" t="str">
        <f>IF(Student­­Performance[[#This Row],[Math Score]]&gt;=50,"Pass","Fail")</f>
        <v>Fail</v>
      </c>
      <c r="R931" s="4" t="str">
        <f>IF(Student­­Performance[[#This Row],[Reading Score]]&gt;=50,"Pass","Fail")</f>
        <v>Fail</v>
      </c>
      <c r="S931" s="4" t="str">
        <f>IF(Student­­Performance[[#This Row],[Writing Score]]&gt;=50,"Pass","Fail")</f>
        <v>Fail</v>
      </c>
      <c r="T93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135</v>
      </c>
      <c r="U931" s="4" cm="1">
        <f t="array" ref="U931">IF(COUNT(F931:H931)=0,"", MAX(IF(ISNUMBER(F931:H931),F931:H931)) - MIN(IF(ISNUMBER(F931:H931),F931:H931)))</f>
        <v>5</v>
      </c>
      <c r="V931" s="4" t="str">
        <f>IF(U931="","",IF(U931&gt;25,"Outlier","Normal"))</f>
        <v>Normal</v>
      </c>
    </row>
    <row r="932" spans="1:22" x14ac:dyDescent="0.3">
      <c r="A932" s="1" t="s">
        <v>17</v>
      </c>
      <c r="B932" s="1" t="s">
        <v>13</v>
      </c>
      <c r="C932" s="1" t="s">
        <v>85</v>
      </c>
      <c r="D932" s="1" t="s">
        <v>20</v>
      </c>
      <c r="E932" s="1" t="s">
        <v>15</v>
      </c>
      <c r="F932" s="4">
        <v>46</v>
      </c>
      <c r="G932" s="4">
        <v>42</v>
      </c>
      <c r="H932" s="4">
        <v>46</v>
      </c>
      <c r="I932" s="4">
        <f>AVERAGE(Student­­Performance[[#This Row],[Math Score]],Student­­Performance[[#This Row],[Reading Score]],Student­­Performance[[#This Row],[Writing Score]])</f>
        <v>44.666666666666664</v>
      </c>
      <c r="J932" s="10" t="str">
        <f>IF(Student­­Performance[[#This Row],[Average Score]]&gt;=50,"Pass","Fail")</f>
        <v>Fail</v>
      </c>
      <c r="K93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93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93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0</v>
      </c>
      <c r="N932" s="4">
        <f>IF(ISNUMBER(Student­­Performance[[#This Row],[Math Score]]),Student­­Performance[[#This Row],[Math Score]],0)</f>
        <v>46</v>
      </c>
      <c r="O932" s="4">
        <f>IF(ISNUMBER(Student­­Performance[[#This Row],[Reading Score]]),Student­­Performance[[#This Row],[Reading Score]],0)</f>
        <v>42</v>
      </c>
      <c r="P932" s="4">
        <f>IF(ISNUMBER(Student­­Performance[[#This Row],[Writing Score]]),Student­­Performance[[#This Row],[Writing Score]],0)</f>
        <v>46</v>
      </c>
      <c r="Q932" s="4" t="str">
        <f>IF(Student­­Performance[[#This Row],[Math Score]]&gt;=50,"Pass","Fail")</f>
        <v>Fail</v>
      </c>
      <c r="R932" s="4" t="str">
        <f>IF(Student­­Performance[[#This Row],[Reading Score]]&gt;=50,"Pass","Fail")</f>
        <v>Fail</v>
      </c>
      <c r="S932" s="4" t="str">
        <f>IF(Student­­Performance[[#This Row],[Writing Score]]&gt;=50,"Pass","Fail")</f>
        <v>Fail</v>
      </c>
      <c r="T93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134</v>
      </c>
      <c r="U932" s="4" cm="1">
        <f t="array" ref="U932">IF(COUNT(F932:H932)=0,"", MAX(IF(ISNUMBER(F932:H932),F932:H932)) - MIN(IF(ISNUMBER(F932:H932),F932:H932)))</f>
        <v>4</v>
      </c>
      <c r="V932" s="4" t="str">
        <f>IF(U932="","",IF(U932&gt;25,"Outlier","Normal"))</f>
        <v>Normal</v>
      </c>
    </row>
    <row r="933" spans="1:22" x14ac:dyDescent="0.3">
      <c r="A933" s="1" t="s">
        <v>17</v>
      </c>
      <c r="B933" s="1" t="s">
        <v>18</v>
      </c>
      <c r="C933" s="1" t="s">
        <v>87</v>
      </c>
      <c r="D933" s="1" t="s">
        <v>20</v>
      </c>
      <c r="E933" s="1" t="s">
        <v>12</v>
      </c>
      <c r="F933" s="4">
        <v>48</v>
      </c>
      <c r="G933" s="4">
        <v>45</v>
      </c>
      <c r="H933" s="4">
        <v>41</v>
      </c>
      <c r="I933" s="4">
        <f>AVERAGE(Student­­Performance[[#This Row],[Math Score]],Student­­Performance[[#This Row],[Reading Score]],Student­­Performance[[#This Row],[Writing Score]])</f>
        <v>44.666666666666664</v>
      </c>
      <c r="J933" s="10" t="str">
        <f>IF(Student­­Performance[[#This Row],[Average Score]]&gt;=50,"Pass","Fail")</f>
        <v>Fail</v>
      </c>
      <c r="K93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93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93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933" s="4">
        <f>IF(ISNUMBER(Student­­Performance[[#This Row],[Math Score]]),Student­­Performance[[#This Row],[Math Score]],0)</f>
        <v>48</v>
      </c>
      <c r="O933" s="4">
        <f>IF(ISNUMBER(Student­­Performance[[#This Row],[Reading Score]]),Student­­Performance[[#This Row],[Reading Score]],0)</f>
        <v>45</v>
      </c>
      <c r="P933" s="4">
        <f>IF(ISNUMBER(Student­­Performance[[#This Row],[Writing Score]]),Student­­Performance[[#This Row],[Writing Score]],0)</f>
        <v>41</v>
      </c>
      <c r="Q933" s="4" t="str">
        <f>IF(Student­­Performance[[#This Row],[Math Score]]&gt;=50,"Pass","Fail")</f>
        <v>Fail</v>
      </c>
      <c r="R933" s="4" t="str">
        <f>IF(Student­­Performance[[#This Row],[Reading Score]]&gt;=50,"Pass","Fail")</f>
        <v>Fail</v>
      </c>
      <c r="S933" s="4" t="str">
        <f>IF(Student­­Performance[[#This Row],[Writing Score]]&gt;=50,"Pass","Fail")</f>
        <v>Fail</v>
      </c>
      <c r="T93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134</v>
      </c>
      <c r="U933" s="4" cm="1">
        <f t="array" ref="U933">IF(COUNT(F933:H933)=0,"", MAX(IF(ISNUMBER(F933:H933),F933:H933)) - MIN(IF(ISNUMBER(F933:H933),F933:H933)))</f>
        <v>7</v>
      </c>
      <c r="V933" s="4" t="str">
        <f>IF(U933="","",IF(U933&gt;25,"Outlier","Normal"))</f>
        <v>Normal</v>
      </c>
    </row>
    <row r="934" spans="1:22" x14ac:dyDescent="0.3">
      <c r="A934" s="1" t="s">
        <v>8</v>
      </c>
      <c r="B934" s="1" t="s">
        <v>13</v>
      </c>
      <c r="C934" s="1" t="s">
        <v>87</v>
      </c>
      <c r="D934" s="1" t="s">
        <v>20</v>
      </c>
      <c r="E934" s="1" t="s">
        <v>12</v>
      </c>
      <c r="F934" s="4">
        <v>35</v>
      </c>
      <c r="G934" s="4">
        <v>53</v>
      </c>
      <c r="H934" s="4">
        <v>46</v>
      </c>
      <c r="I934" s="4">
        <f>AVERAGE(Student­­Performance[[#This Row],[Math Score]],Student­­Performance[[#This Row],[Reading Score]],Student­­Performance[[#This Row],[Writing Score]])</f>
        <v>44.666666666666664</v>
      </c>
      <c r="J934" s="10" t="str">
        <f>IF(Student­­Performance[[#This Row],[Average Score]]&gt;=50,"Pass","Fail")</f>
        <v>Fail</v>
      </c>
      <c r="K93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18</v>
      </c>
      <c r="L93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93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934" s="4">
        <f>IF(ISNUMBER(Student­­Performance[[#This Row],[Math Score]]),Student­­Performance[[#This Row],[Math Score]],0)</f>
        <v>35</v>
      </c>
      <c r="O934" s="4">
        <f>IF(ISNUMBER(Student­­Performance[[#This Row],[Reading Score]]),Student­­Performance[[#This Row],[Reading Score]],0)</f>
        <v>53</v>
      </c>
      <c r="P934" s="4">
        <f>IF(ISNUMBER(Student­­Performance[[#This Row],[Writing Score]]),Student­­Performance[[#This Row],[Writing Score]],0)</f>
        <v>46</v>
      </c>
      <c r="Q934" s="4" t="str">
        <f>IF(Student­­Performance[[#This Row],[Math Score]]&gt;=50,"Pass","Fail")</f>
        <v>Fail</v>
      </c>
      <c r="R934" s="4" t="str">
        <f>IF(Student­­Performance[[#This Row],[Reading Score]]&gt;=50,"Pass","Fail")</f>
        <v>Pass</v>
      </c>
      <c r="S934" s="4" t="str">
        <f>IF(Student­­Performance[[#This Row],[Writing Score]]&gt;=50,"Pass","Fail")</f>
        <v>Fail</v>
      </c>
      <c r="T93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134</v>
      </c>
      <c r="U934" s="4" cm="1">
        <f t="array" ref="U934">IF(COUNT(F934:H934)=0,"", MAX(IF(ISNUMBER(F934:H934),F934:H934)) - MIN(IF(ISNUMBER(F934:H934),F934:H934)))</f>
        <v>18</v>
      </c>
      <c r="V934" s="4" t="str">
        <f>IF(U934="","",IF(U934&gt;25,"Outlier","Normal"))</f>
        <v>Normal</v>
      </c>
    </row>
    <row r="935" spans="1:22" x14ac:dyDescent="0.3">
      <c r="A935" s="1" t="s">
        <v>8</v>
      </c>
      <c r="B935" s="1" t="s">
        <v>18</v>
      </c>
      <c r="C935" s="1" t="s">
        <v>88</v>
      </c>
      <c r="D935" s="1" t="s">
        <v>20</v>
      </c>
      <c r="E935" s="1" t="s">
        <v>12</v>
      </c>
      <c r="F935" s="4">
        <v>44</v>
      </c>
      <c r="G935" s="4">
        <v>45</v>
      </c>
      <c r="H935" s="4">
        <v>45</v>
      </c>
      <c r="I935" s="4">
        <f>AVERAGE(Student­­Performance[[#This Row],[Math Score]],Student­­Performance[[#This Row],[Reading Score]],Student­­Performance[[#This Row],[Writing Score]])</f>
        <v>44.666666666666664</v>
      </c>
      <c r="J935" s="10" t="str">
        <f>IF(Student­­Performance[[#This Row],[Average Score]]&gt;=50,"Pass","Fail")</f>
        <v>Fail</v>
      </c>
      <c r="K93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</v>
      </c>
      <c r="L93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93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935" s="4">
        <f>IF(ISNUMBER(Student­­Performance[[#This Row],[Math Score]]),Student­­Performance[[#This Row],[Math Score]],0)</f>
        <v>44</v>
      </c>
      <c r="O935" s="4">
        <f>IF(ISNUMBER(Student­­Performance[[#This Row],[Reading Score]]),Student­­Performance[[#This Row],[Reading Score]],0)</f>
        <v>45</v>
      </c>
      <c r="P935" s="4">
        <f>IF(ISNUMBER(Student­­Performance[[#This Row],[Writing Score]]),Student­­Performance[[#This Row],[Writing Score]],0)</f>
        <v>45</v>
      </c>
      <c r="Q935" s="4" t="str">
        <f>IF(Student­­Performance[[#This Row],[Math Score]]&gt;=50,"Pass","Fail")</f>
        <v>Fail</v>
      </c>
      <c r="R935" s="4" t="str">
        <f>IF(Student­­Performance[[#This Row],[Reading Score]]&gt;=50,"Pass","Fail")</f>
        <v>Fail</v>
      </c>
      <c r="S935" s="4" t="str">
        <f>IF(Student­­Performance[[#This Row],[Writing Score]]&gt;=50,"Pass","Fail")</f>
        <v>Fail</v>
      </c>
      <c r="T93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134</v>
      </c>
      <c r="U935" s="4" cm="1">
        <f t="array" ref="U935">IF(COUNT(F935:H935)=0,"", MAX(IF(ISNUMBER(F935:H935),F935:H935)) - MIN(IF(ISNUMBER(F935:H935),F935:H935)))</f>
        <v>1</v>
      </c>
      <c r="V935" s="4" t="str">
        <f>IF(U935="","",IF(U935&gt;25,"Outlier","Normal"))</f>
        <v>Normal</v>
      </c>
    </row>
    <row r="936" spans="1:22" x14ac:dyDescent="0.3">
      <c r="A936" s="1" t="s">
        <v>8</v>
      </c>
      <c r="B936" s="1" t="s">
        <v>9</v>
      </c>
      <c r="C936" s="1" t="s">
        <v>83</v>
      </c>
      <c r="D936" s="1" t="s">
        <v>11</v>
      </c>
      <c r="E936" s="1" t="s">
        <v>12</v>
      </c>
      <c r="F936" s="4">
        <v>61</v>
      </c>
      <c r="G936" s="4">
        <v>72</v>
      </c>
      <c r="H936" s="4" t="s">
        <v>90</v>
      </c>
      <c r="I936" s="4">
        <f>AVERAGE(Student­­Performance[[#This Row],[Math Score]],Student­­Performance[[#This Row],[Reading Score]],Student­­Performance[[#This Row],[Writing Score]])</f>
        <v>66.5</v>
      </c>
      <c r="J936" s="10" t="str">
        <f>IF(Student­­Performance[[#This Row],[Average Score]]&gt;=50,"Pass","Fail")</f>
        <v>Pass</v>
      </c>
      <c r="K93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936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936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36" s="4">
        <f>IF(ISNUMBER(Student­­Performance[[#This Row],[Math Score]]),Student­­Performance[[#This Row],[Math Score]],0)</f>
        <v>61</v>
      </c>
      <c r="O936" s="4">
        <f>IF(ISNUMBER(Student­­Performance[[#This Row],[Reading Score]]),Student­­Performance[[#This Row],[Reading Score]],0)</f>
        <v>72</v>
      </c>
      <c r="P936" s="4">
        <f>IF(ISNUMBER(Student­­Performance[[#This Row],[Writing Score]]),Student­­Performance[[#This Row],[Writing Score]],0)</f>
        <v>0</v>
      </c>
      <c r="Q936" s="4" t="str">
        <f>IF(Student­­Performance[[#This Row],[Math Score]]&gt;=50,"Pass","Fail")</f>
        <v>Pass</v>
      </c>
      <c r="R936" s="4" t="str">
        <f>IF(Student­­Performance[[#This Row],[Reading Score]]&gt;=50,"Pass","Fail")</f>
        <v>Pass</v>
      </c>
      <c r="S936" s="4" t="str">
        <f>IF(Student­­Performance[[#This Row],[Writing Score]]&gt;=50,"Pass","Fail")</f>
        <v>Pass</v>
      </c>
      <c r="T93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133</v>
      </c>
      <c r="U936" s="4" cm="1">
        <f t="array" ref="U936">IF(COUNT(F936:H936)=0,"", MAX(IF(ISNUMBER(F936:H936),F936:H936)) - MIN(IF(ISNUMBER(F936:H936),F936:H936)))</f>
        <v>11</v>
      </c>
      <c r="V936" s="4" t="str">
        <f>IF(U936="","",IF(U936&gt;25,"Outlier","Normal"))</f>
        <v>Normal</v>
      </c>
    </row>
    <row r="937" spans="1:22" x14ac:dyDescent="0.3">
      <c r="A937" s="1" t="s">
        <v>17</v>
      </c>
      <c r="B937" s="1" t="s">
        <v>26</v>
      </c>
      <c r="C937" s="1" t="s">
        <v>86</v>
      </c>
      <c r="D937" s="1" t="s">
        <v>20</v>
      </c>
      <c r="E937" s="1" t="s">
        <v>15</v>
      </c>
      <c r="F937" s="4">
        <v>46</v>
      </c>
      <c r="G937" s="4">
        <v>43</v>
      </c>
      <c r="H937" s="4">
        <v>44</v>
      </c>
      <c r="I937" s="4">
        <f>AVERAGE(Student­­Performance[[#This Row],[Math Score]],Student­­Performance[[#This Row],[Reading Score]],Student­­Performance[[#This Row],[Writing Score]])</f>
        <v>44.333333333333336</v>
      </c>
      <c r="J937" s="10" t="str">
        <f>IF(Student­­Performance[[#This Row],[Average Score]]&gt;=50,"Pass","Fail")</f>
        <v>Fail</v>
      </c>
      <c r="K93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93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93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937" s="4">
        <f>IF(ISNUMBER(Student­­Performance[[#This Row],[Math Score]]),Student­­Performance[[#This Row],[Math Score]],0)</f>
        <v>46</v>
      </c>
      <c r="O937" s="4">
        <f>IF(ISNUMBER(Student­­Performance[[#This Row],[Reading Score]]),Student­­Performance[[#This Row],[Reading Score]],0)</f>
        <v>43</v>
      </c>
      <c r="P937" s="4">
        <f>IF(ISNUMBER(Student­­Performance[[#This Row],[Writing Score]]),Student­­Performance[[#This Row],[Writing Score]],0)</f>
        <v>44</v>
      </c>
      <c r="Q937" s="4" t="str">
        <f>IF(Student­­Performance[[#This Row],[Math Score]]&gt;=50,"Pass","Fail")</f>
        <v>Fail</v>
      </c>
      <c r="R937" s="4" t="str">
        <f>IF(Student­­Performance[[#This Row],[Reading Score]]&gt;=50,"Pass","Fail")</f>
        <v>Fail</v>
      </c>
      <c r="S937" s="4" t="str">
        <f>IF(Student­­Performance[[#This Row],[Writing Score]]&gt;=50,"Pass","Fail")</f>
        <v>Fail</v>
      </c>
      <c r="T93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133</v>
      </c>
      <c r="U937" s="4" cm="1">
        <f t="array" ref="U937">IF(COUNT(F937:H937)=0,"", MAX(IF(ISNUMBER(F937:H937),F937:H937)) - MIN(IF(ISNUMBER(F937:H937),F937:H937)))</f>
        <v>3</v>
      </c>
      <c r="V937" s="4" t="str">
        <f>IF(U937="","",IF(U937&gt;25,"Outlier","Normal"))</f>
        <v>Normal</v>
      </c>
    </row>
    <row r="938" spans="1:22" x14ac:dyDescent="0.3">
      <c r="A938" s="1" t="s">
        <v>8</v>
      </c>
      <c r="B938" s="1" t="s">
        <v>26</v>
      </c>
      <c r="C938" s="1" t="s">
        <v>88</v>
      </c>
      <c r="D938" s="1" t="s">
        <v>20</v>
      </c>
      <c r="E938" s="1" t="s">
        <v>12</v>
      </c>
      <c r="F938" s="4">
        <v>38</v>
      </c>
      <c r="G938" s="4">
        <v>49</v>
      </c>
      <c r="H938" s="4">
        <v>45</v>
      </c>
      <c r="I938" s="4">
        <f>AVERAGE(Student­­Performance[[#This Row],[Math Score]],Student­­Performance[[#This Row],[Reading Score]],Student­­Performance[[#This Row],[Writing Score]])</f>
        <v>44</v>
      </c>
      <c r="J938" s="10" t="str">
        <f>IF(Student­­Performance[[#This Row],[Average Score]]&gt;=50,"Pass","Fail")</f>
        <v>Fail</v>
      </c>
      <c r="K93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93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93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938" s="4">
        <f>IF(ISNUMBER(Student­­Performance[[#This Row],[Math Score]]),Student­­Performance[[#This Row],[Math Score]],0)</f>
        <v>38</v>
      </c>
      <c r="O938" s="4">
        <f>IF(ISNUMBER(Student­­Performance[[#This Row],[Reading Score]]),Student­­Performance[[#This Row],[Reading Score]],0)</f>
        <v>49</v>
      </c>
      <c r="P938" s="4">
        <f>IF(ISNUMBER(Student­­Performance[[#This Row],[Writing Score]]),Student­­Performance[[#This Row],[Writing Score]],0)</f>
        <v>45</v>
      </c>
      <c r="Q938" s="4" t="str">
        <f>IF(Student­­Performance[[#This Row],[Math Score]]&gt;=50,"Pass","Fail")</f>
        <v>Fail</v>
      </c>
      <c r="R938" s="4" t="str">
        <f>IF(Student­­Performance[[#This Row],[Reading Score]]&gt;=50,"Pass","Fail")</f>
        <v>Fail</v>
      </c>
      <c r="S938" s="4" t="str">
        <f>IF(Student­­Performance[[#This Row],[Writing Score]]&gt;=50,"Pass","Fail")</f>
        <v>Fail</v>
      </c>
      <c r="T93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132</v>
      </c>
      <c r="U938" s="4" cm="1">
        <f t="array" ref="U938">IF(COUNT(F938:H938)=0,"", MAX(IF(ISNUMBER(F938:H938),F938:H938)) - MIN(IF(ISNUMBER(F938:H938),F938:H938)))</f>
        <v>11</v>
      </c>
      <c r="V938" s="4" t="str">
        <f>IF(U938="","",IF(U938&gt;25,"Outlier","Normal"))</f>
        <v>Normal</v>
      </c>
    </row>
    <row r="939" spans="1:22" x14ac:dyDescent="0.3">
      <c r="A939" s="1" t="s">
        <v>17</v>
      </c>
      <c r="B939" s="1" t="s">
        <v>21</v>
      </c>
      <c r="C939" s="1" t="s">
        <v>87</v>
      </c>
      <c r="D939" s="1" t="s">
        <v>11</v>
      </c>
      <c r="E939" s="1" t="s">
        <v>15</v>
      </c>
      <c r="F939" s="4">
        <v>68</v>
      </c>
      <c r="G939" s="4">
        <v>64</v>
      </c>
      <c r="H939" s="4" t="s">
        <v>90</v>
      </c>
      <c r="I939" s="4">
        <f>AVERAGE(Student­­Performance[[#This Row],[Math Score]],Student­­Performance[[#This Row],[Reading Score]],Student­­Performance[[#This Row],[Writing Score]])</f>
        <v>66</v>
      </c>
      <c r="J939" s="10" t="str">
        <f>IF(Student­­Performance[[#This Row],[Average Score]]&gt;=50,"Pass","Fail")</f>
        <v>Pass</v>
      </c>
      <c r="K93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939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939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39" s="4">
        <f>IF(ISNUMBER(Student­­Performance[[#This Row],[Math Score]]),Student­­Performance[[#This Row],[Math Score]],0)</f>
        <v>68</v>
      </c>
      <c r="O939" s="4">
        <f>IF(ISNUMBER(Student­­Performance[[#This Row],[Reading Score]]),Student­­Performance[[#This Row],[Reading Score]],0)</f>
        <v>64</v>
      </c>
      <c r="P939" s="4">
        <f>IF(ISNUMBER(Student­­Performance[[#This Row],[Writing Score]]),Student­­Performance[[#This Row],[Writing Score]],0)</f>
        <v>0</v>
      </c>
      <c r="Q939" s="4" t="str">
        <f>IF(Student­­Performance[[#This Row],[Math Score]]&gt;=50,"Pass","Fail")</f>
        <v>Pass</v>
      </c>
      <c r="R939" s="4" t="str">
        <f>IF(Student­­Performance[[#This Row],[Reading Score]]&gt;=50,"Pass","Fail")</f>
        <v>Pass</v>
      </c>
      <c r="S939" s="4" t="str">
        <f>IF(Student­­Performance[[#This Row],[Writing Score]]&gt;=50,"Pass","Fail")</f>
        <v>Pass</v>
      </c>
      <c r="T93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132</v>
      </c>
      <c r="U939" s="4" cm="1">
        <f t="array" ref="U939">IF(COUNT(F939:H939)=0,"", MAX(IF(ISNUMBER(F939:H939),F939:H939)) - MIN(IF(ISNUMBER(F939:H939),F939:H939)))</f>
        <v>4</v>
      </c>
      <c r="V939" s="4" t="str">
        <f>IF(U939="","",IF(U939&gt;25,"Outlier","Normal"))</f>
        <v>Normal</v>
      </c>
    </row>
    <row r="940" spans="1:22" x14ac:dyDescent="0.3">
      <c r="A940" s="1" t="s">
        <v>8</v>
      </c>
      <c r="B940" s="1" t="s">
        <v>13</v>
      </c>
      <c r="C940" s="1" t="s">
        <v>87</v>
      </c>
      <c r="D940" s="1" t="s">
        <v>20</v>
      </c>
      <c r="E940" s="1" t="s">
        <v>12</v>
      </c>
      <c r="F940" s="4">
        <v>36</v>
      </c>
      <c r="G940" s="4">
        <v>53</v>
      </c>
      <c r="H940" s="4">
        <v>43</v>
      </c>
      <c r="I940" s="4">
        <f>AVERAGE(Student­­Performance[[#This Row],[Math Score]],Student­­Performance[[#This Row],[Reading Score]],Student­­Performance[[#This Row],[Writing Score]])</f>
        <v>44</v>
      </c>
      <c r="J940" s="10" t="str">
        <f>IF(Student­­Performance[[#This Row],[Average Score]]&gt;=50,"Pass","Fail")</f>
        <v>Fail</v>
      </c>
      <c r="K94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17</v>
      </c>
      <c r="L94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-10</v>
      </c>
      <c r="M94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940" s="4">
        <f>IF(ISNUMBER(Student­­Performance[[#This Row],[Math Score]]),Student­­Performance[[#This Row],[Math Score]],0)</f>
        <v>36</v>
      </c>
      <c r="O940" s="4">
        <f>IF(ISNUMBER(Student­­Performance[[#This Row],[Reading Score]]),Student­­Performance[[#This Row],[Reading Score]],0)</f>
        <v>53</v>
      </c>
      <c r="P940" s="4">
        <f>IF(ISNUMBER(Student­­Performance[[#This Row],[Writing Score]]),Student­­Performance[[#This Row],[Writing Score]],0)</f>
        <v>43</v>
      </c>
      <c r="Q940" s="4" t="str">
        <f>IF(Student­­Performance[[#This Row],[Math Score]]&gt;=50,"Pass","Fail")</f>
        <v>Fail</v>
      </c>
      <c r="R940" s="4" t="str">
        <f>IF(Student­­Performance[[#This Row],[Reading Score]]&gt;=50,"Pass","Fail")</f>
        <v>Pass</v>
      </c>
      <c r="S940" s="4" t="str">
        <f>IF(Student­­Performance[[#This Row],[Writing Score]]&gt;=50,"Pass","Fail")</f>
        <v>Fail</v>
      </c>
      <c r="T94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132</v>
      </c>
      <c r="U940" s="4" cm="1">
        <f t="array" ref="U940">IF(COUNT(F940:H940)=0,"", MAX(IF(ISNUMBER(F940:H940),F940:H940)) - MIN(IF(ISNUMBER(F940:H940),F940:H940)))</f>
        <v>17</v>
      </c>
      <c r="V940" s="4" t="str">
        <f>IF(U940="","",IF(U940&gt;25,"Outlier","Normal"))</f>
        <v>Normal</v>
      </c>
    </row>
    <row r="941" spans="1:22" x14ac:dyDescent="0.3">
      <c r="A941" s="1" t="s">
        <v>17</v>
      </c>
      <c r="B941" s="1" t="s">
        <v>13</v>
      </c>
      <c r="C941" s="1" t="s">
        <v>86</v>
      </c>
      <c r="D941" s="1" t="s">
        <v>11</v>
      </c>
      <c r="E941" s="1" t="s">
        <v>12</v>
      </c>
      <c r="F941" s="4">
        <v>46</v>
      </c>
      <c r="G941" s="4">
        <v>43</v>
      </c>
      <c r="H941" s="4">
        <v>42</v>
      </c>
      <c r="I941" s="4">
        <f>AVERAGE(Student­­Performance[[#This Row],[Math Score]],Student­­Performance[[#This Row],[Reading Score]],Student­­Performance[[#This Row],[Writing Score]])</f>
        <v>43.666666666666664</v>
      </c>
      <c r="J941" s="10" t="str">
        <f>IF(Student­­Performance[[#This Row],[Average Score]]&gt;=50,"Pass","Fail")</f>
        <v>Fail</v>
      </c>
      <c r="K94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94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94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-4</v>
      </c>
      <c r="N941" s="4">
        <f>IF(ISNUMBER(Student­­Performance[[#This Row],[Math Score]]),Student­­Performance[[#This Row],[Math Score]],0)</f>
        <v>46</v>
      </c>
      <c r="O941" s="4">
        <f>IF(ISNUMBER(Student­­Performance[[#This Row],[Reading Score]]),Student­­Performance[[#This Row],[Reading Score]],0)</f>
        <v>43</v>
      </c>
      <c r="P941" s="4">
        <f>IF(ISNUMBER(Student­­Performance[[#This Row],[Writing Score]]),Student­­Performance[[#This Row],[Writing Score]],0)</f>
        <v>42</v>
      </c>
      <c r="Q941" s="4" t="str">
        <f>IF(Student­­Performance[[#This Row],[Math Score]]&gt;=50,"Pass","Fail")</f>
        <v>Fail</v>
      </c>
      <c r="R941" s="4" t="str">
        <f>IF(Student­­Performance[[#This Row],[Reading Score]]&gt;=50,"Pass","Fail")</f>
        <v>Fail</v>
      </c>
      <c r="S941" s="4" t="str">
        <f>IF(Student­­Performance[[#This Row],[Writing Score]]&gt;=50,"Pass","Fail")</f>
        <v>Fail</v>
      </c>
      <c r="T94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131</v>
      </c>
      <c r="U941" s="4" cm="1">
        <f t="array" ref="U941">IF(COUNT(F941:H941)=0,"", MAX(IF(ISNUMBER(F941:H941),F941:H941)) - MIN(IF(ISNUMBER(F941:H941),F941:H941)))</f>
        <v>4</v>
      </c>
      <c r="V941" s="4" t="str">
        <f>IF(U941="","",IF(U941&gt;25,"Outlier","Normal"))</f>
        <v>Normal</v>
      </c>
    </row>
    <row r="942" spans="1:22" x14ac:dyDescent="0.3">
      <c r="A942" s="1" t="s">
        <v>17</v>
      </c>
      <c r="B942" s="1" t="s">
        <v>9</v>
      </c>
      <c r="C942" s="1" t="s">
        <v>84</v>
      </c>
      <c r="D942" s="1" t="s">
        <v>11</v>
      </c>
      <c r="E942" s="1" t="s">
        <v>12</v>
      </c>
      <c r="F942" s="4">
        <v>47</v>
      </c>
      <c r="G942" s="4">
        <v>43</v>
      </c>
      <c r="H942" s="4">
        <v>41</v>
      </c>
      <c r="I942" s="4">
        <f>AVERAGE(Student­­Performance[[#This Row],[Math Score]],Student­­Performance[[#This Row],[Reading Score]],Student­­Performance[[#This Row],[Writing Score]])</f>
        <v>43.666666666666664</v>
      </c>
      <c r="J942" s="10" t="str">
        <f>IF(Student­­Performance[[#This Row],[Average Score]]&gt;=50,"Pass","Fail")</f>
        <v>Fail</v>
      </c>
      <c r="K94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94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94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942" s="4">
        <f>IF(ISNUMBER(Student­­Performance[[#This Row],[Math Score]]),Student­­Performance[[#This Row],[Math Score]],0)</f>
        <v>47</v>
      </c>
      <c r="O942" s="4">
        <f>IF(ISNUMBER(Student­­Performance[[#This Row],[Reading Score]]),Student­­Performance[[#This Row],[Reading Score]],0)</f>
        <v>43</v>
      </c>
      <c r="P942" s="4">
        <f>IF(ISNUMBER(Student­­Performance[[#This Row],[Writing Score]]),Student­­Performance[[#This Row],[Writing Score]],0)</f>
        <v>41</v>
      </c>
      <c r="Q942" s="4" t="str">
        <f>IF(Student­­Performance[[#This Row],[Math Score]]&gt;=50,"Pass","Fail")</f>
        <v>Fail</v>
      </c>
      <c r="R942" s="4" t="str">
        <f>IF(Student­­Performance[[#This Row],[Reading Score]]&gt;=50,"Pass","Fail")</f>
        <v>Fail</v>
      </c>
      <c r="S942" s="4" t="str">
        <f>IF(Student­­Performance[[#This Row],[Writing Score]]&gt;=50,"Pass","Fail")</f>
        <v>Fail</v>
      </c>
      <c r="T94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131</v>
      </c>
      <c r="U942" s="4" cm="1">
        <f t="array" ref="U942">IF(COUNT(F942:H942)=0,"", MAX(IF(ISNUMBER(F942:H942),F942:H942)) - MIN(IF(ISNUMBER(F942:H942),F942:H942)))</f>
        <v>6</v>
      </c>
      <c r="V942" s="4" t="str">
        <f>IF(U942="","",IF(U942&gt;25,"Outlier","Normal"))</f>
        <v>Normal</v>
      </c>
    </row>
    <row r="943" spans="1:22" x14ac:dyDescent="0.3">
      <c r="A943" s="1" t="s">
        <v>17</v>
      </c>
      <c r="B943" s="1" t="s">
        <v>13</v>
      </c>
      <c r="C943" s="1" t="s">
        <v>88</v>
      </c>
      <c r="D943" s="1" t="s">
        <v>20</v>
      </c>
      <c r="E943" s="1" t="s">
        <v>15</v>
      </c>
      <c r="F943" s="4">
        <v>53</v>
      </c>
      <c r="G943" s="4">
        <v>37</v>
      </c>
      <c r="H943" s="4">
        <v>40</v>
      </c>
      <c r="I943" s="4">
        <f>AVERAGE(Student­­Performance[[#This Row],[Math Score]],Student­­Performance[[#This Row],[Reading Score]],Student­­Performance[[#This Row],[Writing Score]])</f>
        <v>43.333333333333336</v>
      </c>
      <c r="J943" s="10" t="str">
        <f>IF(Student­­Performance[[#This Row],[Average Score]]&gt;=50,"Pass","Fail")</f>
        <v>Fail</v>
      </c>
      <c r="K94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-16</v>
      </c>
      <c r="L94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94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-13</v>
      </c>
      <c r="N943" s="4">
        <f>IF(ISNUMBER(Student­­Performance[[#This Row],[Math Score]]),Student­­Performance[[#This Row],[Math Score]],0)</f>
        <v>53</v>
      </c>
      <c r="O943" s="4">
        <f>IF(ISNUMBER(Student­­Performance[[#This Row],[Reading Score]]),Student­­Performance[[#This Row],[Reading Score]],0)</f>
        <v>37</v>
      </c>
      <c r="P943" s="4">
        <f>IF(ISNUMBER(Student­­Performance[[#This Row],[Writing Score]]),Student­­Performance[[#This Row],[Writing Score]],0)</f>
        <v>40</v>
      </c>
      <c r="Q943" s="4" t="str">
        <f>IF(Student­­Performance[[#This Row],[Math Score]]&gt;=50,"Pass","Fail")</f>
        <v>Pass</v>
      </c>
      <c r="R943" s="4" t="str">
        <f>IF(Student­­Performance[[#This Row],[Reading Score]]&gt;=50,"Pass","Fail")</f>
        <v>Fail</v>
      </c>
      <c r="S943" s="4" t="str">
        <f>IF(Student­­Performance[[#This Row],[Writing Score]]&gt;=50,"Pass","Fail")</f>
        <v>Fail</v>
      </c>
      <c r="T94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130</v>
      </c>
      <c r="U943" s="4" cm="1">
        <f t="array" ref="U943">IF(COUNT(F943:H943)=0,"", MAX(IF(ISNUMBER(F943:H943),F943:H943)) - MIN(IF(ISNUMBER(F943:H943),F943:H943)))</f>
        <v>16</v>
      </c>
      <c r="V943" s="4" t="str">
        <f>IF(U943="","",IF(U943&gt;25,"Outlier","Normal"))</f>
        <v>Normal</v>
      </c>
    </row>
    <row r="944" spans="1:22" x14ac:dyDescent="0.3">
      <c r="A944" s="1" t="s">
        <v>17</v>
      </c>
      <c r="B944" s="1" t="s">
        <v>18</v>
      </c>
      <c r="C944" s="1" t="s">
        <v>88</v>
      </c>
      <c r="D944" s="1" t="s">
        <v>11</v>
      </c>
      <c r="E944" s="1" t="s">
        <v>15</v>
      </c>
      <c r="F944" s="4">
        <v>46</v>
      </c>
      <c r="G944" s="4">
        <v>41</v>
      </c>
      <c r="H944" s="4">
        <v>43</v>
      </c>
      <c r="I944" s="4">
        <f>AVERAGE(Student­­Performance[[#This Row],[Math Score]],Student­­Performance[[#This Row],[Reading Score]],Student­­Performance[[#This Row],[Writing Score]])</f>
        <v>43.333333333333336</v>
      </c>
      <c r="J944" s="10" t="str">
        <f>IF(Student­­Performance[[#This Row],[Average Score]]&gt;=50,"Pass","Fail")</f>
        <v>Fail</v>
      </c>
      <c r="K94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94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94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-3</v>
      </c>
      <c r="N944" s="4">
        <f>IF(ISNUMBER(Student­­Performance[[#This Row],[Math Score]]),Student­­Performance[[#This Row],[Math Score]],0)</f>
        <v>46</v>
      </c>
      <c r="O944" s="4">
        <f>IF(ISNUMBER(Student­­Performance[[#This Row],[Reading Score]]),Student­­Performance[[#This Row],[Reading Score]],0)</f>
        <v>41</v>
      </c>
      <c r="P944" s="4">
        <f>IF(ISNUMBER(Student­­Performance[[#This Row],[Writing Score]]),Student­­Performance[[#This Row],[Writing Score]],0)</f>
        <v>43</v>
      </c>
      <c r="Q944" s="4" t="str">
        <f>IF(Student­­Performance[[#This Row],[Math Score]]&gt;=50,"Pass","Fail")</f>
        <v>Fail</v>
      </c>
      <c r="R944" s="4" t="str">
        <f>IF(Student­­Performance[[#This Row],[Reading Score]]&gt;=50,"Pass","Fail")</f>
        <v>Fail</v>
      </c>
      <c r="S944" s="4" t="str">
        <f>IF(Student­­Performance[[#This Row],[Writing Score]]&gt;=50,"Pass","Fail")</f>
        <v>Fail</v>
      </c>
      <c r="T94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130</v>
      </c>
      <c r="U944" s="4" cm="1">
        <f t="array" ref="U944">IF(COUNT(F944:H944)=0,"", MAX(IF(ISNUMBER(F944:H944),F944:H944)) - MIN(IF(ISNUMBER(F944:H944),F944:H944)))</f>
        <v>5</v>
      </c>
      <c r="V944" s="4" t="str">
        <f>IF(U944="","",IF(U944&gt;25,"Outlier","Normal"))</f>
        <v>Normal</v>
      </c>
    </row>
    <row r="945" spans="1:22" x14ac:dyDescent="0.3">
      <c r="A945" s="1" t="s">
        <v>8</v>
      </c>
      <c r="B945" s="1" t="s">
        <v>13</v>
      </c>
      <c r="C945" s="1" t="s">
        <v>87</v>
      </c>
      <c r="D945" s="1" t="s">
        <v>20</v>
      </c>
      <c r="E945" s="1" t="s">
        <v>12</v>
      </c>
      <c r="F945" s="4">
        <v>41</v>
      </c>
      <c r="G945" s="4">
        <v>46</v>
      </c>
      <c r="H945" s="4">
        <v>43</v>
      </c>
      <c r="I945" s="4">
        <f>AVERAGE(Student­­Performance[[#This Row],[Math Score]],Student­­Performance[[#This Row],[Reading Score]],Student­­Performance[[#This Row],[Writing Score]])</f>
        <v>43.333333333333336</v>
      </c>
      <c r="J945" s="10" t="str">
        <f>IF(Student­­Performance[[#This Row],[Average Score]]&gt;=50,"Pass","Fail")</f>
        <v>Fail</v>
      </c>
      <c r="K94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94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94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945" s="4">
        <f>IF(ISNUMBER(Student­­Performance[[#This Row],[Math Score]]),Student­­Performance[[#This Row],[Math Score]],0)</f>
        <v>41</v>
      </c>
      <c r="O945" s="4">
        <f>IF(ISNUMBER(Student­­Performance[[#This Row],[Reading Score]]),Student­­Performance[[#This Row],[Reading Score]],0)</f>
        <v>46</v>
      </c>
      <c r="P945" s="4">
        <f>IF(ISNUMBER(Student­­Performance[[#This Row],[Writing Score]]),Student­­Performance[[#This Row],[Writing Score]],0)</f>
        <v>43</v>
      </c>
      <c r="Q945" s="4" t="str">
        <f>IF(Student­­Performance[[#This Row],[Math Score]]&gt;=50,"Pass","Fail")</f>
        <v>Fail</v>
      </c>
      <c r="R945" s="4" t="str">
        <f>IF(Student­­Performance[[#This Row],[Reading Score]]&gt;=50,"Pass","Fail")</f>
        <v>Fail</v>
      </c>
      <c r="S945" s="4" t="str">
        <f>IF(Student­­Performance[[#This Row],[Writing Score]]&gt;=50,"Pass","Fail")</f>
        <v>Fail</v>
      </c>
      <c r="T94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130</v>
      </c>
      <c r="U945" s="4" cm="1">
        <f t="array" ref="U945">IF(COUNT(F945:H945)=0,"", MAX(IF(ISNUMBER(F945:H945),F945:H945)) - MIN(IF(ISNUMBER(F945:H945),F945:H945)))</f>
        <v>5</v>
      </c>
      <c r="V945" s="4" t="str">
        <f>IF(U945="","",IF(U945&gt;25,"Outlier","Normal"))</f>
        <v>Normal</v>
      </c>
    </row>
    <row r="946" spans="1:22" x14ac:dyDescent="0.3">
      <c r="A946" s="1" t="s">
        <v>17</v>
      </c>
      <c r="B946" s="1" t="s">
        <v>26</v>
      </c>
      <c r="C946" s="1" t="s">
        <v>86</v>
      </c>
      <c r="D946" s="1" t="s">
        <v>20</v>
      </c>
      <c r="E946" s="1" t="s">
        <v>12</v>
      </c>
      <c r="F946" s="4">
        <v>46</v>
      </c>
      <c r="G946" s="4">
        <v>43</v>
      </c>
      <c r="H946" s="4">
        <v>41</v>
      </c>
      <c r="I946" s="4">
        <f>AVERAGE(Student­­Performance[[#This Row],[Math Score]],Student­­Performance[[#This Row],[Reading Score]],Student­­Performance[[#This Row],[Writing Score]])</f>
        <v>43.333333333333336</v>
      </c>
      <c r="J946" s="10" t="str">
        <f>IF(Student­­Performance[[#This Row],[Average Score]]&gt;=50,"Pass","Fail")</f>
        <v>Fail</v>
      </c>
      <c r="K94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94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94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-5</v>
      </c>
      <c r="N946" s="4">
        <f>IF(ISNUMBER(Student­­Performance[[#This Row],[Math Score]]),Student­­Performance[[#This Row],[Math Score]],0)</f>
        <v>46</v>
      </c>
      <c r="O946" s="4">
        <f>IF(ISNUMBER(Student­­Performance[[#This Row],[Reading Score]]),Student­­Performance[[#This Row],[Reading Score]],0)</f>
        <v>43</v>
      </c>
      <c r="P946" s="4">
        <f>IF(ISNUMBER(Student­­Performance[[#This Row],[Writing Score]]),Student­­Performance[[#This Row],[Writing Score]],0)</f>
        <v>41</v>
      </c>
      <c r="Q946" s="4" t="str">
        <f>IF(Student­­Performance[[#This Row],[Math Score]]&gt;=50,"Pass","Fail")</f>
        <v>Fail</v>
      </c>
      <c r="R946" s="4" t="str">
        <f>IF(Student­­Performance[[#This Row],[Reading Score]]&gt;=50,"Pass","Fail")</f>
        <v>Fail</v>
      </c>
      <c r="S946" s="4" t="str">
        <f>IF(Student­­Performance[[#This Row],[Writing Score]]&gt;=50,"Pass","Fail")</f>
        <v>Fail</v>
      </c>
      <c r="T94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130</v>
      </c>
      <c r="U946" s="4" cm="1">
        <f t="array" ref="U946">IF(COUNT(F946:H946)=0,"", MAX(IF(ISNUMBER(F946:H946),F946:H946)) - MIN(IF(ISNUMBER(F946:H946),F946:H946)))</f>
        <v>5</v>
      </c>
      <c r="V946" s="4" t="str">
        <f>IF(U946="","",IF(U946&gt;25,"Outlier","Normal"))</f>
        <v>Normal</v>
      </c>
    </row>
    <row r="947" spans="1:22" x14ac:dyDescent="0.3">
      <c r="A947" s="1" t="s">
        <v>8</v>
      </c>
      <c r="B947" s="1" t="s">
        <v>26</v>
      </c>
      <c r="C947" s="1" t="s">
        <v>87</v>
      </c>
      <c r="D947" s="1" t="s">
        <v>20</v>
      </c>
      <c r="E947" s="1" t="s">
        <v>12</v>
      </c>
      <c r="F947" s="4" t="s">
        <v>90</v>
      </c>
      <c r="G947" s="4">
        <v>62</v>
      </c>
      <c r="H947" s="4">
        <v>68</v>
      </c>
      <c r="I947" s="4">
        <f>AVERAGE(Student­­Performance[[#This Row],[Math Score]],Student­­Performance[[#This Row],[Reading Score]],Student­­Performance[[#This Row],[Writing Score]])</f>
        <v>65</v>
      </c>
      <c r="J947" s="10" t="str">
        <f>IF(Student­­Performance[[#This Row],[Average Score]]&gt;=50,"Pass","Fail")</f>
        <v>Pass</v>
      </c>
      <c r="K947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94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947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47" s="4">
        <f>IF(ISNUMBER(Student­­Performance[[#This Row],[Math Score]]),Student­­Performance[[#This Row],[Math Score]],0)</f>
        <v>0</v>
      </c>
      <c r="O947" s="4">
        <f>IF(ISNUMBER(Student­­Performance[[#This Row],[Reading Score]]),Student­­Performance[[#This Row],[Reading Score]],0)</f>
        <v>62</v>
      </c>
      <c r="P947" s="4">
        <f>IF(ISNUMBER(Student­­Performance[[#This Row],[Writing Score]]),Student­­Performance[[#This Row],[Writing Score]],0)</f>
        <v>68</v>
      </c>
      <c r="Q947" s="4" t="str">
        <f>IF(Student­­Performance[[#This Row],[Math Score]]&gt;=50,"Pass","Fail")</f>
        <v>Pass</v>
      </c>
      <c r="R947" s="4" t="str">
        <f>IF(Student­­Performance[[#This Row],[Reading Score]]&gt;=50,"Pass","Fail")</f>
        <v>Pass</v>
      </c>
      <c r="S947" s="4" t="str">
        <f>IF(Student­­Performance[[#This Row],[Writing Score]]&gt;=50,"Pass","Fail")</f>
        <v>Pass</v>
      </c>
      <c r="T94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130</v>
      </c>
      <c r="U947" s="4" cm="1">
        <f t="array" ref="U947">IF(COUNT(F947:H947)=0,"", MAX(IF(ISNUMBER(F947:H947),F947:H947)) - MIN(IF(ISNUMBER(F947:H947),F947:H947)))</f>
        <v>6</v>
      </c>
      <c r="V947" s="4" t="str">
        <f>IF(U947="","",IF(U947&gt;25,"Outlier","Normal"))</f>
        <v>Normal</v>
      </c>
    </row>
    <row r="948" spans="1:22" x14ac:dyDescent="0.3">
      <c r="A948" s="1" t="s">
        <v>17</v>
      </c>
      <c r="B948" s="1" t="s">
        <v>18</v>
      </c>
      <c r="C948" s="1" t="s">
        <v>88</v>
      </c>
      <c r="D948" s="1" t="s">
        <v>11</v>
      </c>
      <c r="E948" s="1" t="s">
        <v>15</v>
      </c>
      <c r="F948" s="4">
        <v>66</v>
      </c>
      <c r="G948" s="4" t="s">
        <v>90</v>
      </c>
      <c r="H948" s="4">
        <v>64</v>
      </c>
      <c r="I948" s="4">
        <f>AVERAGE(Student­­Performance[[#This Row],[Math Score]],Student­­Performance[[#This Row],[Reading Score]],Student­­Performance[[#This Row],[Writing Score]])</f>
        <v>65</v>
      </c>
      <c r="J948" s="10" t="str">
        <f>IF(Student­­Performance[[#This Row],[Average Score]]&gt;=50,"Pass","Fail")</f>
        <v>Pass</v>
      </c>
      <c r="K948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948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94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948" s="4">
        <f>IF(ISNUMBER(Student­­Performance[[#This Row],[Math Score]]),Student­­Performance[[#This Row],[Math Score]],0)</f>
        <v>66</v>
      </c>
      <c r="O948" s="4">
        <f>IF(ISNUMBER(Student­­Performance[[#This Row],[Reading Score]]),Student­­Performance[[#This Row],[Reading Score]],0)</f>
        <v>0</v>
      </c>
      <c r="P948" s="4">
        <f>IF(ISNUMBER(Student­­Performance[[#This Row],[Writing Score]]),Student­­Performance[[#This Row],[Writing Score]],0)</f>
        <v>64</v>
      </c>
      <c r="Q948" s="4" t="str">
        <f>IF(Student­­Performance[[#This Row],[Math Score]]&gt;=50,"Pass","Fail")</f>
        <v>Pass</v>
      </c>
      <c r="R948" s="4" t="str">
        <f>IF(Student­­Performance[[#This Row],[Reading Score]]&gt;=50,"Pass","Fail")</f>
        <v>Pass</v>
      </c>
      <c r="S948" s="4" t="str">
        <f>IF(Student­­Performance[[#This Row],[Writing Score]]&gt;=50,"Pass","Fail")</f>
        <v>Pass</v>
      </c>
      <c r="T94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130</v>
      </c>
      <c r="U948" s="4" cm="1">
        <f t="array" ref="U948">IF(COUNT(F948:H948)=0,"", MAX(IF(ISNUMBER(F948:H948),F948:H948)) - MIN(IF(ISNUMBER(F948:H948),F948:H948)))</f>
        <v>2</v>
      </c>
      <c r="V948" s="4" t="str">
        <f>IF(U948="","",IF(U948&gt;25,"Outlier","Normal"))</f>
        <v>Normal</v>
      </c>
    </row>
    <row r="949" spans="1:22" x14ac:dyDescent="0.3">
      <c r="A949" s="1" t="s">
        <v>8</v>
      </c>
      <c r="B949" s="1" t="s">
        <v>9</v>
      </c>
      <c r="C949" s="1" t="s">
        <v>88</v>
      </c>
      <c r="D949" s="1" t="s">
        <v>11</v>
      </c>
      <c r="E949" s="1" t="s">
        <v>12</v>
      </c>
      <c r="F949" s="4">
        <v>37</v>
      </c>
      <c r="G949" s="4">
        <v>46</v>
      </c>
      <c r="H949" s="4">
        <v>46</v>
      </c>
      <c r="I949" s="4">
        <f>AVERAGE(Student­­Performance[[#This Row],[Math Score]],Student­­Performance[[#This Row],[Reading Score]],Student­­Performance[[#This Row],[Writing Score]])</f>
        <v>43</v>
      </c>
      <c r="J949" s="10" t="str">
        <f>IF(Student­­Performance[[#This Row],[Average Score]]&gt;=50,"Pass","Fail")</f>
        <v>Fail</v>
      </c>
      <c r="K94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94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94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949" s="4">
        <f>IF(ISNUMBER(Student­­Performance[[#This Row],[Math Score]]),Student­­Performance[[#This Row],[Math Score]],0)</f>
        <v>37</v>
      </c>
      <c r="O949" s="4">
        <f>IF(ISNUMBER(Student­­Performance[[#This Row],[Reading Score]]),Student­­Performance[[#This Row],[Reading Score]],0)</f>
        <v>46</v>
      </c>
      <c r="P949" s="4">
        <f>IF(ISNUMBER(Student­­Performance[[#This Row],[Writing Score]]),Student­­Performance[[#This Row],[Writing Score]],0)</f>
        <v>46</v>
      </c>
      <c r="Q949" s="4" t="str">
        <f>IF(Student­­Performance[[#This Row],[Math Score]]&gt;=50,"Pass","Fail")</f>
        <v>Fail</v>
      </c>
      <c r="R949" s="4" t="str">
        <f>IF(Student­­Performance[[#This Row],[Reading Score]]&gt;=50,"Pass","Fail")</f>
        <v>Fail</v>
      </c>
      <c r="S949" s="4" t="str">
        <f>IF(Student­­Performance[[#This Row],[Writing Score]]&gt;=50,"Pass","Fail")</f>
        <v>Fail</v>
      </c>
      <c r="T94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129</v>
      </c>
      <c r="U949" s="4" cm="1">
        <f t="array" ref="U949">IF(COUNT(F949:H949)=0,"", MAX(IF(ISNUMBER(F949:H949),F949:H949)) - MIN(IF(ISNUMBER(F949:H949),F949:H949)))</f>
        <v>9</v>
      </c>
      <c r="V949" s="4" t="str">
        <f>IF(U949="","",IF(U949&gt;25,"Outlier","Normal"))</f>
        <v>Normal</v>
      </c>
    </row>
    <row r="950" spans="1:22" x14ac:dyDescent="0.3">
      <c r="A950" s="1" t="s">
        <v>17</v>
      </c>
      <c r="B950" s="1" t="s">
        <v>13</v>
      </c>
      <c r="C950" s="1" t="s">
        <v>84</v>
      </c>
      <c r="D950" s="1" t="s">
        <v>11</v>
      </c>
      <c r="E950" s="1" t="s">
        <v>12</v>
      </c>
      <c r="F950" s="4">
        <v>53</v>
      </c>
      <c r="G950" s="4">
        <v>39</v>
      </c>
      <c r="H950" s="4">
        <v>37</v>
      </c>
      <c r="I950" s="4">
        <f>AVERAGE(Student­­Performance[[#This Row],[Math Score]],Student­­Performance[[#This Row],[Reading Score]],Student­­Performance[[#This Row],[Writing Score]])</f>
        <v>43</v>
      </c>
      <c r="J950" s="10" t="str">
        <f>IF(Student­­Performance[[#This Row],[Average Score]]&gt;=50,"Pass","Fail")</f>
        <v>Fail</v>
      </c>
      <c r="K95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-14</v>
      </c>
      <c r="L95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95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-16</v>
      </c>
      <c r="N950" s="4">
        <f>IF(ISNUMBER(Student­­Performance[[#This Row],[Math Score]]),Student­­Performance[[#This Row],[Math Score]],0)</f>
        <v>53</v>
      </c>
      <c r="O950" s="4">
        <f>IF(ISNUMBER(Student­­Performance[[#This Row],[Reading Score]]),Student­­Performance[[#This Row],[Reading Score]],0)</f>
        <v>39</v>
      </c>
      <c r="P950" s="4">
        <f>IF(ISNUMBER(Student­­Performance[[#This Row],[Writing Score]]),Student­­Performance[[#This Row],[Writing Score]],0)</f>
        <v>37</v>
      </c>
      <c r="Q950" s="4" t="str">
        <f>IF(Student­­Performance[[#This Row],[Math Score]]&gt;=50,"Pass","Fail")</f>
        <v>Pass</v>
      </c>
      <c r="R950" s="4" t="str">
        <f>IF(Student­­Performance[[#This Row],[Reading Score]]&gt;=50,"Pass","Fail")</f>
        <v>Fail</v>
      </c>
      <c r="S950" s="4" t="str">
        <f>IF(Student­­Performance[[#This Row],[Writing Score]]&gt;=50,"Pass","Fail")</f>
        <v>Fail</v>
      </c>
      <c r="T95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129</v>
      </c>
      <c r="U950" s="4" cm="1">
        <f t="array" ref="U950">IF(COUNT(F950:H950)=0,"", MAX(IF(ISNUMBER(F950:H950),F950:H950)) - MIN(IF(ISNUMBER(F950:H950),F950:H950)))</f>
        <v>16</v>
      </c>
      <c r="V950" s="4" t="str">
        <f>IF(U950="","",IF(U950&gt;25,"Outlier","Normal"))</f>
        <v>Normal</v>
      </c>
    </row>
    <row r="951" spans="1:22" x14ac:dyDescent="0.3">
      <c r="A951" s="1" t="s">
        <v>17</v>
      </c>
      <c r="B951" s="1" t="s">
        <v>9</v>
      </c>
      <c r="C951" s="1" t="s">
        <v>86</v>
      </c>
      <c r="D951" s="1" t="s">
        <v>20</v>
      </c>
      <c r="E951" s="1" t="s">
        <v>12</v>
      </c>
      <c r="F951" s="4">
        <v>67</v>
      </c>
      <c r="G951" s="4" t="s">
        <v>90</v>
      </c>
      <c r="H951" s="4">
        <v>60</v>
      </c>
      <c r="I951" s="4">
        <f>AVERAGE(Student­­Performance[[#This Row],[Math Score]],Student­­Performance[[#This Row],[Reading Score]],Student­­Performance[[#This Row],[Writing Score]])</f>
        <v>63.5</v>
      </c>
      <c r="J951" s="10" t="str">
        <f>IF(Student­­Performance[[#This Row],[Average Score]]&gt;=50,"Pass","Fail")</f>
        <v>Pass</v>
      </c>
      <c r="K951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951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95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951" s="4">
        <f>IF(ISNUMBER(Student­­Performance[[#This Row],[Math Score]]),Student­­Performance[[#This Row],[Math Score]],0)</f>
        <v>67</v>
      </c>
      <c r="O951" s="4">
        <f>IF(ISNUMBER(Student­­Performance[[#This Row],[Reading Score]]),Student­­Performance[[#This Row],[Reading Score]],0)</f>
        <v>0</v>
      </c>
      <c r="P951" s="4">
        <f>IF(ISNUMBER(Student­­Performance[[#This Row],[Writing Score]]),Student­­Performance[[#This Row],[Writing Score]],0)</f>
        <v>60</v>
      </c>
      <c r="Q951" s="4" t="str">
        <f>IF(Student­­Performance[[#This Row],[Math Score]]&gt;=50,"Pass","Fail")</f>
        <v>Pass</v>
      </c>
      <c r="R951" s="4" t="str">
        <f>IF(Student­­Performance[[#This Row],[Reading Score]]&gt;=50,"Pass","Fail")</f>
        <v>Pass</v>
      </c>
      <c r="S951" s="4" t="str">
        <f>IF(Student­­Performance[[#This Row],[Writing Score]]&gt;=50,"Pass","Fail")</f>
        <v>Pass</v>
      </c>
      <c r="T95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127</v>
      </c>
      <c r="U951" s="4" cm="1">
        <f t="array" ref="U951">IF(COUNT(F951:H951)=0,"", MAX(IF(ISNUMBER(F951:H951),F951:H951)) - MIN(IF(ISNUMBER(F951:H951),F951:H951)))</f>
        <v>7</v>
      </c>
      <c r="V951" s="4" t="str">
        <f>IF(U951="","",IF(U951&gt;25,"Outlier","Normal"))</f>
        <v>Normal</v>
      </c>
    </row>
    <row r="952" spans="1:22" x14ac:dyDescent="0.3">
      <c r="A952" s="1" t="s">
        <v>17</v>
      </c>
      <c r="B952" s="1" t="s">
        <v>13</v>
      </c>
      <c r="C952" s="1" t="s">
        <v>83</v>
      </c>
      <c r="D952" s="1" t="s">
        <v>20</v>
      </c>
      <c r="E952" s="1" t="s">
        <v>12</v>
      </c>
      <c r="F952" s="4" t="s">
        <v>90</v>
      </c>
      <c r="G952" s="4">
        <v>66</v>
      </c>
      <c r="H952" s="4">
        <v>61</v>
      </c>
      <c r="I952" s="4">
        <f>AVERAGE(Student­­Performance[[#This Row],[Math Score]],Student­­Performance[[#This Row],[Reading Score]],Student­­Performance[[#This Row],[Writing Score]])</f>
        <v>63.5</v>
      </c>
      <c r="J952" s="10" t="str">
        <f>IF(Student­­Performance[[#This Row],[Average Score]]&gt;=50,"Pass","Fail")</f>
        <v>Pass</v>
      </c>
      <c r="K952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95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952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52" s="4">
        <f>IF(ISNUMBER(Student­­Performance[[#This Row],[Math Score]]),Student­­Performance[[#This Row],[Math Score]],0)</f>
        <v>0</v>
      </c>
      <c r="O952" s="4">
        <f>IF(ISNUMBER(Student­­Performance[[#This Row],[Reading Score]]),Student­­Performance[[#This Row],[Reading Score]],0)</f>
        <v>66</v>
      </c>
      <c r="P952" s="4">
        <f>IF(ISNUMBER(Student­­Performance[[#This Row],[Writing Score]]),Student­­Performance[[#This Row],[Writing Score]],0)</f>
        <v>61</v>
      </c>
      <c r="Q952" s="4" t="str">
        <f>IF(Student­­Performance[[#This Row],[Math Score]]&gt;=50,"Pass","Fail")</f>
        <v>Pass</v>
      </c>
      <c r="R952" s="4" t="str">
        <f>IF(Student­­Performance[[#This Row],[Reading Score]]&gt;=50,"Pass","Fail")</f>
        <v>Pass</v>
      </c>
      <c r="S952" s="4" t="str">
        <f>IF(Student­­Performance[[#This Row],[Writing Score]]&gt;=50,"Pass","Fail")</f>
        <v>Pass</v>
      </c>
      <c r="T95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127</v>
      </c>
      <c r="U952" s="4" cm="1">
        <f t="array" ref="U952">IF(COUNT(F952:H952)=0,"", MAX(IF(ISNUMBER(F952:H952),F952:H952)) - MIN(IF(ISNUMBER(F952:H952),F952:H952)))</f>
        <v>5</v>
      </c>
      <c r="V952" s="4" t="str">
        <f>IF(U952="","",IF(U952&gt;25,"Outlier","Normal"))</f>
        <v>Normal</v>
      </c>
    </row>
    <row r="953" spans="1:22" x14ac:dyDescent="0.3">
      <c r="A953" s="1" t="s">
        <v>8</v>
      </c>
      <c r="B953" s="1" t="s">
        <v>9</v>
      </c>
      <c r="C953" s="1" t="s">
        <v>88</v>
      </c>
      <c r="D953" s="1" t="s">
        <v>11</v>
      </c>
      <c r="E953" s="1" t="s">
        <v>15</v>
      </c>
      <c r="F953" s="4">
        <v>32</v>
      </c>
      <c r="G953" s="4">
        <v>51</v>
      </c>
      <c r="H953" s="4">
        <v>44</v>
      </c>
      <c r="I953" s="4">
        <f>AVERAGE(Student­­Performance[[#This Row],[Math Score]],Student­­Performance[[#This Row],[Reading Score]],Student­­Performance[[#This Row],[Writing Score]])</f>
        <v>42.333333333333336</v>
      </c>
      <c r="J953" s="10" t="str">
        <f>IF(Student­­Performance[[#This Row],[Average Score]]&gt;=50,"Pass","Fail")</f>
        <v>Fail</v>
      </c>
      <c r="K95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19</v>
      </c>
      <c r="L95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95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12</v>
      </c>
      <c r="N953" s="4">
        <f>IF(ISNUMBER(Student­­Performance[[#This Row],[Math Score]]),Student­­Performance[[#This Row],[Math Score]],0)</f>
        <v>32</v>
      </c>
      <c r="O953" s="4">
        <f>IF(ISNUMBER(Student­­Performance[[#This Row],[Reading Score]]),Student­­Performance[[#This Row],[Reading Score]],0)</f>
        <v>51</v>
      </c>
      <c r="P953" s="4">
        <f>IF(ISNUMBER(Student­­Performance[[#This Row],[Writing Score]]),Student­­Performance[[#This Row],[Writing Score]],0)</f>
        <v>44</v>
      </c>
      <c r="Q953" s="4" t="str">
        <f>IF(Student­­Performance[[#This Row],[Math Score]]&gt;=50,"Pass","Fail")</f>
        <v>Fail</v>
      </c>
      <c r="R953" s="4" t="str">
        <f>IF(Student­­Performance[[#This Row],[Reading Score]]&gt;=50,"Pass","Fail")</f>
        <v>Pass</v>
      </c>
      <c r="S953" s="4" t="str">
        <f>IF(Student­­Performance[[#This Row],[Writing Score]]&gt;=50,"Pass","Fail")</f>
        <v>Fail</v>
      </c>
      <c r="T95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127</v>
      </c>
      <c r="U953" s="4" cm="1">
        <f t="array" ref="U953">IF(COUNT(F953:H953)=0,"", MAX(IF(ISNUMBER(F953:H953),F953:H953)) - MIN(IF(ISNUMBER(F953:H953),F953:H953)))</f>
        <v>19</v>
      </c>
      <c r="V953" s="4" t="str">
        <f>IF(U953="","",IF(U953&gt;25,"Outlier","Normal"))</f>
        <v>Normal</v>
      </c>
    </row>
    <row r="954" spans="1:22" x14ac:dyDescent="0.3">
      <c r="A954" s="1" t="s">
        <v>8</v>
      </c>
      <c r="B954" s="1" t="s">
        <v>26</v>
      </c>
      <c r="C954" s="1" t="s">
        <v>87</v>
      </c>
      <c r="D954" s="1" t="s">
        <v>20</v>
      </c>
      <c r="E954" s="1" t="s">
        <v>12</v>
      </c>
      <c r="F954" s="4">
        <v>41</v>
      </c>
      <c r="G954" s="4">
        <v>45</v>
      </c>
      <c r="H954" s="4">
        <v>40</v>
      </c>
      <c r="I954" s="4">
        <f>AVERAGE(Student­­Performance[[#This Row],[Math Score]],Student­­Performance[[#This Row],[Reading Score]],Student­­Performance[[#This Row],[Writing Score]])</f>
        <v>42</v>
      </c>
      <c r="J954" s="10" t="str">
        <f>IF(Student­­Performance[[#This Row],[Average Score]]&gt;=50,"Pass","Fail")</f>
        <v>Fail</v>
      </c>
      <c r="K95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4</v>
      </c>
      <c r="L95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95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954" s="4">
        <f>IF(ISNUMBER(Student­­Performance[[#This Row],[Math Score]]),Student­­Performance[[#This Row],[Math Score]],0)</f>
        <v>41</v>
      </c>
      <c r="O954" s="4">
        <f>IF(ISNUMBER(Student­­Performance[[#This Row],[Reading Score]]),Student­­Performance[[#This Row],[Reading Score]],0)</f>
        <v>45</v>
      </c>
      <c r="P954" s="4">
        <f>IF(ISNUMBER(Student­­Performance[[#This Row],[Writing Score]]),Student­­Performance[[#This Row],[Writing Score]],0)</f>
        <v>40</v>
      </c>
      <c r="Q954" s="4" t="str">
        <f>IF(Student­­Performance[[#This Row],[Math Score]]&gt;=50,"Pass","Fail")</f>
        <v>Fail</v>
      </c>
      <c r="R954" s="4" t="str">
        <f>IF(Student­­Performance[[#This Row],[Reading Score]]&gt;=50,"Pass","Fail")</f>
        <v>Fail</v>
      </c>
      <c r="S954" s="4" t="str">
        <f>IF(Student­­Performance[[#This Row],[Writing Score]]&gt;=50,"Pass","Fail")</f>
        <v>Fail</v>
      </c>
      <c r="T95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126</v>
      </c>
      <c r="U954" s="4" cm="1">
        <f t="array" ref="U954">IF(COUNT(F954:H954)=0,"", MAX(IF(ISNUMBER(F954:H954),F954:H954)) - MIN(IF(ISNUMBER(F954:H954),F954:H954)))</f>
        <v>5</v>
      </c>
      <c r="V954" s="4" t="str">
        <f>IF(U954="","",IF(U954&gt;25,"Outlier","Normal"))</f>
        <v>Normal</v>
      </c>
    </row>
    <row r="955" spans="1:22" x14ac:dyDescent="0.3">
      <c r="A955" s="1" t="s">
        <v>8</v>
      </c>
      <c r="B955" s="1" t="s">
        <v>21</v>
      </c>
      <c r="C955" s="1" t="s">
        <v>84</v>
      </c>
      <c r="D955" s="1" t="s">
        <v>20</v>
      </c>
      <c r="E955" s="1" t="s">
        <v>12</v>
      </c>
      <c r="F955" s="4" t="s">
        <v>90</v>
      </c>
      <c r="G955" s="4">
        <v>65</v>
      </c>
      <c r="H955" s="4">
        <v>61</v>
      </c>
      <c r="I955" s="4">
        <f>AVERAGE(Student­­Performance[[#This Row],[Math Score]],Student­­Performance[[#This Row],[Reading Score]],Student­­Performance[[#This Row],[Writing Score]])</f>
        <v>63</v>
      </c>
      <c r="J955" s="10" t="str">
        <f>IF(Student­­Performance[[#This Row],[Average Score]]&gt;=50,"Pass","Fail")</f>
        <v>Pass</v>
      </c>
      <c r="K955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95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955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55" s="4">
        <f>IF(ISNUMBER(Student­­Performance[[#This Row],[Math Score]]),Student­­Performance[[#This Row],[Math Score]],0)</f>
        <v>0</v>
      </c>
      <c r="O955" s="4">
        <f>IF(ISNUMBER(Student­­Performance[[#This Row],[Reading Score]]),Student­­Performance[[#This Row],[Reading Score]],0)</f>
        <v>65</v>
      </c>
      <c r="P955" s="4">
        <f>IF(ISNUMBER(Student­­Performance[[#This Row],[Writing Score]]),Student­­Performance[[#This Row],[Writing Score]],0)</f>
        <v>61</v>
      </c>
      <c r="Q955" s="4" t="str">
        <f>IF(Student­­Performance[[#This Row],[Math Score]]&gt;=50,"Pass","Fail")</f>
        <v>Pass</v>
      </c>
      <c r="R955" s="4" t="str">
        <f>IF(Student­­Performance[[#This Row],[Reading Score]]&gt;=50,"Pass","Fail")</f>
        <v>Pass</v>
      </c>
      <c r="S955" s="4" t="str">
        <f>IF(Student­­Performance[[#This Row],[Writing Score]]&gt;=50,"Pass","Fail")</f>
        <v>Pass</v>
      </c>
      <c r="T95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126</v>
      </c>
      <c r="U955" s="4" cm="1">
        <f t="array" ref="U955">IF(COUNT(F955:H955)=0,"", MAX(IF(ISNUMBER(F955:H955),F955:H955)) - MIN(IF(ISNUMBER(F955:H955),F955:H955)))</f>
        <v>4</v>
      </c>
      <c r="V955" s="4" t="str">
        <f>IF(U955="","",IF(U955&gt;25,"Outlier","Normal"))</f>
        <v>Normal</v>
      </c>
    </row>
    <row r="956" spans="1:22" x14ac:dyDescent="0.3">
      <c r="A956" s="1" t="s">
        <v>8</v>
      </c>
      <c r="B956" s="1" t="s">
        <v>13</v>
      </c>
      <c r="C956" s="1" t="s">
        <v>84</v>
      </c>
      <c r="D956" s="1" t="s">
        <v>11</v>
      </c>
      <c r="E956" s="1" t="s">
        <v>12</v>
      </c>
      <c r="F956" s="4">
        <v>58</v>
      </c>
      <c r="G956" s="4">
        <v>67</v>
      </c>
      <c r="H956" s="4" t="s">
        <v>90</v>
      </c>
      <c r="I956" s="4">
        <f>AVERAGE(Student­­Performance[[#This Row],[Math Score]],Student­­Performance[[#This Row],[Reading Score]],Student­­Performance[[#This Row],[Writing Score]])</f>
        <v>62.5</v>
      </c>
      <c r="J956" s="10" t="str">
        <f>IF(Student­­Performance[[#This Row],[Average Score]]&gt;=50,"Pass","Fail")</f>
        <v>Pass</v>
      </c>
      <c r="K95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956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956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56" s="4">
        <f>IF(ISNUMBER(Student­­Performance[[#This Row],[Math Score]]),Student­­Performance[[#This Row],[Math Score]],0)</f>
        <v>58</v>
      </c>
      <c r="O956" s="4">
        <f>IF(ISNUMBER(Student­­Performance[[#This Row],[Reading Score]]),Student­­Performance[[#This Row],[Reading Score]],0)</f>
        <v>67</v>
      </c>
      <c r="P956" s="4">
        <f>IF(ISNUMBER(Student­­Performance[[#This Row],[Writing Score]]),Student­­Performance[[#This Row],[Writing Score]],0)</f>
        <v>0</v>
      </c>
      <c r="Q956" s="4" t="str">
        <f>IF(Student­­Performance[[#This Row],[Math Score]]&gt;=50,"Pass","Fail")</f>
        <v>Pass</v>
      </c>
      <c r="R956" s="4" t="str">
        <f>IF(Student­­Performance[[#This Row],[Reading Score]]&gt;=50,"Pass","Fail")</f>
        <v>Pass</v>
      </c>
      <c r="S956" s="4" t="str">
        <f>IF(Student­­Performance[[#This Row],[Writing Score]]&gt;=50,"Pass","Fail")</f>
        <v>Pass</v>
      </c>
      <c r="T95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125</v>
      </c>
      <c r="U956" s="4" cm="1">
        <f t="array" ref="U956">IF(COUNT(F956:H956)=0,"", MAX(IF(ISNUMBER(F956:H956),F956:H956)) - MIN(IF(ISNUMBER(F956:H956),F956:H956)))</f>
        <v>9</v>
      </c>
      <c r="V956" s="4" t="str">
        <f>IF(U956="","",IF(U956&gt;25,"Outlier","Normal"))</f>
        <v>Normal</v>
      </c>
    </row>
    <row r="957" spans="1:22" x14ac:dyDescent="0.3">
      <c r="A957" s="1" t="s">
        <v>8</v>
      </c>
      <c r="B957" s="1" t="s">
        <v>13</v>
      </c>
      <c r="C957" s="1" t="s">
        <v>86</v>
      </c>
      <c r="D957" s="1" t="s">
        <v>11</v>
      </c>
      <c r="E957" s="1" t="s">
        <v>12</v>
      </c>
      <c r="F957" s="4">
        <v>59</v>
      </c>
      <c r="G957" s="4">
        <v>66</v>
      </c>
      <c r="H957" s="4" t="s">
        <v>90</v>
      </c>
      <c r="I957" s="4">
        <f>AVERAGE(Student­­Performance[[#This Row],[Math Score]],Student­­Performance[[#This Row],[Reading Score]],Student­­Performance[[#This Row],[Writing Score]])</f>
        <v>62.5</v>
      </c>
      <c r="J957" s="10" t="str">
        <f>IF(Student­­Performance[[#This Row],[Average Score]]&gt;=50,"Pass","Fail")</f>
        <v>Pass</v>
      </c>
      <c r="K95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957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957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57" s="4">
        <f>IF(ISNUMBER(Student­­Performance[[#This Row],[Math Score]]),Student­­Performance[[#This Row],[Math Score]],0)</f>
        <v>59</v>
      </c>
      <c r="O957" s="4">
        <f>IF(ISNUMBER(Student­­Performance[[#This Row],[Reading Score]]),Student­­Performance[[#This Row],[Reading Score]],0)</f>
        <v>66</v>
      </c>
      <c r="P957" s="4">
        <f>IF(ISNUMBER(Student­­Performance[[#This Row],[Writing Score]]),Student­­Performance[[#This Row],[Writing Score]],0)</f>
        <v>0</v>
      </c>
      <c r="Q957" s="4" t="str">
        <f>IF(Student­­Performance[[#This Row],[Math Score]]&gt;=50,"Pass","Fail")</f>
        <v>Pass</v>
      </c>
      <c r="R957" s="4" t="str">
        <f>IF(Student­­Performance[[#This Row],[Reading Score]]&gt;=50,"Pass","Fail")</f>
        <v>Pass</v>
      </c>
      <c r="S957" s="4" t="str">
        <f>IF(Student­­Performance[[#This Row],[Writing Score]]&gt;=50,"Pass","Fail")</f>
        <v>Pass</v>
      </c>
      <c r="T95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125</v>
      </c>
      <c r="U957" s="4" cm="1">
        <f t="array" ref="U957">IF(COUNT(F957:H957)=0,"", MAX(IF(ISNUMBER(F957:H957),F957:H957)) - MIN(IF(ISNUMBER(F957:H957),F957:H957)))</f>
        <v>7</v>
      </c>
      <c r="V957" s="4" t="str">
        <f>IF(U957="","",IF(U957&gt;25,"Outlier","Normal"))</f>
        <v>Normal</v>
      </c>
    </row>
    <row r="958" spans="1:22" x14ac:dyDescent="0.3">
      <c r="A958" s="1" t="s">
        <v>17</v>
      </c>
      <c r="B958" s="1" t="s">
        <v>13</v>
      </c>
      <c r="C958" s="1" t="s">
        <v>87</v>
      </c>
      <c r="D958" s="1" t="s">
        <v>20</v>
      </c>
      <c r="E958" s="1" t="s">
        <v>12</v>
      </c>
      <c r="F958" s="4" t="s">
        <v>90</v>
      </c>
      <c r="G958" s="4">
        <v>66</v>
      </c>
      <c r="H958" s="4">
        <v>59</v>
      </c>
      <c r="I958" s="4">
        <f>AVERAGE(Student­­Performance[[#This Row],[Math Score]],Student­­Performance[[#This Row],[Reading Score]],Student­­Performance[[#This Row],[Writing Score]])</f>
        <v>62.5</v>
      </c>
      <c r="J958" s="10" t="str">
        <f>IF(Student­­Performance[[#This Row],[Average Score]]&gt;=50,"Pass","Fail")</f>
        <v>Pass</v>
      </c>
      <c r="K958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95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958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58" s="4">
        <f>IF(ISNUMBER(Student­­Performance[[#This Row],[Math Score]]),Student­­Performance[[#This Row],[Math Score]],0)</f>
        <v>0</v>
      </c>
      <c r="O958" s="4">
        <f>IF(ISNUMBER(Student­­Performance[[#This Row],[Reading Score]]),Student­­Performance[[#This Row],[Reading Score]],0)</f>
        <v>66</v>
      </c>
      <c r="P958" s="4">
        <f>IF(ISNUMBER(Student­­Performance[[#This Row],[Writing Score]]),Student­­Performance[[#This Row],[Writing Score]],0)</f>
        <v>59</v>
      </c>
      <c r="Q958" s="4" t="str">
        <f>IF(Student­­Performance[[#This Row],[Math Score]]&gt;=50,"Pass","Fail")</f>
        <v>Pass</v>
      </c>
      <c r="R958" s="4" t="str">
        <f>IF(Student­­Performance[[#This Row],[Reading Score]]&gt;=50,"Pass","Fail")</f>
        <v>Pass</v>
      </c>
      <c r="S958" s="4" t="str">
        <f>IF(Student­­Performance[[#This Row],[Writing Score]]&gt;=50,"Pass","Fail")</f>
        <v>Pass</v>
      </c>
      <c r="T95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125</v>
      </c>
      <c r="U958" s="4" cm="1">
        <f t="array" ref="U958">IF(COUNT(F958:H958)=0,"", MAX(IF(ISNUMBER(F958:H958),F958:H958)) - MIN(IF(ISNUMBER(F958:H958),F958:H958)))</f>
        <v>7</v>
      </c>
      <c r="V958" s="4" t="str">
        <f>IF(U958="","",IF(U958&gt;25,"Outlier","Normal"))</f>
        <v>Normal</v>
      </c>
    </row>
    <row r="959" spans="1:22" x14ac:dyDescent="0.3">
      <c r="A959" s="1" t="s">
        <v>8</v>
      </c>
      <c r="B959" s="1" t="s">
        <v>18</v>
      </c>
      <c r="C959" s="1" t="s">
        <v>88</v>
      </c>
      <c r="D959" s="1" t="s">
        <v>20</v>
      </c>
      <c r="E959" s="1" t="s">
        <v>12</v>
      </c>
      <c r="F959" s="4">
        <v>38</v>
      </c>
      <c r="G959" s="4">
        <v>43</v>
      </c>
      <c r="H959" s="4">
        <v>43</v>
      </c>
      <c r="I959" s="4">
        <f>AVERAGE(Student­­Performance[[#This Row],[Math Score]],Student­­Performance[[#This Row],[Reading Score]],Student­­Performance[[#This Row],[Writing Score]])</f>
        <v>41.333333333333336</v>
      </c>
      <c r="J959" s="10" t="str">
        <f>IF(Student­­Performance[[#This Row],[Average Score]]&gt;=50,"Pass","Fail")</f>
        <v>Fail</v>
      </c>
      <c r="K95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5</v>
      </c>
      <c r="L95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95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959" s="4">
        <f>IF(ISNUMBER(Student­­Performance[[#This Row],[Math Score]]),Student­­Performance[[#This Row],[Math Score]],0)</f>
        <v>38</v>
      </c>
      <c r="O959" s="4">
        <f>IF(ISNUMBER(Student­­Performance[[#This Row],[Reading Score]]),Student­­Performance[[#This Row],[Reading Score]],0)</f>
        <v>43</v>
      </c>
      <c r="P959" s="4">
        <f>IF(ISNUMBER(Student­­Performance[[#This Row],[Writing Score]]),Student­­Performance[[#This Row],[Writing Score]],0)</f>
        <v>43</v>
      </c>
      <c r="Q959" s="4" t="str">
        <f>IF(Student­­Performance[[#This Row],[Math Score]]&gt;=50,"Pass","Fail")</f>
        <v>Fail</v>
      </c>
      <c r="R959" s="4" t="str">
        <f>IF(Student­­Performance[[#This Row],[Reading Score]]&gt;=50,"Pass","Fail")</f>
        <v>Fail</v>
      </c>
      <c r="S959" s="4" t="str">
        <f>IF(Student­­Performance[[#This Row],[Writing Score]]&gt;=50,"Pass","Fail")</f>
        <v>Fail</v>
      </c>
      <c r="T95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124</v>
      </c>
      <c r="U959" s="4" cm="1">
        <f t="array" ref="U959">IF(COUNT(F959:H959)=0,"", MAX(IF(ISNUMBER(F959:H959),F959:H959)) - MIN(IF(ISNUMBER(F959:H959),F959:H959)))</f>
        <v>5</v>
      </c>
      <c r="V959" s="4" t="str">
        <f>IF(U959="","",IF(U959&gt;25,"Outlier","Normal"))</f>
        <v>Normal</v>
      </c>
    </row>
    <row r="960" spans="1:22" x14ac:dyDescent="0.3">
      <c r="A960" s="1" t="s">
        <v>17</v>
      </c>
      <c r="B960" s="1" t="s">
        <v>9</v>
      </c>
      <c r="C960" s="1" t="s">
        <v>86</v>
      </c>
      <c r="D960" s="1" t="s">
        <v>20</v>
      </c>
      <c r="E960" s="1" t="s">
        <v>12</v>
      </c>
      <c r="F960" s="4">
        <v>44</v>
      </c>
      <c r="G960" s="4">
        <v>41</v>
      </c>
      <c r="H960" s="4">
        <v>38</v>
      </c>
      <c r="I960" s="4">
        <f>AVERAGE(Student­­Performance[[#This Row],[Math Score]],Student­­Performance[[#This Row],[Reading Score]],Student­­Performance[[#This Row],[Writing Score]])</f>
        <v>41</v>
      </c>
      <c r="J960" s="10" t="str">
        <f>IF(Student­­Performance[[#This Row],[Average Score]]&gt;=50,"Pass","Fail")</f>
        <v>Fail</v>
      </c>
      <c r="K96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96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96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-6</v>
      </c>
      <c r="N960" s="4">
        <f>IF(ISNUMBER(Student­­Performance[[#This Row],[Math Score]]),Student­­Performance[[#This Row],[Math Score]],0)</f>
        <v>44</v>
      </c>
      <c r="O960" s="4">
        <f>IF(ISNUMBER(Student­­Performance[[#This Row],[Reading Score]]),Student­­Performance[[#This Row],[Reading Score]],0)</f>
        <v>41</v>
      </c>
      <c r="P960" s="4">
        <f>IF(ISNUMBER(Student­­Performance[[#This Row],[Writing Score]]),Student­­Performance[[#This Row],[Writing Score]],0)</f>
        <v>38</v>
      </c>
      <c r="Q960" s="4" t="str">
        <f>IF(Student­­Performance[[#This Row],[Math Score]]&gt;=50,"Pass","Fail")</f>
        <v>Fail</v>
      </c>
      <c r="R960" s="4" t="str">
        <f>IF(Student­­Performance[[#This Row],[Reading Score]]&gt;=50,"Pass","Fail")</f>
        <v>Fail</v>
      </c>
      <c r="S960" s="4" t="str">
        <f>IF(Student­­Performance[[#This Row],[Writing Score]]&gt;=50,"Pass","Fail")</f>
        <v>Fail</v>
      </c>
      <c r="T96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123</v>
      </c>
      <c r="U960" s="4" cm="1">
        <f t="array" ref="U960">IF(COUNT(F960:H960)=0,"", MAX(IF(ISNUMBER(F960:H960),F960:H960)) - MIN(IF(ISNUMBER(F960:H960),F960:H960)))</f>
        <v>6</v>
      </c>
      <c r="V960" s="4" t="str">
        <f>IF(U960="","",IF(U960&gt;25,"Outlier","Normal"))</f>
        <v>Normal</v>
      </c>
    </row>
    <row r="961" spans="1:22" x14ac:dyDescent="0.3">
      <c r="A961" s="1" t="s">
        <v>8</v>
      </c>
      <c r="B961" s="1" t="s">
        <v>13</v>
      </c>
      <c r="C961" s="1" t="s">
        <v>83</v>
      </c>
      <c r="D961" s="1" t="s">
        <v>20</v>
      </c>
      <c r="E961" s="1" t="s">
        <v>15</v>
      </c>
      <c r="F961" s="4">
        <v>51</v>
      </c>
      <c r="G961" s="4">
        <v>72</v>
      </c>
      <c r="H961" s="4" t="s">
        <v>90</v>
      </c>
      <c r="I961" s="4">
        <f>AVERAGE(Student­­Performance[[#This Row],[Math Score]],Student­­Performance[[#This Row],[Reading Score]],Student­­Performance[[#This Row],[Writing Score]])</f>
        <v>61.5</v>
      </c>
      <c r="J961" s="10" t="str">
        <f>IF(Student­­Performance[[#This Row],[Average Score]]&gt;=50,"Pass","Fail")</f>
        <v>Pass</v>
      </c>
      <c r="K96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21</v>
      </c>
      <c r="L961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961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61" s="4">
        <f>IF(ISNUMBER(Student­­Performance[[#This Row],[Math Score]]),Student­­Performance[[#This Row],[Math Score]],0)</f>
        <v>51</v>
      </c>
      <c r="O961" s="4">
        <f>IF(ISNUMBER(Student­­Performance[[#This Row],[Reading Score]]),Student­­Performance[[#This Row],[Reading Score]],0)</f>
        <v>72</v>
      </c>
      <c r="P961" s="4">
        <f>IF(ISNUMBER(Student­­Performance[[#This Row],[Writing Score]]),Student­­Performance[[#This Row],[Writing Score]],0)</f>
        <v>0</v>
      </c>
      <c r="Q961" s="4" t="str">
        <f>IF(Student­­Performance[[#This Row],[Math Score]]&gt;=50,"Pass","Fail")</f>
        <v>Pass</v>
      </c>
      <c r="R961" s="4" t="str">
        <f>IF(Student­­Performance[[#This Row],[Reading Score]]&gt;=50,"Pass","Fail")</f>
        <v>Pass</v>
      </c>
      <c r="S961" s="4" t="str">
        <f>IF(Student­­Performance[[#This Row],[Writing Score]]&gt;=50,"Pass","Fail")</f>
        <v>Pass</v>
      </c>
      <c r="T96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123</v>
      </c>
      <c r="U961" s="4" cm="1">
        <f t="array" ref="U961">IF(COUNT(F961:H961)=0,"", MAX(IF(ISNUMBER(F961:H961),F961:H961)) - MIN(IF(ISNUMBER(F961:H961),F961:H961)))</f>
        <v>21</v>
      </c>
      <c r="V961" s="4" t="str">
        <f>IF(U961="","",IF(U961&gt;25,"Outlier","Normal"))</f>
        <v>Normal</v>
      </c>
    </row>
    <row r="962" spans="1:22" x14ac:dyDescent="0.3">
      <c r="A962" s="1" t="s">
        <v>17</v>
      </c>
      <c r="B962" s="1" t="s">
        <v>26</v>
      </c>
      <c r="C962" s="1" t="s">
        <v>86</v>
      </c>
      <c r="D962" s="1" t="s">
        <v>11</v>
      </c>
      <c r="E962" s="1" t="s">
        <v>15</v>
      </c>
      <c r="F962" s="4">
        <v>62</v>
      </c>
      <c r="G962" s="4">
        <v>61</v>
      </c>
      <c r="H962" s="4" t="s">
        <v>90</v>
      </c>
      <c r="I962" s="4">
        <f>AVERAGE(Student­­Performance[[#This Row],[Math Score]],Student­­Performance[[#This Row],[Reading Score]],Student­­Performance[[#This Row],[Writing Score]])</f>
        <v>61.5</v>
      </c>
      <c r="J962" s="10" t="str">
        <f>IF(Student­­Performance[[#This Row],[Average Score]]&gt;=50,"Pass","Fail")</f>
        <v>Pass</v>
      </c>
      <c r="K96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962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962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62" s="4">
        <f>IF(ISNUMBER(Student­­Performance[[#This Row],[Math Score]]),Student­­Performance[[#This Row],[Math Score]],0)</f>
        <v>62</v>
      </c>
      <c r="O962" s="4">
        <f>IF(ISNUMBER(Student­­Performance[[#This Row],[Reading Score]]),Student­­Performance[[#This Row],[Reading Score]],0)</f>
        <v>61</v>
      </c>
      <c r="P962" s="4">
        <f>IF(ISNUMBER(Student­­Performance[[#This Row],[Writing Score]]),Student­­Performance[[#This Row],[Writing Score]],0)</f>
        <v>0</v>
      </c>
      <c r="Q962" s="4" t="str">
        <f>IF(Student­­Performance[[#This Row],[Math Score]]&gt;=50,"Pass","Fail")</f>
        <v>Pass</v>
      </c>
      <c r="R962" s="4" t="str">
        <f>IF(Student­­Performance[[#This Row],[Reading Score]]&gt;=50,"Pass","Fail")</f>
        <v>Pass</v>
      </c>
      <c r="S962" s="4" t="str">
        <f>IF(Student­­Performance[[#This Row],[Writing Score]]&gt;=50,"Pass","Fail")</f>
        <v>Pass</v>
      </c>
      <c r="T96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123</v>
      </c>
      <c r="U962" s="4" cm="1">
        <f t="array" ref="U962">IF(COUNT(F962:H962)=0,"", MAX(IF(ISNUMBER(F962:H962),F962:H962)) - MIN(IF(ISNUMBER(F962:H962),F962:H962)))</f>
        <v>1</v>
      </c>
      <c r="V962" s="4" t="str">
        <f>IF(U962="","",IF(U962&gt;25,"Outlier","Normal"))</f>
        <v>Normal</v>
      </c>
    </row>
    <row r="963" spans="1:22" x14ac:dyDescent="0.3">
      <c r="A963" s="1" t="s">
        <v>8</v>
      </c>
      <c r="B963" s="1" t="s">
        <v>18</v>
      </c>
      <c r="C963" s="1" t="s">
        <v>87</v>
      </c>
      <c r="D963" s="1" t="s">
        <v>20</v>
      </c>
      <c r="E963" s="1" t="s">
        <v>15</v>
      </c>
      <c r="F963" s="4">
        <v>34</v>
      </c>
      <c r="G963" s="4">
        <v>48</v>
      </c>
      <c r="H963" s="4">
        <v>41</v>
      </c>
      <c r="I963" s="4">
        <f>AVERAGE(Student­­Performance[[#This Row],[Math Score]],Student­­Performance[[#This Row],[Reading Score]],Student­­Performance[[#This Row],[Writing Score]])</f>
        <v>41</v>
      </c>
      <c r="J963" s="10" t="str">
        <f>IF(Student­­Performance[[#This Row],[Average Score]]&gt;=50,"Pass","Fail")</f>
        <v>Fail</v>
      </c>
      <c r="K96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14</v>
      </c>
      <c r="L96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96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963" s="4">
        <f>IF(ISNUMBER(Student­­Performance[[#This Row],[Math Score]]),Student­­Performance[[#This Row],[Math Score]],0)</f>
        <v>34</v>
      </c>
      <c r="O963" s="4">
        <f>IF(ISNUMBER(Student­­Performance[[#This Row],[Reading Score]]),Student­­Performance[[#This Row],[Reading Score]],0)</f>
        <v>48</v>
      </c>
      <c r="P963" s="4">
        <f>IF(ISNUMBER(Student­­Performance[[#This Row],[Writing Score]]),Student­­Performance[[#This Row],[Writing Score]],0)</f>
        <v>41</v>
      </c>
      <c r="Q963" s="4" t="str">
        <f>IF(Student­­Performance[[#This Row],[Math Score]]&gt;=50,"Pass","Fail")</f>
        <v>Fail</v>
      </c>
      <c r="R963" s="4" t="str">
        <f>IF(Student­­Performance[[#This Row],[Reading Score]]&gt;=50,"Pass","Fail")</f>
        <v>Fail</v>
      </c>
      <c r="S963" s="4" t="str">
        <f>IF(Student­­Performance[[#This Row],[Writing Score]]&gt;=50,"Pass","Fail")</f>
        <v>Fail</v>
      </c>
      <c r="T96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123</v>
      </c>
      <c r="U963" s="4" cm="1">
        <f t="array" ref="U963">IF(COUNT(F963:H963)=0,"", MAX(IF(ISNUMBER(F963:H963),F963:H963)) - MIN(IF(ISNUMBER(F963:H963),F963:H963)))</f>
        <v>14</v>
      </c>
      <c r="V963" s="4" t="str">
        <f>IF(U963="","",IF(U963&gt;25,"Outlier","Normal"))</f>
        <v>Normal</v>
      </c>
    </row>
    <row r="964" spans="1:22" x14ac:dyDescent="0.3">
      <c r="A964" s="1" t="s">
        <v>17</v>
      </c>
      <c r="B964" s="1" t="s">
        <v>9</v>
      </c>
      <c r="C964" s="1" t="s">
        <v>84</v>
      </c>
      <c r="D964" s="1" t="s">
        <v>20</v>
      </c>
      <c r="E964" s="1" t="s">
        <v>12</v>
      </c>
      <c r="F964" s="4">
        <v>40</v>
      </c>
      <c r="G964" s="4">
        <v>43</v>
      </c>
      <c r="H964" s="4">
        <v>39</v>
      </c>
      <c r="I964" s="4">
        <f>AVERAGE(Student­­Performance[[#This Row],[Math Score]],Student­­Performance[[#This Row],[Reading Score]],Student­­Performance[[#This Row],[Writing Score]])</f>
        <v>40.666666666666664</v>
      </c>
      <c r="J964" s="10" t="str">
        <f>IF(Student­­Performance[[#This Row],[Average Score]]&gt;=50,"Pass","Fail")</f>
        <v>Fail</v>
      </c>
      <c r="K96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96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96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964" s="4">
        <f>IF(ISNUMBER(Student­­Performance[[#This Row],[Math Score]]),Student­­Performance[[#This Row],[Math Score]],0)</f>
        <v>40</v>
      </c>
      <c r="O964" s="4">
        <f>IF(ISNUMBER(Student­­Performance[[#This Row],[Reading Score]]),Student­­Performance[[#This Row],[Reading Score]],0)</f>
        <v>43</v>
      </c>
      <c r="P964" s="4">
        <f>IF(ISNUMBER(Student­­Performance[[#This Row],[Writing Score]]),Student­­Performance[[#This Row],[Writing Score]],0)</f>
        <v>39</v>
      </c>
      <c r="Q964" s="4" t="str">
        <f>IF(Student­­Performance[[#This Row],[Math Score]]&gt;=50,"Pass","Fail")</f>
        <v>Fail</v>
      </c>
      <c r="R964" s="4" t="str">
        <f>IF(Student­­Performance[[#This Row],[Reading Score]]&gt;=50,"Pass","Fail")</f>
        <v>Fail</v>
      </c>
      <c r="S964" s="4" t="str">
        <f>IF(Student­­Performance[[#This Row],[Writing Score]]&gt;=50,"Pass","Fail")</f>
        <v>Fail</v>
      </c>
      <c r="T96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122</v>
      </c>
      <c r="U964" s="4" cm="1">
        <f t="array" ref="U964">IF(COUNT(F964:H964)=0,"", MAX(IF(ISNUMBER(F964:H964),F964:H964)) - MIN(IF(ISNUMBER(F964:H964),F964:H964)))</f>
        <v>4</v>
      </c>
      <c r="V964" s="4" t="str">
        <f>IF(U964="","",IF(U964&gt;25,"Outlier","Normal"))</f>
        <v>Normal</v>
      </c>
    </row>
    <row r="965" spans="1:22" x14ac:dyDescent="0.3">
      <c r="A965" s="1" t="s">
        <v>8</v>
      </c>
      <c r="B965" s="1" t="s">
        <v>13</v>
      </c>
      <c r="C965" s="1" t="s">
        <v>84</v>
      </c>
      <c r="D965" s="1" t="s">
        <v>20</v>
      </c>
      <c r="E965" s="1" t="s">
        <v>12</v>
      </c>
      <c r="F965" s="4">
        <v>35</v>
      </c>
      <c r="G965" s="4">
        <v>44</v>
      </c>
      <c r="H965" s="4">
        <v>43</v>
      </c>
      <c r="I965" s="4">
        <f>AVERAGE(Student­­Performance[[#This Row],[Math Score]],Student­­Performance[[#This Row],[Reading Score]],Student­­Performance[[#This Row],[Writing Score]])</f>
        <v>40.666666666666664</v>
      </c>
      <c r="J965" s="10" t="str">
        <f>IF(Student­­Performance[[#This Row],[Average Score]]&gt;=50,"Pass","Fail")</f>
        <v>Fail</v>
      </c>
      <c r="K96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9</v>
      </c>
      <c r="L96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965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8</v>
      </c>
      <c r="N965" s="4">
        <f>IF(ISNUMBER(Student­­Performance[[#This Row],[Math Score]]),Student­­Performance[[#This Row],[Math Score]],0)</f>
        <v>35</v>
      </c>
      <c r="O965" s="4">
        <f>IF(ISNUMBER(Student­­Performance[[#This Row],[Reading Score]]),Student­­Performance[[#This Row],[Reading Score]],0)</f>
        <v>44</v>
      </c>
      <c r="P965" s="4">
        <f>IF(ISNUMBER(Student­­Performance[[#This Row],[Writing Score]]),Student­­Performance[[#This Row],[Writing Score]],0)</f>
        <v>43</v>
      </c>
      <c r="Q965" s="4" t="str">
        <f>IF(Student­­Performance[[#This Row],[Math Score]]&gt;=50,"Pass","Fail")</f>
        <v>Fail</v>
      </c>
      <c r="R965" s="4" t="str">
        <f>IF(Student­­Performance[[#This Row],[Reading Score]]&gt;=50,"Pass","Fail")</f>
        <v>Fail</v>
      </c>
      <c r="S965" s="4" t="str">
        <f>IF(Student­­Performance[[#This Row],[Writing Score]]&gt;=50,"Pass","Fail")</f>
        <v>Fail</v>
      </c>
      <c r="T96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122</v>
      </c>
      <c r="U965" s="4" cm="1">
        <f t="array" ref="U965">IF(COUNT(F965:H965)=0,"", MAX(IF(ISNUMBER(F965:H965),F965:H965)) - MIN(IF(ISNUMBER(F965:H965),F965:H965)))</f>
        <v>9</v>
      </c>
      <c r="V965" s="4" t="str">
        <f>IF(U965="","",IF(U965&gt;25,"Outlier","Normal"))</f>
        <v>Normal</v>
      </c>
    </row>
    <row r="966" spans="1:22" x14ac:dyDescent="0.3">
      <c r="A966" s="1" t="s">
        <v>17</v>
      </c>
      <c r="B966" s="1" t="s">
        <v>21</v>
      </c>
      <c r="C966" s="1" t="s">
        <v>84</v>
      </c>
      <c r="D966" s="1" t="s">
        <v>11</v>
      </c>
      <c r="E966" s="1" t="s">
        <v>12</v>
      </c>
      <c r="F966" s="4">
        <v>40</v>
      </c>
      <c r="G966" s="4">
        <v>42</v>
      </c>
      <c r="H966" s="4">
        <v>38</v>
      </c>
      <c r="I966" s="4">
        <f>AVERAGE(Student­­Performance[[#This Row],[Math Score]],Student­­Performance[[#This Row],[Reading Score]],Student­­Performance[[#This Row],[Writing Score]])</f>
        <v>40</v>
      </c>
      <c r="J966" s="10" t="str">
        <f>IF(Student­­Performance[[#This Row],[Average Score]]&gt;=50,"Pass","Fail")</f>
        <v>Fail</v>
      </c>
      <c r="K96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96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96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-2</v>
      </c>
      <c r="N966" s="4">
        <f>IF(ISNUMBER(Student­­Performance[[#This Row],[Math Score]]),Student­­Performance[[#This Row],[Math Score]],0)</f>
        <v>40</v>
      </c>
      <c r="O966" s="4">
        <f>IF(ISNUMBER(Student­­Performance[[#This Row],[Reading Score]]),Student­­Performance[[#This Row],[Reading Score]],0)</f>
        <v>42</v>
      </c>
      <c r="P966" s="4">
        <f>IF(ISNUMBER(Student­­Performance[[#This Row],[Writing Score]]),Student­­Performance[[#This Row],[Writing Score]],0)</f>
        <v>38</v>
      </c>
      <c r="Q966" s="4" t="str">
        <f>IF(Student­­Performance[[#This Row],[Math Score]]&gt;=50,"Pass","Fail")</f>
        <v>Fail</v>
      </c>
      <c r="R966" s="4" t="str">
        <f>IF(Student­­Performance[[#This Row],[Reading Score]]&gt;=50,"Pass","Fail")</f>
        <v>Fail</v>
      </c>
      <c r="S966" s="4" t="str">
        <f>IF(Student­­Performance[[#This Row],[Writing Score]]&gt;=50,"Pass","Fail")</f>
        <v>Fail</v>
      </c>
      <c r="T96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120</v>
      </c>
      <c r="U966" s="4" cm="1">
        <f t="array" ref="U966">IF(COUNT(F966:H966)=0,"", MAX(IF(ISNUMBER(F966:H966),F966:H966)) - MIN(IF(ISNUMBER(F966:H966),F966:H966)))</f>
        <v>4</v>
      </c>
      <c r="V966" s="4" t="str">
        <f>IF(U966="","",IF(U966&gt;25,"Outlier","Normal"))</f>
        <v>Normal</v>
      </c>
    </row>
    <row r="967" spans="1:22" x14ac:dyDescent="0.3">
      <c r="A967" s="1" t="s">
        <v>8</v>
      </c>
      <c r="B967" s="1" t="s">
        <v>26</v>
      </c>
      <c r="C967" s="1" t="s">
        <v>83</v>
      </c>
      <c r="D967" s="1" t="s">
        <v>11</v>
      </c>
      <c r="E967" s="1" t="s">
        <v>12</v>
      </c>
      <c r="F967" s="4">
        <v>37</v>
      </c>
      <c r="G967" s="4">
        <v>45</v>
      </c>
      <c r="H967" s="4">
        <v>38</v>
      </c>
      <c r="I967" s="4">
        <f>AVERAGE(Student­­Performance[[#This Row],[Math Score]],Student­­Performance[[#This Row],[Reading Score]],Student­­Performance[[#This Row],[Writing Score]])</f>
        <v>40</v>
      </c>
      <c r="J967" s="10" t="str">
        <f>IF(Student­­Performance[[#This Row],[Average Score]]&gt;=50,"Pass","Fail")</f>
        <v>Fail</v>
      </c>
      <c r="K96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96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96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967" s="4">
        <f>IF(ISNUMBER(Student­­Performance[[#This Row],[Math Score]]),Student­­Performance[[#This Row],[Math Score]],0)</f>
        <v>37</v>
      </c>
      <c r="O967" s="4">
        <f>IF(ISNUMBER(Student­­Performance[[#This Row],[Reading Score]]),Student­­Performance[[#This Row],[Reading Score]],0)</f>
        <v>45</v>
      </c>
      <c r="P967" s="4">
        <f>IF(ISNUMBER(Student­­Performance[[#This Row],[Writing Score]]),Student­­Performance[[#This Row],[Writing Score]],0)</f>
        <v>38</v>
      </c>
      <c r="Q967" s="4" t="str">
        <f>IF(Student­­Performance[[#This Row],[Math Score]]&gt;=50,"Pass","Fail")</f>
        <v>Fail</v>
      </c>
      <c r="R967" s="4" t="str">
        <f>IF(Student­­Performance[[#This Row],[Reading Score]]&gt;=50,"Pass","Fail")</f>
        <v>Fail</v>
      </c>
      <c r="S967" s="4" t="str">
        <f>IF(Student­­Performance[[#This Row],[Writing Score]]&gt;=50,"Pass","Fail")</f>
        <v>Fail</v>
      </c>
      <c r="T96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120</v>
      </c>
      <c r="U967" s="4" cm="1">
        <f t="array" ref="U967">IF(COUNT(F967:H967)=0,"", MAX(IF(ISNUMBER(F967:H967),F967:H967)) - MIN(IF(ISNUMBER(F967:H967),F967:H967)))</f>
        <v>8</v>
      </c>
      <c r="V967" s="4" t="str">
        <f>IF(U967="","",IF(U967&gt;25,"Outlier","Normal"))</f>
        <v>Normal</v>
      </c>
    </row>
    <row r="968" spans="1:22" x14ac:dyDescent="0.3">
      <c r="A968" s="1" t="s">
        <v>17</v>
      </c>
      <c r="B968" s="1" t="s">
        <v>21</v>
      </c>
      <c r="C968" s="1" t="s">
        <v>88</v>
      </c>
      <c r="D968" s="1" t="s">
        <v>20</v>
      </c>
      <c r="E968" s="1" t="s">
        <v>12</v>
      </c>
      <c r="F968" s="4">
        <v>45</v>
      </c>
      <c r="G968" s="4">
        <v>37</v>
      </c>
      <c r="H968" s="4">
        <v>37</v>
      </c>
      <c r="I968" s="4">
        <f>AVERAGE(Student­­Performance[[#This Row],[Math Score]],Student­­Performance[[#This Row],[Reading Score]],Student­­Performance[[#This Row],[Writing Score]])</f>
        <v>39.666666666666664</v>
      </c>
      <c r="J968" s="10" t="str">
        <f>IF(Student­­Performance[[#This Row],[Average Score]]&gt;=50,"Pass","Fail")</f>
        <v>Fail</v>
      </c>
      <c r="K96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-8</v>
      </c>
      <c r="L96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0</v>
      </c>
      <c r="M96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968" s="4">
        <f>IF(ISNUMBER(Student­­Performance[[#This Row],[Math Score]]),Student­­Performance[[#This Row],[Math Score]],0)</f>
        <v>45</v>
      </c>
      <c r="O968" s="4">
        <f>IF(ISNUMBER(Student­­Performance[[#This Row],[Reading Score]]),Student­­Performance[[#This Row],[Reading Score]],0)</f>
        <v>37</v>
      </c>
      <c r="P968" s="4">
        <f>IF(ISNUMBER(Student­­Performance[[#This Row],[Writing Score]]),Student­­Performance[[#This Row],[Writing Score]],0)</f>
        <v>37</v>
      </c>
      <c r="Q968" s="4" t="str">
        <f>IF(Student­­Performance[[#This Row],[Math Score]]&gt;=50,"Pass","Fail")</f>
        <v>Fail</v>
      </c>
      <c r="R968" s="4" t="str">
        <f>IF(Student­­Performance[[#This Row],[Reading Score]]&gt;=50,"Pass","Fail")</f>
        <v>Fail</v>
      </c>
      <c r="S968" s="4" t="str">
        <f>IF(Student­­Performance[[#This Row],[Writing Score]]&gt;=50,"Pass","Fail")</f>
        <v>Fail</v>
      </c>
      <c r="T96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119</v>
      </c>
      <c r="U968" s="4" cm="1">
        <f t="array" ref="U968">IF(COUNT(F968:H968)=0,"", MAX(IF(ISNUMBER(F968:H968),F968:H968)) - MIN(IF(ISNUMBER(F968:H968),F968:H968)))</f>
        <v>8</v>
      </c>
      <c r="V968" s="4" t="str">
        <f>IF(U968="","",IF(U968&gt;25,"Outlier","Normal"))</f>
        <v>Normal</v>
      </c>
    </row>
    <row r="969" spans="1:22" x14ac:dyDescent="0.3">
      <c r="A969" s="1" t="s">
        <v>17</v>
      </c>
      <c r="B969" s="1" t="s">
        <v>13</v>
      </c>
      <c r="C969" s="1" t="s">
        <v>86</v>
      </c>
      <c r="D969" s="1" t="s">
        <v>11</v>
      </c>
      <c r="E969" s="1" t="s">
        <v>12</v>
      </c>
      <c r="F969" s="4">
        <v>47</v>
      </c>
      <c r="G969" s="4">
        <v>37</v>
      </c>
      <c r="H969" s="4">
        <v>35</v>
      </c>
      <c r="I969" s="4">
        <f>AVERAGE(Student­­Performance[[#This Row],[Math Score]],Student­­Performance[[#This Row],[Reading Score]],Student­­Performance[[#This Row],[Writing Score]])</f>
        <v>39.666666666666664</v>
      </c>
      <c r="J969" s="10" t="str">
        <f>IF(Student­­Performance[[#This Row],[Average Score]]&gt;=50,"Pass","Fail")</f>
        <v>Fail</v>
      </c>
      <c r="K96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-10</v>
      </c>
      <c r="L96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96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-12</v>
      </c>
      <c r="N969" s="4">
        <f>IF(ISNUMBER(Student­­Performance[[#This Row],[Math Score]]),Student­­Performance[[#This Row],[Math Score]],0)</f>
        <v>47</v>
      </c>
      <c r="O969" s="4">
        <f>IF(ISNUMBER(Student­­Performance[[#This Row],[Reading Score]]),Student­­Performance[[#This Row],[Reading Score]],0)</f>
        <v>37</v>
      </c>
      <c r="P969" s="4">
        <f>IF(ISNUMBER(Student­­Performance[[#This Row],[Writing Score]]),Student­­Performance[[#This Row],[Writing Score]],0)</f>
        <v>35</v>
      </c>
      <c r="Q969" s="4" t="str">
        <f>IF(Student­­Performance[[#This Row],[Math Score]]&gt;=50,"Pass","Fail")</f>
        <v>Fail</v>
      </c>
      <c r="R969" s="4" t="str">
        <f>IF(Student­­Performance[[#This Row],[Reading Score]]&gt;=50,"Pass","Fail")</f>
        <v>Fail</v>
      </c>
      <c r="S969" s="4" t="str">
        <f>IF(Student­­Performance[[#This Row],[Writing Score]]&gt;=50,"Pass","Fail")</f>
        <v>Fail</v>
      </c>
      <c r="T96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119</v>
      </c>
      <c r="U969" s="4" cm="1">
        <f t="array" ref="U969">IF(COUNT(F969:H969)=0,"", MAX(IF(ISNUMBER(F969:H969),F969:H969)) - MIN(IF(ISNUMBER(F969:H969),F969:H969)))</f>
        <v>12</v>
      </c>
      <c r="V969" s="4" t="str">
        <f>IF(U969="","",IF(U969&gt;25,"Outlier","Normal"))</f>
        <v>Normal</v>
      </c>
    </row>
    <row r="970" spans="1:22" x14ac:dyDescent="0.3">
      <c r="A970" s="1" t="s">
        <v>17</v>
      </c>
      <c r="B970" s="1" t="s">
        <v>21</v>
      </c>
      <c r="C970" s="1" t="s">
        <v>83</v>
      </c>
      <c r="D970" s="1" t="s">
        <v>20</v>
      </c>
      <c r="E970" s="1" t="s">
        <v>15</v>
      </c>
      <c r="F970" s="4">
        <v>39</v>
      </c>
      <c r="G970" s="4">
        <v>42</v>
      </c>
      <c r="H970" s="4">
        <v>38</v>
      </c>
      <c r="I970" s="4">
        <f>AVERAGE(Student­­Performance[[#This Row],[Math Score]],Student­­Performance[[#This Row],[Reading Score]],Student­­Performance[[#This Row],[Writing Score]])</f>
        <v>39.666666666666664</v>
      </c>
      <c r="J970" s="10" t="str">
        <f>IF(Student­­Performance[[#This Row],[Average Score]]&gt;=50,"Pass","Fail")</f>
        <v>Fail</v>
      </c>
      <c r="K97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3</v>
      </c>
      <c r="L97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97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</v>
      </c>
      <c r="N970" s="4">
        <f>IF(ISNUMBER(Student­­Performance[[#This Row],[Math Score]]),Student­­Performance[[#This Row],[Math Score]],0)</f>
        <v>39</v>
      </c>
      <c r="O970" s="4">
        <f>IF(ISNUMBER(Student­­Performance[[#This Row],[Reading Score]]),Student­­Performance[[#This Row],[Reading Score]],0)</f>
        <v>42</v>
      </c>
      <c r="P970" s="4">
        <f>IF(ISNUMBER(Student­­Performance[[#This Row],[Writing Score]]),Student­­Performance[[#This Row],[Writing Score]],0)</f>
        <v>38</v>
      </c>
      <c r="Q970" s="4" t="str">
        <f>IF(Student­­Performance[[#This Row],[Math Score]]&gt;=50,"Pass","Fail")</f>
        <v>Fail</v>
      </c>
      <c r="R970" s="4" t="str">
        <f>IF(Student­­Performance[[#This Row],[Reading Score]]&gt;=50,"Pass","Fail")</f>
        <v>Fail</v>
      </c>
      <c r="S970" s="4" t="str">
        <f>IF(Student­­Performance[[#This Row],[Writing Score]]&gt;=50,"Pass","Fail")</f>
        <v>Fail</v>
      </c>
      <c r="T97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119</v>
      </c>
      <c r="U970" s="4" cm="1">
        <f t="array" ref="U970">IF(COUNT(F970:H970)=0,"", MAX(IF(ISNUMBER(F970:H970),F970:H970)) - MIN(IF(ISNUMBER(F970:H970),F970:H970)))</f>
        <v>4</v>
      </c>
      <c r="V970" s="4" t="str">
        <f>IF(U970="","",IF(U970&gt;25,"Outlier","Normal"))</f>
        <v>Normal</v>
      </c>
    </row>
    <row r="971" spans="1:22" x14ac:dyDescent="0.3">
      <c r="A971" s="1" t="s">
        <v>17</v>
      </c>
      <c r="B971" s="1" t="s">
        <v>18</v>
      </c>
      <c r="C971" s="1" t="s">
        <v>88</v>
      </c>
      <c r="D971" s="1" t="s">
        <v>11</v>
      </c>
      <c r="E971" s="1" t="s">
        <v>12</v>
      </c>
      <c r="F971" s="4">
        <v>51</v>
      </c>
      <c r="G971" s="4">
        <v>31</v>
      </c>
      <c r="H971" s="4">
        <v>36</v>
      </c>
      <c r="I971" s="4">
        <f>AVERAGE(Student­­Performance[[#This Row],[Math Score]],Student­­Performance[[#This Row],[Reading Score]],Student­­Performance[[#This Row],[Writing Score]])</f>
        <v>39.333333333333336</v>
      </c>
      <c r="J971" s="10" t="str">
        <f>IF(Student­­Performance[[#This Row],[Average Score]]&gt;=50,"Pass","Fail")</f>
        <v>Fail</v>
      </c>
      <c r="K97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-20</v>
      </c>
      <c r="L97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97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-15</v>
      </c>
      <c r="N971" s="4">
        <f>IF(ISNUMBER(Student­­Performance[[#This Row],[Math Score]]),Student­­Performance[[#This Row],[Math Score]],0)</f>
        <v>51</v>
      </c>
      <c r="O971" s="4">
        <f>IF(ISNUMBER(Student­­Performance[[#This Row],[Reading Score]]),Student­­Performance[[#This Row],[Reading Score]],0)</f>
        <v>31</v>
      </c>
      <c r="P971" s="4">
        <f>IF(ISNUMBER(Student­­Performance[[#This Row],[Writing Score]]),Student­­Performance[[#This Row],[Writing Score]],0)</f>
        <v>36</v>
      </c>
      <c r="Q971" s="4" t="str">
        <f>IF(Student­­Performance[[#This Row],[Math Score]]&gt;=50,"Pass","Fail")</f>
        <v>Pass</v>
      </c>
      <c r="R971" s="4" t="str">
        <f>IF(Student­­Performance[[#This Row],[Reading Score]]&gt;=50,"Pass","Fail")</f>
        <v>Fail</v>
      </c>
      <c r="S971" s="4" t="str">
        <f>IF(Student­­Performance[[#This Row],[Writing Score]]&gt;=50,"Pass","Fail")</f>
        <v>Fail</v>
      </c>
      <c r="T97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118</v>
      </c>
      <c r="U971" s="4" cm="1">
        <f t="array" ref="U971">IF(COUNT(F971:H971)=0,"", MAX(IF(ISNUMBER(F971:H971),F971:H971)) - MIN(IF(ISNUMBER(F971:H971),F971:H971)))</f>
        <v>20</v>
      </c>
      <c r="V971" s="4" t="str">
        <f>IF(U971="","",IF(U971&gt;25,"Outlier","Normal"))</f>
        <v>Normal</v>
      </c>
    </row>
    <row r="972" spans="1:22" x14ac:dyDescent="0.3">
      <c r="A972" s="1" t="s">
        <v>17</v>
      </c>
      <c r="B972" s="1" t="s">
        <v>18</v>
      </c>
      <c r="C972" s="1" t="s">
        <v>83</v>
      </c>
      <c r="D972" s="1" t="s">
        <v>11</v>
      </c>
      <c r="E972" s="1" t="s">
        <v>12</v>
      </c>
      <c r="F972" s="4" t="s">
        <v>90</v>
      </c>
      <c r="G972" s="4">
        <v>60</v>
      </c>
      <c r="H972" s="4">
        <v>58</v>
      </c>
      <c r="I972" s="4">
        <f>AVERAGE(Student­­Performance[[#This Row],[Math Score]],Student­­Performance[[#This Row],[Reading Score]],Student­­Performance[[#This Row],[Writing Score]])</f>
        <v>59</v>
      </c>
      <c r="J972" s="10" t="str">
        <f>IF(Student­­Performance[[#This Row],[Average Score]]&gt;=50,"Pass","Fail")</f>
        <v>Pass</v>
      </c>
      <c r="K972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97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972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72" s="4">
        <f>IF(ISNUMBER(Student­­Performance[[#This Row],[Math Score]]),Student­­Performance[[#This Row],[Math Score]],0)</f>
        <v>0</v>
      </c>
      <c r="O972" s="4">
        <f>IF(ISNUMBER(Student­­Performance[[#This Row],[Reading Score]]),Student­­Performance[[#This Row],[Reading Score]],0)</f>
        <v>60</v>
      </c>
      <c r="P972" s="4">
        <f>IF(ISNUMBER(Student­­Performance[[#This Row],[Writing Score]]),Student­­Performance[[#This Row],[Writing Score]],0)</f>
        <v>58</v>
      </c>
      <c r="Q972" s="4" t="str">
        <f>IF(Student­­Performance[[#This Row],[Math Score]]&gt;=50,"Pass","Fail")</f>
        <v>Pass</v>
      </c>
      <c r="R972" s="4" t="str">
        <f>IF(Student­­Performance[[#This Row],[Reading Score]]&gt;=50,"Pass","Fail")</f>
        <v>Pass</v>
      </c>
      <c r="S972" s="4" t="str">
        <f>IF(Student­­Performance[[#This Row],[Writing Score]]&gt;=50,"Pass","Fail")</f>
        <v>Pass</v>
      </c>
      <c r="T97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118</v>
      </c>
      <c r="U972" s="4" cm="1">
        <f t="array" ref="U972">IF(COUNT(F972:H972)=0,"", MAX(IF(ISNUMBER(F972:H972),F972:H972)) - MIN(IF(ISNUMBER(F972:H972),F972:H972)))</f>
        <v>2</v>
      </c>
      <c r="V972" s="4" t="str">
        <f>IF(U972="","",IF(U972&gt;25,"Outlier","Normal"))</f>
        <v>Normal</v>
      </c>
    </row>
    <row r="973" spans="1:22" x14ac:dyDescent="0.3">
      <c r="A973" s="1" t="s">
        <v>8</v>
      </c>
      <c r="B973" s="1" t="s">
        <v>13</v>
      </c>
      <c r="C973" s="1" t="s">
        <v>87</v>
      </c>
      <c r="D973" s="1" t="s">
        <v>20</v>
      </c>
      <c r="E973" s="1" t="s">
        <v>12</v>
      </c>
      <c r="F973" s="4">
        <v>33</v>
      </c>
      <c r="G973" s="4">
        <v>41</v>
      </c>
      <c r="H973" s="4">
        <v>43</v>
      </c>
      <c r="I973" s="4">
        <f>AVERAGE(Student­­Performance[[#This Row],[Math Score]],Student­­Performance[[#This Row],[Reading Score]],Student­­Performance[[#This Row],[Writing Score]])</f>
        <v>39</v>
      </c>
      <c r="J973" s="10" t="str">
        <f>IF(Student­­Performance[[#This Row],[Average Score]]&gt;=50,"Pass","Fail")</f>
        <v>Fail</v>
      </c>
      <c r="K97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97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97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973" s="4">
        <f>IF(ISNUMBER(Student­­Performance[[#This Row],[Math Score]]),Student­­Performance[[#This Row],[Math Score]],0)</f>
        <v>33</v>
      </c>
      <c r="O973" s="4">
        <f>IF(ISNUMBER(Student­­Performance[[#This Row],[Reading Score]]),Student­­Performance[[#This Row],[Reading Score]],0)</f>
        <v>41</v>
      </c>
      <c r="P973" s="4">
        <f>IF(ISNUMBER(Student­­Performance[[#This Row],[Writing Score]]),Student­­Performance[[#This Row],[Writing Score]],0)</f>
        <v>43</v>
      </c>
      <c r="Q973" s="4" t="str">
        <f>IF(Student­­Performance[[#This Row],[Math Score]]&gt;=50,"Pass","Fail")</f>
        <v>Fail</v>
      </c>
      <c r="R973" s="4" t="str">
        <f>IF(Student­­Performance[[#This Row],[Reading Score]]&gt;=50,"Pass","Fail")</f>
        <v>Fail</v>
      </c>
      <c r="S973" s="4" t="str">
        <f>IF(Student­­Performance[[#This Row],[Writing Score]]&gt;=50,"Pass","Fail")</f>
        <v>Fail</v>
      </c>
      <c r="T97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117</v>
      </c>
      <c r="U973" s="4" cm="1">
        <f t="array" ref="U973">IF(COUNT(F973:H973)=0,"", MAX(IF(ISNUMBER(F973:H973),F973:H973)) - MIN(IF(ISNUMBER(F973:H973),F973:H973)))</f>
        <v>10</v>
      </c>
      <c r="V973" s="4" t="str">
        <f>IF(U973="","",IF(U973&gt;25,"Outlier","Normal"))</f>
        <v>Normal</v>
      </c>
    </row>
    <row r="974" spans="1:22" x14ac:dyDescent="0.3">
      <c r="A974" s="1" t="s">
        <v>8</v>
      </c>
      <c r="B974" s="1" t="s">
        <v>21</v>
      </c>
      <c r="C974" s="1" t="s">
        <v>83</v>
      </c>
      <c r="D974" s="1" t="s">
        <v>20</v>
      </c>
      <c r="E974" s="1" t="s">
        <v>12</v>
      </c>
      <c r="F974" s="4">
        <v>29</v>
      </c>
      <c r="G974" s="4">
        <v>41</v>
      </c>
      <c r="H974" s="4">
        <v>47</v>
      </c>
      <c r="I974" s="4">
        <f>AVERAGE(Student­­Performance[[#This Row],[Math Score]],Student­­Performance[[#This Row],[Reading Score]],Student­­Performance[[#This Row],[Writing Score]])</f>
        <v>39</v>
      </c>
      <c r="J974" s="10" t="str">
        <f>IF(Student­­Performance[[#This Row],[Average Score]]&gt;=50,"Pass","Fail")</f>
        <v>Fail</v>
      </c>
      <c r="K97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12</v>
      </c>
      <c r="L97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6</v>
      </c>
      <c r="M97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18</v>
      </c>
      <c r="N974" s="4">
        <f>IF(ISNUMBER(Student­­Performance[[#This Row],[Math Score]]),Student­­Performance[[#This Row],[Math Score]],0)</f>
        <v>29</v>
      </c>
      <c r="O974" s="4">
        <f>IF(ISNUMBER(Student­­Performance[[#This Row],[Reading Score]]),Student­­Performance[[#This Row],[Reading Score]],0)</f>
        <v>41</v>
      </c>
      <c r="P974" s="4">
        <f>IF(ISNUMBER(Student­­Performance[[#This Row],[Writing Score]]),Student­­Performance[[#This Row],[Writing Score]],0)</f>
        <v>47</v>
      </c>
      <c r="Q974" s="4" t="str">
        <f>IF(Student­­Performance[[#This Row],[Math Score]]&gt;=50,"Pass","Fail")</f>
        <v>Fail</v>
      </c>
      <c r="R974" s="4" t="str">
        <f>IF(Student­­Performance[[#This Row],[Reading Score]]&gt;=50,"Pass","Fail")</f>
        <v>Fail</v>
      </c>
      <c r="S974" s="4" t="str">
        <f>IF(Student­­Performance[[#This Row],[Writing Score]]&gt;=50,"Pass","Fail")</f>
        <v>Fail</v>
      </c>
      <c r="T97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117</v>
      </c>
      <c r="U974" s="4" cm="1">
        <f t="array" ref="U974">IF(COUNT(F974:H974)=0,"", MAX(IF(ISNUMBER(F974:H974),F974:H974)) - MIN(IF(ISNUMBER(F974:H974),F974:H974)))</f>
        <v>18</v>
      </c>
      <c r="V974" s="4" t="str">
        <f>IF(U974="","",IF(U974&gt;25,"Outlier","Normal"))</f>
        <v>Normal</v>
      </c>
    </row>
    <row r="975" spans="1:22" x14ac:dyDescent="0.3">
      <c r="A975" s="1" t="s">
        <v>17</v>
      </c>
      <c r="B975" s="1" t="s">
        <v>9</v>
      </c>
      <c r="C975" s="1" t="s">
        <v>87</v>
      </c>
      <c r="D975" s="1" t="s">
        <v>11</v>
      </c>
      <c r="E975" s="1" t="s">
        <v>12</v>
      </c>
      <c r="F975" s="4">
        <v>59</v>
      </c>
      <c r="G975" s="4">
        <v>58</v>
      </c>
      <c r="H975" s="4" t="s">
        <v>90</v>
      </c>
      <c r="I975" s="4">
        <f>AVERAGE(Student­­Performance[[#This Row],[Math Score]],Student­­Performance[[#This Row],[Reading Score]],Student­­Performance[[#This Row],[Writing Score]])</f>
        <v>58.5</v>
      </c>
      <c r="J975" s="10" t="str">
        <f>IF(Student­­Performance[[#This Row],[Average Score]]&gt;=50,"Pass","Fail")</f>
        <v>Pass</v>
      </c>
      <c r="K975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</v>
      </c>
      <c r="L975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975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75" s="4">
        <f>IF(ISNUMBER(Student­­Performance[[#This Row],[Math Score]]),Student­­Performance[[#This Row],[Math Score]],0)</f>
        <v>59</v>
      </c>
      <c r="O975" s="4">
        <f>IF(ISNUMBER(Student­­Performance[[#This Row],[Reading Score]]),Student­­Performance[[#This Row],[Reading Score]],0)</f>
        <v>58</v>
      </c>
      <c r="P975" s="4">
        <f>IF(ISNUMBER(Student­­Performance[[#This Row],[Writing Score]]),Student­­Performance[[#This Row],[Writing Score]],0)</f>
        <v>0</v>
      </c>
      <c r="Q975" s="4" t="str">
        <f>IF(Student­­Performance[[#This Row],[Math Score]]&gt;=50,"Pass","Fail")</f>
        <v>Pass</v>
      </c>
      <c r="R975" s="4" t="str">
        <f>IF(Student­­Performance[[#This Row],[Reading Score]]&gt;=50,"Pass","Fail")</f>
        <v>Pass</v>
      </c>
      <c r="S975" s="4" t="str">
        <f>IF(Student­­Performance[[#This Row],[Writing Score]]&gt;=50,"Pass","Fail")</f>
        <v>Pass</v>
      </c>
      <c r="T97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117</v>
      </c>
      <c r="U975" s="4" cm="1">
        <f t="array" ref="U975">IF(COUNT(F975:H975)=0,"", MAX(IF(ISNUMBER(F975:H975),F975:H975)) - MIN(IF(ISNUMBER(F975:H975),F975:H975)))</f>
        <v>1</v>
      </c>
      <c r="V975" s="4" t="str">
        <f>IF(U975="","",IF(U975&gt;25,"Outlier","Normal"))</f>
        <v>Normal</v>
      </c>
    </row>
    <row r="976" spans="1:22" x14ac:dyDescent="0.3">
      <c r="A976" s="1" t="s">
        <v>17</v>
      </c>
      <c r="B976" s="1" t="s">
        <v>21</v>
      </c>
      <c r="C976" s="1" t="s">
        <v>87</v>
      </c>
      <c r="D976" s="1" t="s">
        <v>11</v>
      </c>
      <c r="E976" s="1" t="s">
        <v>12</v>
      </c>
      <c r="F976" s="4">
        <v>46</v>
      </c>
      <c r="G976" s="4">
        <v>34</v>
      </c>
      <c r="H976" s="4">
        <v>36</v>
      </c>
      <c r="I976" s="4">
        <f>AVERAGE(Student­­Performance[[#This Row],[Math Score]],Student­­Performance[[#This Row],[Reading Score]],Student­­Performance[[#This Row],[Writing Score]])</f>
        <v>38.666666666666664</v>
      </c>
      <c r="J976" s="10" t="str">
        <f>IF(Student­­Performance[[#This Row],[Average Score]]&gt;=50,"Pass","Fail")</f>
        <v>Fail</v>
      </c>
      <c r="K97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-12</v>
      </c>
      <c r="L97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97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-10</v>
      </c>
      <c r="N976" s="4">
        <f>IF(ISNUMBER(Student­­Performance[[#This Row],[Math Score]]),Student­­Performance[[#This Row],[Math Score]],0)</f>
        <v>46</v>
      </c>
      <c r="O976" s="4">
        <f>IF(ISNUMBER(Student­­Performance[[#This Row],[Reading Score]]),Student­­Performance[[#This Row],[Reading Score]],0)</f>
        <v>34</v>
      </c>
      <c r="P976" s="4">
        <f>IF(ISNUMBER(Student­­Performance[[#This Row],[Writing Score]]),Student­­Performance[[#This Row],[Writing Score]],0)</f>
        <v>36</v>
      </c>
      <c r="Q976" s="4" t="str">
        <f>IF(Student­­Performance[[#This Row],[Math Score]]&gt;=50,"Pass","Fail")</f>
        <v>Fail</v>
      </c>
      <c r="R976" s="4" t="str">
        <f>IF(Student­­Performance[[#This Row],[Reading Score]]&gt;=50,"Pass","Fail")</f>
        <v>Fail</v>
      </c>
      <c r="S976" s="4" t="str">
        <f>IF(Student­­Performance[[#This Row],[Writing Score]]&gt;=50,"Pass","Fail")</f>
        <v>Fail</v>
      </c>
      <c r="T97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116</v>
      </c>
      <c r="U976" s="4" cm="1">
        <f t="array" ref="U976">IF(COUNT(F976:H976)=0,"", MAX(IF(ISNUMBER(F976:H976),F976:H976)) - MIN(IF(ISNUMBER(F976:H976),F976:H976)))</f>
        <v>12</v>
      </c>
      <c r="V976" s="4" t="str">
        <f>IF(U976="","",IF(U976&gt;25,"Outlier","Normal"))</f>
        <v>Normal</v>
      </c>
    </row>
    <row r="977" spans="1:22" x14ac:dyDescent="0.3">
      <c r="A977" s="1" t="s">
        <v>17</v>
      </c>
      <c r="B977" s="1" t="s">
        <v>21</v>
      </c>
      <c r="C977" s="1" t="s">
        <v>87</v>
      </c>
      <c r="D977" s="1" t="s">
        <v>20</v>
      </c>
      <c r="E977" s="1" t="s">
        <v>12</v>
      </c>
      <c r="F977" s="4">
        <v>42</v>
      </c>
      <c r="G977" s="4">
        <v>39</v>
      </c>
      <c r="H977" s="4">
        <v>34</v>
      </c>
      <c r="I977" s="4">
        <f>AVERAGE(Student­­Performance[[#This Row],[Math Score]],Student­­Performance[[#This Row],[Reading Score]],Student­­Performance[[#This Row],[Writing Score]])</f>
        <v>38.333333333333336</v>
      </c>
      <c r="J977" s="10" t="str">
        <f>IF(Student­­Performance[[#This Row],[Average Score]]&gt;=50,"Pass","Fail")</f>
        <v>Fail</v>
      </c>
      <c r="K97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-3</v>
      </c>
      <c r="L97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97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977" s="4">
        <f>IF(ISNUMBER(Student­­Performance[[#This Row],[Math Score]]),Student­­Performance[[#This Row],[Math Score]],0)</f>
        <v>42</v>
      </c>
      <c r="O977" s="4">
        <f>IF(ISNUMBER(Student­­Performance[[#This Row],[Reading Score]]),Student­­Performance[[#This Row],[Reading Score]],0)</f>
        <v>39</v>
      </c>
      <c r="P977" s="4">
        <f>IF(ISNUMBER(Student­­Performance[[#This Row],[Writing Score]]),Student­­Performance[[#This Row],[Writing Score]],0)</f>
        <v>34</v>
      </c>
      <c r="Q977" s="4" t="str">
        <f>IF(Student­­Performance[[#This Row],[Math Score]]&gt;=50,"Pass","Fail")</f>
        <v>Fail</v>
      </c>
      <c r="R977" s="4" t="str">
        <f>IF(Student­­Performance[[#This Row],[Reading Score]]&gt;=50,"Pass","Fail")</f>
        <v>Fail</v>
      </c>
      <c r="S977" s="4" t="str">
        <f>IF(Student­­Performance[[#This Row],[Writing Score]]&gt;=50,"Pass","Fail")</f>
        <v>Fail</v>
      </c>
      <c r="T97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115</v>
      </c>
      <c r="U977" s="4" cm="1">
        <f t="array" ref="U977">IF(COUNT(F977:H977)=0,"", MAX(IF(ISNUMBER(F977:H977),F977:H977)) - MIN(IF(ISNUMBER(F977:H977),F977:H977)))</f>
        <v>8</v>
      </c>
      <c r="V977" s="4" t="str">
        <f>IF(U977="","",IF(U977&gt;25,"Outlier","Normal"))</f>
        <v>Normal</v>
      </c>
    </row>
    <row r="978" spans="1:22" x14ac:dyDescent="0.3">
      <c r="A978" s="1" t="s">
        <v>8</v>
      </c>
      <c r="B978" s="1" t="s">
        <v>13</v>
      </c>
      <c r="C978" s="1" t="s">
        <v>87</v>
      </c>
      <c r="D978" s="1" t="s">
        <v>20</v>
      </c>
      <c r="E978" s="1" t="s">
        <v>12</v>
      </c>
      <c r="F978" s="4">
        <v>34</v>
      </c>
      <c r="G978" s="4">
        <v>42</v>
      </c>
      <c r="H978" s="4">
        <v>39</v>
      </c>
      <c r="I978" s="4">
        <f>AVERAGE(Student­­Performance[[#This Row],[Math Score]],Student­­Performance[[#This Row],[Reading Score]],Student­­Performance[[#This Row],[Writing Score]])</f>
        <v>38.333333333333336</v>
      </c>
      <c r="J978" s="10" t="str">
        <f>IF(Student­­Performance[[#This Row],[Average Score]]&gt;=50,"Pass","Fail")</f>
        <v>Fail</v>
      </c>
      <c r="K97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8</v>
      </c>
      <c r="L97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-3</v>
      </c>
      <c r="M97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978" s="4">
        <f>IF(ISNUMBER(Student­­Performance[[#This Row],[Math Score]]),Student­­Performance[[#This Row],[Math Score]],0)</f>
        <v>34</v>
      </c>
      <c r="O978" s="4">
        <f>IF(ISNUMBER(Student­­Performance[[#This Row],[Reading Score]]),Student­­Performance[[#This Row],[Reading Score]],0)</f>
        <v>42</v>
      </c>
      <c r="P978" s="4">
        <f>IF(ISNUMBER(Student­­Performance[[#This Row],[Writing Score]]),Student­­Performance[[#This Row],[Writing Score]],0)</f>
        <v>39</v>
      </c>
      <c r="Q978" s="4" t="str">
        <f>IF(Student­­Performance[[#This Row],[Math Score]]&gt;=50,"Pass","Fail")</f>
        <v>Fail</v>
      </c>
      <c r="R978" s="4" t="str">
        <f>IF(Student­­Performance[[#This Row],[Reading Score]]&gt;=50,"Pass","Fail")</f>
        <v>Fail</v>
      </c>
      <c r="S978" s="4" t="str">
        <f>IF(Student­­Performance[[#This Row],[Writing Score]]&gt;=50,"Pass","Fail")</f>
        <v>Fail</v>
      </c>
      <c r="T97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115</v>
      </c>
      <c r="U978" s="4" cm="1">
        <f t="array" ref="U978">IF(COUNT(F978:H978)=0,"", MAX(IF(ISNUMBER(F978:H978),F978:H978)) - MIN(IF(ISNUMBER(F978:H978),F978:H978)))</f>
        <v>8</v>
      </c>
      <c r="V978" s="4" t="str">
        <f>IF(U978="","",IF(U978&gt;25,"Outlier","Normal"))</f>
        <v>Normal</v>
      </c>
    </row>
    <row r="979" spans="1:22" x14ac:dyDescent="0.3">
      <c r="A979" s="1" t="s">
        <v>17</v>
      </c>
      <c r="B979" s="1" t="s">
        <v>9</v>
      </c>
      <c r="C979" s="1" t="s">
        <v>86</v>
      </c>
      <c r="D979" s="1" t="s">
        <v>20</v>
      </c>
      <c r="E979" s="1" t="s">
        <v>12</v>
      </c>
      <c r="F979" s="4" t="s">
        <v>90</v>
      </c>
      <c r="G979" s="4">
        <v>58</v>
      </c>
      <c r="H979" s="4">
        <v>56</v>
      </c>
      <c r="I979" s="4">
        <f>AVERAGE(Student­­Performance[[#This Row],[Math Score]],Student­­Performance[[#This Row],[Reading Score]],Student­­Performance[[#This Row],[Writing Score]])</f>
        <v>57</v>
      </c>
      <c r="J979" s="10" t="str">
        <f>IF(Student­­Performance[[#This Row],[Average Score]]&gt;=50,"Pass","Fail")</f>
        <v>Pass</v>
      </c>
      <c r="K979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97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979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79" s="4">
        <f>IF(ISNUMBER(Student­­Performance[[#This Row],[Math Score]]),Student­­Performance[[#This Row],[Math Score]],0)</f>
        <v>0</v>
      </c>
      <c r="O979" s="4">
        <f>IF(ISNUMBER(Student­­Performance[[#This Row],[Reading Score]]),Student­­Performance[[#This Row],[Reading Score]],0)</f>
        <v>58</v>
      </c>
      <c r="P979" s="4">
        <f>IF(ISNUMBER(Student­­Performance[[#This Row],[Writing Score]]),Student­­Performance[[#This Row],[Writing Score]],0)</f>
        <v>56</v>
      </c>
      <c r="Q979" s="4" t="str">
        <f>IF(Student­­Performance[[#This Row],[Math Score]]&gt;=50,"Pass","Fail")</f>
        <v>Pass</v>
      </c>
      <c r="R979" s="4" t="str">
        <f>IF(Student­­Performance[[#This Row],[Reading Score]]&gt;=50,"Pass","Fail")</f>
        <v>Pass</v>
      </c>
      <c r="S979" s="4" t="str">
        <f>IF(Student­­Performance[[#This Row],[Writing Score]]&gt;=50,"Pass","Fail")</f>
        <v>Pass</v>
      </c>
      <c r="T97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114</v>
      </c>
      <c r="U979" s="4" cm="1">
        <f t="array" ref="U979">IF(COUNT(F979:H979)=0,"", MAX(IF(ISNUMBER(F979:H979),F979:H979)) - MIN(IF(ISNUMBER(F979:H979),F979:H979)))</f>
        <v>2</v>
      </c>
      <c r="V979" s="4" t="str">
        <f>IF(U979="","",IF(U979&gt;25,"Outlier","Normal"))</f>
        <v>Normal</v>
      </c>
    </row>
    <row r="980" spans="1:22" x14ac:dyDescent="0.3">
      <c r="A980" s="1" t="s">
        <v>17</v>
      </c>
      <c r="B980" s="1" t="s">
        <v>9</v>
      </c>
      <c r="C980" s="1" t="s">
        <v>84</v>
      </c>
      <c r="D980" s="1" t="s">
        <v>20</v>
      </c>
      <c r="E980" s="1" t="s">
        <v>12</v>
      </c>
      <c r="F980" s="4">
        <v>41</v>
      </c>
      <c r="G980" s="4">
        <v>39</v>
      </c>
      <c r="H980" s="4">
        <v>34</v>
      </c>
      <c r="I980" s="4">
        <f>AVERAGE(Student­­Performance[[#This Row],[Math Score]],Student­­Performance[[#This Row],[Reading Score]],Student­­Performance[[#This Row],[Writing Score]])</f>
        <v>38</v>
      </c>
      <c r="J980" s="10" t="str">
        <f>IF(Student­­Performance[[#This Row],[Average Score]]&gt;=50,"Pass","Fail")</f>
        <v>Fail</v>
      </c>
      <c r="K980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-2</v>
      </c>
      <c r="L980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98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-7</v>
      </c>
      <c r="N980" s="4">
        <f>IF(ISNUMBER(Student­­Performance[[#This Row],[Math Score]]),Student­­Performance[[#This Row],[Math Score]],0)</f>
        <v>41</v>
      </c>
      <c r="O980" s="4">
        <f>IF(ISNUMBER(Student­­Performance[[#This Row],[Reading Score]]),Student­­Performance[[#This Row],[Reading Score]],0)</f>
        <v>39</v>
      </c>
      <c r="P980" s="4">
        <f>IF(ISNUMBER(Student­­Performance[[#This Row],[Writing Score]]),Student­­Performance[[#This Row],[Writing Score]],0)</f>
        <v>34</v>
      </c>
      <c r="Q980" s="4" t="str">
        <f>IF(Student­­Performance[[#This Row],[Math Score]]&gt;=50,"Pass","Fail")</f>
        <v>Fail</v>
      </c>
      <c r="R980" s="4" t="str">
        <f>IF(Student­­Performance[[#This Row],[Reading Score]]&gt;=50,"Pass","Fail")</f>
        <v>Fail</v>
      </c>
      <c r="S980" s="4" t="str">
        <f>IF(Student­­Performance[[#This Row],[Writing Score]]&gt;=50,"Pass","Fail")</f>
        <v>Fail</v>
      </c>
      <c r="T98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114</v>
      </c>
      <c r="U980" s="4" cm="1">
        <f t="array" ref="U980">IF(COUNT(F980:H980)=0,"", MAX(IF(ISNUMBER(F980:H980),F980:H980)) - MIN(IF(ISNUMBER(F980:H980),F980:H980)))</f>
        <v>7</v>
      </c>
      <c r="V980" s="4" t="str">
        <f>IF(U980="","",IF(U980&gt;25,"Outlier","Normal"))</f>
        <v>Normal</v>
      </c>
    </row>
    <row r="981" spans="1:22" x14ac:dyDescent="0.3">
      <c r="A981" s="1" t="s">
        <v>8</v>
      </c>
      <c r="B981" s="1" t="s">
        <v>13</v>
      </c>
      <c r="C981" s="1" t="s">
        <v>88</v>
      </c>
      <c r="D981" s="1" t="s">
        <v>20</v>
      </c>
      <c r="E981" s="1" t="s">
        <v>15</v>
      </c>
      <c r="F981" s="4">
        <v>29</v>
      </c>
      <c r="G981" s="4">
        <v>40</v>
      </c>
      <c r="H981" s="4">
        <v>44</v>
      </c>
      <c r="I981" s="4">
        <f>AVERAGE(Student­­Performance[[#This Row],[Math Score]],Student­­Performance[[#This Row],[Reading Score]],Student­­Performance[[#This Row],[Writing Score]])</f>
        <v>37.666666666666664</v>
      </c>
      <c r="J981" s="10" t="str">
        <f>IF(Student­­Performance[[#This Row],[Average Score]]&gt;=50,"Pass","Fail")</f>
        <v>Fail</v>
      </c>
      <c r="K98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11</v>
      </c>
      <c r="L98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98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15</v>
      </c>
      <c r="N981" s="4">
        <f>IF(ISNUMBER(Student­­Performance[[#This Row],[Math Score]]),Student­­Performance[[#This Row],[Math Score]],0)</f>
        <v>29</v>
      </c>
      <c r="O981" s="4">
        <f>IF(ISNUMBER(Student­­Performance[[#This Row],[Reading Score]]),Student­­Performance[[#This Row],[Reading Score]],0)</f>
        <v>40</v>
      </c>
      <c r="P981" s="4">
        <f>IF(ISNUMBER(Student­­Performance[[#This Row],[Writing Score]]),Student­­Performance[[#This Row],[Writing Score]],0)</f>
        <v>44</v>
      </c>
      <c r="Q981" s="4" t="str">
        <f>IF(Student­­Performance[[#This Row],[Math Score]]&gt;=50,"Pass","Fail")</f>
        <v>Fail</v>
      </c>
      <c r="R981" s="4" t="str">
        <f>IF(Student­­Performance[[#This Row],[Reading Score]]&gt;=50,"Pass","Fail")</f>
        <v>Fail</v>
      </c>
      <c r="S981" s="4" t="str">
        <f>IF(Student­­Performance[[#This Row],[Writing Score]]&gt;=50,"Pass","Fail")</f>
        <v>Fail</v>
      </c>
      <c r="T98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113</v>
      </c>
      <c r="U981" s="4" cm="1">
        <f t="array" ref="U981">IF(COUNT(F981:H981)=0,"", MAX(IF(ISNUMBER(F981:H981),F981:H981)) - MIN(IF(ISNUMBER(F981:H981),F981:H981)))</f>
        <v>15</v>
      </c>
      <c r="V981" s="4" t="str">
        <f>IF(U981="","",IF(U981&gt;25,"Outlier","Normal"))</f>
        <v>Normal</v>
      </c>
    </row>
    <row r="982" spans="1:22" x14ac:dyDescent="0.3">
      <c r="A982" s="1" t="s">
        <v>17</v>
      </c>
      <c r="B982" s="1" t="s">
        <v>18</v>
      </c>
      <c r="C982" s="1" t="s">
        <v>88</v>
      </c>
      <c r="D982" s="1" t="s">
        <v>20</v>
      </c>
      <c r="E982" s="1" t="s">
        <v>12</v>
      </c>
      <c r="F982" s="4">
        <v>39</v>
      </c>
      <c r="G982" s="4">
        <v>39</v>
      </c>
      <c r="H982" s="4">
        <v>34</v>
      </c>
      <c r="I982" s="4">
        <f>AVERAGE(Student­­Performance[[#This Row],[Math Score]],Student­­Performance[[#This Row],[Reading Score]],Student­­Performance[[#This Row],[Writing Score]])</f>
        <v>37.333333333333336</v>
      </c>
      <c r="J982" s="10" t="str">
        <f>IF(Student­­Performance[[#This Row],[Average Score]]&gt;=50,"Pass","Fail")</f>
        <v>Fail</v>
      </c>
      <c r="K98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98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98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-5</v>
      </c>
      <c r="N982" s="4">
        <f>IF(ISNUMBER(Student­­Performance[[#This Row],[Math Score]]),Student­­Performance[[#This Row],[Math Score]],0)</f>
        <v>39</v>
      </c>
      <c r="O982" s="4">
        <f>IF(ISNUMBER(Student­­Performance[[#This Row],[Reading Score]]),Student­­Performance[[#This Row],[Reading Score]],0)</f>
        <v>39</v>
      </c>
      <c r="P982" s="4">
        <f>IF(ISNUMBER(Student­­Performance[[#This Row],[Writing Score]]),Student­­Performance[[#This Row],[Writing Score]],0)</f>
        <v>34</v>
      </c>
      <c r="Q982" s="4" t="str">
        <f>IF(Student­­Performance[[#This Row],[Math Score]]&gt;=50,"Pass","Fail")</f>
        <v>Fail</v>
      </c>
      <c r="R982" s="4" t="str">
        <f>IF(Student­­Performance[[#This Row],[Reading Score]]&gt;=50,"Pass","Fail")</f>
        <v>Fail</v>
      </c>
      <c r="S982" s="4" t="str">
        <f>IF(Student­­Performance[[#This Row],[Writing Score]]&gt;=50,"Pass","Fail")</f>
        <v>Fail</v>
      </c>
      <c r="T98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112</v>
      </c>
      <c r="U982" s="4" cm="1">
        <f t="array" ref="U982">IF(COUNT(F982:H982)=0,"", MAX(IF(ISNUMBER(F982:H982),F982:H982)) - MIN(IF(ISNUMBER(F982:H982),F982:H982)))</f>
        <v>5</v>
      </c>
      <c r="V982" s="4" t="str">
        <f>IF(U982="","",IF(U982&gt;25,"Outlier","Normal"))</f>
        <v>Normal</v>
      </c>
    </row>
    <row r="983" spans="1:22" x14ac:dyDescent="0.3">
      <c r="A983" s="1" t="s">
        <v>8</v>
      </c>
      <c r="B983" s="1" t="s">
        <v>13</v>
      </c>
      <c r="C983" s="1" t="s">
        <v>84</v>
      </c>
      <c r="D983" s="1" t="s">
        <v>20</v>
      </c>
      <c r="E983" s="1" t="s">
        <v>15</v>
      </c>
      <c r="F983" s="4">
        <v>42</v>
      </c>
      <c r="G983" s="4" t="s">
        <v>90</v>
      </c>
      <c r="H983" s="4">
        <v>69</v>
      </c>
      <c r="I983" s="4">
        <f>AVERAGE(Student­­Performance[[#This Row],[Math Score]],Student­­Performance[[#This Row],[Reading Score]],Student­­Performance[[#This Row],[Writing Score]])</f>
        <v>55.5</v>
      </c>
      <c r="J983" s="10" t="str">
        <f>IF(Student­­Performance[[#This Row],[Average Score]]&gt;=50,"Pass","Fail")</f>
        <v>Pass</v>
      </c>
      <c r="K983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983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98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27</v>
      </c>
      <c r="N983" s="4">
        <f>IF(ISNUMBER(Student­­Performance[[#This Row],[Math Score]]),Student­­Performance[[#This Row],[Math Score]],0)</f>
        <v>42</v>
      </c>
      <c r="O983" s="4">
        <f>IF(ISNUMBER(Student­­Performance[[#This Row],[Reading Score]]),Student­­Performance[[#This Row],[Reading Score]],0)</f>
        <v>0</v>
      </c>
      <c r="P983" s="4">
        <f>IF(ISNUMBER(Student­­Performance[[#This Row],[Writing Score]]),Student­­Performance[[#This Row],[Writing Score]],0)</f>
        <v>69</v>
      </c>
      <c r="Q983" s="4" t="str">
        <f>IF(Student­­Performance[[#This Row],[Math Score]]&gt;=50,"Pass","Fail")</f>
        <v>Fail</v>
      </c>
      <c r="R983" s="4" t="str">
        <f>IF(Student­­Performance[[#This Row],[Reading Score]]&gt;=50,"Pass","Fail")</f>
        <v>Pass</v>
      </c>
      <c r="S983" s="4" t="str">
        <f>IF(Student­­Performance[[#This Row],[Writing Score]]&gt;=50,"Pass","Fail")</f>
        <v>Pass</v>
      </c>
      <c r="T98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111</v>
      </c>
      <c r="U983" s="4" cm="1">
        <f t="array" ref="U983">IF(COUNT(F983:H983)=0,"", MAX(IF(ISNUMBER(F983:H983),F983:H983)) - MIN(IF(ISNUMBER(F983:H983),F983:H983)))</f>
        <v>27</v>
      </c>
      <c r="V983" s="4" t="str">
        <f>IF(U983="","",IF(U983&gt;25,"Outlier","Normal"))</f>
        <v>Outlier</v>
      </c>
    </row>
    <row r="984" spans="1:22" x14ac:dyDescent="0.3">
      <c r="A984" s="1" t="s">
        <v>17</v>
      </c>
      <c r="B984" s="1" t="s">
        <v>13</v>
      </c>
      <c r="C984" s="1" t="s">
        <v>87</v>
      </c>
      <c r="D984" s="1" t="s">
        <v>11</v>
      </c>
      <c r="E984" s="1" t="s">
        <v>12</v>
      </c>
      <c r="F984" s="4" t="s">
        <v>90</v>
      </c>
      <c r="G984" s="4">
        <v>56</v>
      </c>
      <c r="H984" s="4">
        <v>55</v>
      </c>
      <c r="I984" s="4">
        <f>AVERAGE(Student­­Performance[[#This Row],[Math Score]],Student­­Performance[[#This Row],[Reading Score]],Student­­Performance[[#This Row],[Writing Score]])</f>
        <v>55.5</v>
      </c>
      <c r="J984" s="10" t="str">
        <f>IF(Student­­Performance[[#This Row],[Average Score]]&gt;=50,"Pass","Fail")</f>
        <v>Pass</v>
      </c>
      <c r="K984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98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984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84" s="4">
        <f>IF(ISNUMBER(Student­­Performance[[#This Row],[Math Score]]),Student­­Performance[[#This Row],[Math Score]],0)</f>
        <v>0</v>
      </c>
      <c r="O984" s="4">
        <f>IF(ISNUMBER(Student­­Performance[[#This Row],[Reading Score]]),Student­­Performance[[#This Row],[Reading Score]],0)</f>
        <v>56</v>
      </c>
      <c r="P984" s="4">
        <f>IF(ISNUMBER(Student­­Performance[[#This Row],[Writing Score]]),Student­­Performance[[#This Row],[Writing Score]],0)</f>
        <v>55</v>
      </c>
      <c r="Q984" s="4" t="str">
        <f>IF(Student­­Performance[[#This Row],[Math Score]]&gt;=50,"Pass","Fail")</f>
        <v>Pass</v>
      </c>
      <c r="R984" s="4" t="str">
        <f>IF(Student­­Performance[[#This Row],[Reading Score]]&gt;=50,"Pass","Fail")</f>
        <v>Pass</v>
      </c>
      <c r="S984" s="4" t="str">
        <f>IF(Student­­Performance[[#This Row],[Writing Score]]&gt;=50,"Pass","Fail")</f>
        <v>Pass</v>
      </c>
      <c r="T98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111</v>
      </c>
      <c r="U984" s="4" cm="1">
        <f t="array" ref="U984">IF(COUNT(F984:H984)=0,"", MAX(IF(ISNUMBER(F984:H984),F984:H984)) - MIN(IF(ISNUMBER(F984:H984),F984:H984)))</f>
        <v>1</v>
      </c>
      <c r="V984" s="4" t="str">
        <f>IF(U984="","",IF(U984&gt;25,"Outlier","Normal"))</f>
        <v>Normal</v>
      </c>
    </row>
    <row r="985" spans="1:22" x14ac:dyDescent="0.3">
      <c r="A985" s="1" t="s">
        <v>8</v>
      </c>
      <c r="B985" s="1" t="s">
        <v>9</v>
      </c>
      <c r="C985" s="1" t="s">
        <v>87</v>
      </c>
      <c r="D985" s="1" t="s">
        <v>11</v>
      </c>
      <c r="E985" s="1" t="s">
        <v>12</v>
      </c>
      <c r="F985" s="4" t="s">
        <v>90</v>
      </c>
      <c r="G985" s="4">
        <v>53</v>
      </c>
      <c r="H985" s="4">
        <v>55</v>
      </c>
      <c r="I985" s="4">
        <f>AVERAGE(Student­­Performance[[#This Row],[Math Score]],Student­­Performance[[#This Row],[Reading Score]],Student­­Performance[[#This Row],[Writing Score]])</f>
        <v>54</v>
      </c>
      <c r="J985" s="10" t="str">
        <f>IF(Student­­Performance[[#This Row],[Average Score]]&gt;=50,"Pass","Fail")</f>
        <v>Pass</v>
      </c>
      <c r="K985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98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985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85" s="4">
        <f>IF(ISNUMBER(Student­­Performance[[#This Row],[Math Score]]),Student­­Performance[[#This Row],[Math Score]],0)</f>
        <v>0</v>
      </c>
      <c r="O985" s="4">
        <f>IF(ISNUMBER(Student­­Performance[[#This Row],[Reading Score]]),Student­­Performance[[#This Row],[Reading Score]],0)</f>
        <v>53</v>
      </c>
      <c r="P985" s="4">
        <f>IF(ISNUMBER(Student­­Performance[[#This Row],[Writing Score]]),Student­­Performance[[#This Row],[Writing Score]],0)</f>
        <v>55</v>
      </c>
      <c r="Q985" s="4" t="str">
        <f>IF(Student­­Performance[[#This Row],[Math Score]]&gt;=50,"Pass","Fail")</f>
        <v>Pass</v>
      </c>
      <c r="R985" s="4" t="str">
        <f>IF(Student­­Performance[[#This Row],[Reading Score]]&gt;=50,"Pass","Fail")</f>
        <v>Pass</v>
      </c>
      <c r="S985" s="4" t="str">
        <f>IF(Student­­Performance[[#This Row],[Writing Score]]&gt;=50,"Pass","Fail")</f>
        <v>Pass</v>
      </c>
      <c r="T98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108</v>
      </c>
      <c r="U985" s="4" cm="1">
        <f t="array" ref="U985">IF(COUNT(F985:H985)=0,"", MAX(IF(ISNUMBER(F985:H985),F985:H985)) - MIN(IF(ISNUMBER(F985:H985),F985:H985)))</f>
        <v>2</v>
      </c>
      <c r="V985" s="4" t="str">
        <f>IF(U985="","",IF(U985&gt;25,"Outlier","Normal"))</f>
        <v>Normal</v>
      </c>
    </row>
    <row r="986" spans="1:22" x14ac:dyDescent="0.3">
      <c r="A986" s="1" t="s">
        <v>8</v>
      </c>
      <c r="B986" s="1" t="s">
        <v>26</v>
      </c>
      <c r="C986" s="1" t="s">
        <v>86</v>
      </c>
      <c r="D986" s="1" t="s">
        <v>11</v>
      </c>
      <c r="E986" s="1" t="s">
        <v>12</v>
      </c>
      <c r="F986" s="4" t="s">
        <v>90</v>
      </c>
      <c r="G986" s="4">
        <v>51</v>
      </c>
      <c r="H986" s="4">
        <v>54</v>
      </c>
      <c r="I986" s="4">
        <f>AVERAGE(Student­­Performance[[#This Row],[Math Score]],Student­­Performance[[#This Row],[Reading Score]],Student­­Performance[[#This Row],[Writing Score]])</f>
        <v>52.5</v>
      </c>
      <c r="J986" s="10" t="str">
        <f>IF(Student­­Performance[[#This Row],[Average Score]]&gt;=50,"Pass","Fail")</f>
        <v>Pass</v>
      </c>
      <c r="K986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98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986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86" s="4">
        <f>IF(ISNUMBER(Student­­Performance[[#This Row],[Math Score]]),Student­­Performance[[#This Row],[Math Score]],0)</f>
        <v>0</v>
      </c>
      <c r="O986" s="4">
        <f>IF(ISNUMBER(Student­­Performance[[#This Row],[Reading Score]]),Student­­Performance[[#This Row],[Reading Score]],0)</f>
        <v>51</v>
      </c>
      <c r="P986" s="4">
        <f>IF(ISNUMBER(Student­­Performance[[#This Row],[Writing Score]]),Student­­Performance[[#This Row],[Writing Score]],0)</f>
        <v>54</v>
      </c>
      <c r="Q986" s="4" t="str">
        <f>IF(Student­­Performance[[#This Row],[Math Score]]&gt;=50,"Pass","Fail")</f>
        <v>Pass</v>
      </c>
      <c r="R986" s="4" t="str">
        <f>IF(Student­­Performance[[#This Row],[Reading Score]]&gt;=50,"Pass","Fail")</f>
        <v>Pass</v>
      </c>
      <c r="S986" s="4" t="str">
        <f>IF(Student­­Performance[[#This Row],[Writing Score]]&gt;=50,"Pass","Fail")</f>
        <v>Pass</v>
      </c>
      <c r="T98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105</v>
      </c>
      <c r="U986" s="4" cm="1">
        <f t="array" ref="U986">IF(COUNT(F986:H986)=0,"", MAX(IF(ISNUMBER(F986:H986),F986:H986)) - MIN(IF(ISNUMBER(F986:H986),F986:H986)))</f>
        <v>3</v>
      </c>
      <c r="V986" s="4" t="str">
        <f>IF(U986="","",IF(U986&gt;25,"Outlier","Normal"))</f>
        <v>Normal</v>
      </c>
    </row>
    <row r="987" spans="1:22" x14ac:dyDescent="0.3">
      <c r="A987" s="1" t="s">
        <v>8</v>
      </c>
      <c r="B987" s="1" t="s">
        <v>13</v>
      </c>
      <c r="C987" s="1" t="s">
        <v>84</v>
      </c>
      <c r="D987" s="1" t="s">
        <v>20</v>
      </c>
      <c r="E987" s="1" t="s">
        <v>12</v>
      </c>
      <c r="F987" s="4">
        <v>32</v>
      </c>
      <c r="G987" s="4">
        <v>39</v>
      </c>
      <c r="H987" s="4">
        <v>33</v>
      </c>
      <c r="I987" s="4">
        <f>AVERAGE(Student­­Performance[[#This Row],[Math Score]],Student­­Performance[[#This Row],[Reading Score]],Student­­Performance[[#This Row],[Writing Score]])</f>
        <v>34.666666666666664</v>
      </c>
      <c r="J987" s="10" t="str">
        <f>IF(Student­­Performance[[#This Row],[Average Score]]&gt;=50,"Pass","Fail")</f>
        <v>Fail</v>
      </c>
      <c r="K98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98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98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987" s="4">
        <f>IF(ISNUMBER(Student­­Performance[[#This Row],[Math Score]]),Student­­Performance[[#This Row],[Math Score]],0)</f>
        <v>32</v>
      </c>
      <c r="O987" s="4">
        <f>IF(ISNUMBER(Student­­Performance[[#This Row],[Reading Score]]),Student­­Performance[[#This Row],[Reading Score]],0)</f>
        <v>39</v>
      </c>
      <c r="P987" s="4">
        <f>IF(ISNUMBER(Student­­Performance[[#This Row],[Writing Score]]),Student­­Performance[[#This Row],[Writing Score]],0)</f>
        <v>33</v>
      </c>
      <c r="Q987" s="4" t="str">
        <f>IF(Student­­Performance[[#This Row],[Math Score]]&gt;=50,"Pass","Fail")</f>
        <v>Fail</v>
      </c>
      <c r="R987" s="4" t="str">
        <f>IF(Student­­Performance[[#This Row],[Reading Score]]&gt;=50,"Pass","Fail")</f>
        <v>Fail</v>
      </c>
      <c r="S987" s="4" t="str">
        <f>IF(Student­­Performance[[#This Row],[Writing Score]]&gt;=50,"Pass","Fail")</f>
        <v>Fail</v>
      </c>
      <c r="T98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104</v>
      </c>
      <c r="U987" s="4" cm="1">
        <f t="array" ref="U987">IF(COUNT(F987:H987)=0,"", MAX(IF(ISNUMBER(F987:H987),F987:H987)) - MIN(IF(ISNUMBER(F987:H987),F987:H987)))</f>
        <v>7</v>
      </c>
      <c r="V987" s="4" t="str">
        <f>IF(U987="","",IF(U987&gt;25,"Outlier","Normal"))</f>
        <v>Normal</v>
      </c>
    </row>
    <row r="988" spans="1:22" x14ac:dyDescent="0.3">
      <c r="A988" s="1" t="s">
        <v>8</v>
      </c>
      <c r="B988" s="1" t="s">
        <v>26</v>
      </c>
      <c r="C988" s="1" t="s">
        <v>88</v>
      </c>
      <c r="D988" s="1" t="s">
        <v>20</v>
      </c>
      <c r="E988" s="1" t="s">
        <v>12</v>
      </c>
      <c r="F988" s="4">
        <v>32</v>
      </c>
      <c r="G988" s="4">
        <v>34</v>
      </c>
      <c r="H988" s="4">
        <v>38</v>
      </c>
      <c r="I988" s="4">
        <f>AVERAGE(Student­­Performance[[#This Row],[Math Score]],Student­­Performance[[#This Row],[Reading Score]],Student­­Performance[[#This Row],[Writing Score]])</f>
        <v>34.666666666666664</v>
      </c>
      <c r="J988" s="10" t="str">
        <f>IF(Student­­Performance[[#This Row],[Average Score]]&gt;=50,"Pass","Fail")</f>
        <v>Fail</v>
      </c>
      <c r="K98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</v>
      </c>
      <c r="L98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4</v>
      </c>
      <c r="M98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6</v>
      </c>
      <c r="N988" s="4">
        <f>IF(ISNUMBER(Student­­Performance[[#This Row],[Math Score]]),Student­­Performance[[#This Row],[Math Score]],0)</f>
        <v>32</v>
      </c>
      <c r="O988" s="4">
        <f>IF(ISNUMBER(Student­­Performance[[#This Row],[Reading Score]]),Student­­Performance[[#This Row],[Reading Score]],0)</f>
        <v>34</v>
      </c>
      <c r="P988" s="4">
        <f>IF(ISNUMBER(Student­­Performance[[#This Row],[Writing Score]]),Student­­Performance[[#This Row],[Writing Score]],0)</f>
        <v>38</v>
      </c>
      <c r="Q988" s="4" t="str">
        <f>IF(Student­­Performance[[#This Row],[Math Score]]&gt;=50,"Pass","Fail")</f>
        <v>Fail</v>
      </c>
      <c r="R988" s="4" t="str">
        <f>IF(Student­­Performance[[#This Row],[Reading Score]]&gt;=50,"Pass","Fail")</f>
        <v>Fail</v>
      </c>
      <c r="S988" s="4" t="str">
        <f>IF(Student­­Performance[[#This Row],[Writing Score]]&gt;=50,"Pass","Fail")</f>
        <v>Fail</v>
      </c>
      <c r="T98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104</v>
      </c>
      <c r="U988" s="4" cm="1">
        <f t="array" ref="U988">IF(COUNT(F988:H988)=0,"", MAX(IF(ISNUMBER(F988:H988),F988:H988)) - MIN(IF(ISNUMBER(F988:H988),F988:H988)))</f>
        <v>6</v>
      </c>
      <c r="V988" s="4" t="str">
        <f>IF(U988="","",IF(U988&gt;25,"Outlier","Normal"))</f>
        <v>Normal</v>
      </c>
    </row>
    <row r="989" spans="1:22" x14ac:dyDescent="0.3">
      <c r="A989" s="1" t="s">
        <v>8</v>
      </c>
      <c r="B989" s="1" t="s">
        <v>9</v>
      </c>
      <c r="C989" s="1" t="s">
        <v>87</v>
      </c>
      <c r="D989" s="1" t="s">
        <v>20</v>
      </c>
      <c r="E989" s="1" t="s">
        <v>15</v>
      </c>
      <c r="F989" s="4">
        <v>23</v>
      </c>
      <c r="G989" s="4">
        <v>44</v>
      </c>
      <c r="H989" s="4">
        <v>36</v>
      </c>
      <c r="I989" s="4">
        <f>AVERAGE(Student­­Performance[[#This Row],[Math Score]],Student­­Performance[[#This Row],[Reading Score]],Student­­Performance[[#This Row],[Writing Score]])</f>
        <v>34.333333333333336</v>
      </c>
      <c r="J989" s="10" t="str">
        <f>IF(Student­­Performance[[#This Row],[Average Score]]&gt;=50,"Pass","Fail")</f>
        <v>Fail</v>
      </c>
      <c r="K98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21</v>
      </c>
      <c r="L98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-8</v>
      </c>
      <c r="M98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13</v>
      </c>
      <c r="N989" s="4">
        <f>IF(ISNUMBER(Student­­Performance[[#This Row],[Math Score]]),Student­­Performance[[#This Row],[Math Score]],0)</f>
        <v>23</v>
      </c>
      <c r="O989" s="4">
        <f>IF(ISNUMBER(Student­­Performance[[#This Row],[Reading Score]]),Student­­Performance[[#This Row],[Reading Score]],0)</f>
        <v>44</v>
      </c>
      <c r="P989" s="4">
        <f>IF(ISNUMBER(Student­­Performance[[#This Row],[Writing Score]]),Student­­Performance[[#This Row],[Writing Score]],0)</f>
        <v>36</v>
      </c>
      <c r="Q989" s="4" t="str">
        <f>IF(Student­­Performance[[#This Row],[Math Score]]&gt;=50,"Pass","Fail")</f>
        <v>Fail</v>
      </c>
      <c r="R989" s="4" t="str">
        <f>IF(Student­­Performance[[#This Row],[Reading Score]]&gt;=50,"Pass","Fail")</f>
        <v>Fail</v>
      </c>
      <c r="S989" s="4" t="str">
        <f>IF(Student­­Performance[[#This Row],[Writing Score]]&gt;=50,"Pass","Fail")</f>
        <v>Fail</v>
      </c>
      <c r="T98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103</v>
      </c>
      <c r="U989" s="4" cm="1">
        <f t="array" ref="U989">IF(COUNT(F989:H989)=0,"", MAX(IF(ISNUMBER(F989:H989),F989:H989)) - MIN(IF(ISNUMBER(F989:H989),F989:H989)))</f>
        <v>21</v>
      </c>
      <c r="V989" s="4" t="str">
        <f>IF(U989="","",IF(U989&gt;25,"Outlier","Normal"))</f>
        <v>Normal</v>
      </c>
    </row>
    <row r="990" spans="1:22" x14ac:dyDescent="0.3">
      <c r="A990" s="1" t="s">
        <v>8</v>
      </c>
      <c r="B990" s="1" t="s">
        <v>18</v>
      </c>
      <c r="C990" s="1" t="s">
        <v>88</v>
      </c>
      <c r="D990" s="1" t="s">
        <v>20</v>
      </c>
      <c r="E990" s="1" t="s">
        <v>12</v>
      </c>
      <c r="F990" s="4">
        <v>44</v>
      </c>
      <c r="G990" s="4" t="s">
        <v>90</v>
      </c>
      <c r="H990" s="4">
        <v>58</v>
      </c>
      <c r="I990" s="4">
        <f>AVERAGE(Student­­Performance[[#This Row],[Math Score]],Student­­Performance[[#This Row],[Reading Score]],Student­­Performance[[#This Row],[Writing Score]])</f>
        <v>51</v>
      </c>
      <c r="J990" s="10" t="str">
        <f>IF(Student­­Performance[[#This Row],[Average Score]]&gt;=50,"Pass","Fail")</f>
        <v>Pass</v>
      </c>
      <c r="K990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990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99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14</v>
      </c>
      <c r="N990" s="4">
        <f>IF(ISNUMBER(Student­­Performance[[#This Row],[Math Score]]),Student­­Performance[[#This Row],[Math Score]],0)</f>
        <v>44</v>
      </c>
      <c r="O990" s="4">
        <f>IF(ISNUMBER(Student­­Performance[[#This Row],[Reading Score]]),Student­­Performance[[#This Row],[Reading Score]],0)</f>
        <v>0</v>
      </c>
      <c r="P990" s="4">
        <f>IF(ISNUMBER(Student­­Performance[[#This Row],[Writing Score]]),Student­­Performance[[#This Row],[Writing Score]],0)</f>
        <v>58</v>
      </c>
      <c r="Q990" s="4" t="str">
        <f>IF(Student­­Performance[[#This Row],[Math Score]]&gt;=50,"Pass","Fail")</f>
        <v>Fail</v>
      </c>
      <c r="R990" s="4" t="str">
        <f>IF(Student­­Performance[[#This Row],[Reading Score]]&gt;=50,"Pass","Fail")</f>
        <v>Pass</v>
      </c>
      <c r="S990" s="4" t="str">
        <f>IF(Student­­Performance[[#This Row],[Writing Score]]&gt;=50,"Pass","Fail")</f>
        <v>Pass</v>
      </c>
      <c r="T99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102</v>
      </c>
      <c r="U990" s="4" cm="1">
        <f t="array" ref="U990">IF(COUNT(F990:H990)=0,"", MAX(IF(ISNUMBER(F990:H990),F990:H990)) - MIN(IF(ISNUMBER(F990:H990),F990:H990)))</f>
        <v>14</v>
      </c>
      <c r="V990" s="4" t="str">
        <f>IF(U990="","",IF(U990&gt;25,"Outlier","Normal"))</f>
        <v>Normal</v>
      </c>
    </row>
    <row r="991" spans="1:22" x14ac:dyDescent="0.3">
      <c r="A991" s="1" t="s">
        <v>17</v>
      </c>
      <c r="B991" s="1" t="s">
        <v>13</v>
      </c>
      <c r="C991" s="1" t="s">
        <v>84</v>
      </c>
      <c r="D991" s="1" t="s">
        <v>20</v>
      </c>
      <c r="E991" s="1" t="s">
        <v>15</v>
      </c>
      <c r="F991" s="4" t="s">
        <v>90</v>
      </c>
      <c r="G991" s="4">
        <v>48</v>
      </c>
      <c r="H991" s="4">
        <v>53</v>
      </c>
      <c r="I991" s="4">
        <f>AVERAGE(Student­­Performance[[#This Row],[Math Score]],Student­­Performance[[#This Row],[Reading Score]],Student­­Performance[[#This Row],[Writing Score]])</f>
        <v>50.5</v>
      </c>
      <c r="J991" s="10" t="str">
        <f>IF(Student­­Performance[[#This Row],[Average Score]]&gt;=50,"Pass","Fail")</f>
        <v>Pass</v>
      </c>
      <c r="K991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99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5</v>
      </c>
      <c r="M991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91" s="4">
        <f>IF(ISNUMBER(Student­­Performance[[#This Row],[Math Score]]),Student­­Performance[[#This Row],[Math Score]],0)</f>
        <v>0</v>
      </c>
      <c r="O991" s="4">
        <f>IF(ISNUMBER(Student­­Performance[[#This Row],[Reading Score]]),Student­­Performance[[#This Row],[Reading Score]],0)</f>
        <v>48</v>
      </c>
      <c r="P991" s="4">
        <f>IF(ISNUMBER(Student­­Performance[[#This Row],[Writing Score]]),Student­­Performance[[#This Row],[Writing Score]],0)</f>
        <v>53</v>
      </c>
      <c r="Q991" s="4" t="str">
        <f>IF(Student­­Performance[[#This Row],[Math Score]]&gt;=50,"Pass","Fail")</f>
        <v>Pass</v>
      </c>
      <c r="R991" s="4" t="str">
        <f>IF(Student­­Performance[[#This Row],[Reading Score]]&gt;=50,"Pass","Fail")</f>
        <v>Fail</v>
      </c>
      <c r="S991" s="4" t="str">
        <f>IF(Student­­Performance[[#This Row],[Writing Score]]&gt;=50,"Pass","Fail")</f>
        <v>Pass</v>
      </c>
      <c r="T99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101</v>
      </c>
      <c r="U991" s="4" cm="1">
        <f t="array" ref="U991">IF(COUNT(F991:H991)=0,"", MAX(IF(ISNUMBER(F991:H991),F991:H991)) - MIN(IF(ISNUMBER(F991:H991),F991:H991)))</f>
        <v>5</v>
      </c>
      <c r="V991" s="4" t="str">
        <f>IF(U991="","",IF(U991&gt;25,"Outlier","Normal"))</f>
        <v>Normal</v>
      </c>
    </row>
    <row r="992" spans="1:22" x14ac:dyDescent="0.3">
      <c r="A992" s="1" t="s">
        <v>17</v>
      </c>
      <c r="B992" s="1" t="s">
        <v>21</v>
      </c>
      <c r="C992" s="1" t="s">
        <v>88</v>
      </c>
      <c r="D992" s="1" t="s">
        <v>20</v>
      </c>
      <c r="E992" s="1" t="s">
        <v>12</v>
      </c>
      <c r="F992" s="4" t="s">
        <v>90</v>
      </c>
      <c r="G992" s="4">
        <v>49</v>
      </c>
      <c r="H992" s="4">
        <v>52</v>
      </c>
      <c r="I992" s="4">
        <f>AVERAGE(Student­­Performance[[#This Row],[Math Score]],Student­­Performance[[#This Row],[Reading Score]],Student­­Performance[[#This Row],[Writing Score]])</f>
        <v>50.5</v>
      </c>
      <c r="J992" s="10" t="str">
        <f>IF(Student­­Performance[[#This Row],[Average Score]]&gt;=50,"Pass","Fail")</f>
        <v>Pass</v>
      </c>
      <c r="K992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99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3</v>
      </c>
      <c r="M992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92" s="4">
        <f>IF(ISNUMBER(Student­­Performance[[#This Row],[Math Score]]),Student­­Performance[[#This Row],[Math Score]],0)</f>
        <v>0</v>
      </c>
      <c r="O992" s="4">
        <f>IF(ISNUMBER(Student­­Performance[[#This Row],[Reading Score]]),Student­­Performance[[#This Row],[Reading Score]],0)</f>
        <v>49</v>
      </c>
      <c r="P992" s="4">
        <f>IF(ISNUMBER(Student­­Performance[[#This Row],[Writing Score]]),Student­­Performance[[#This Row],[Writing Score]],0)</f>
        <v>52</v>
      </c>
      <c r="Q992" s="4" t="str">
        <f>IF(Student­­Performance[[#This Row],[Math Score]]&gt;=50,"Pass","Fail")</f>
        <v>Pass</v>
      </c>
      <c r="R992" s="4" t="str">
        <f>IF(Student­­Performance[[#This Row],[Reading Score]]&gt;=50,"Pass","Fail")</f>
        <v>Fail</v>
      </c>
      <c r="S992" s="4" t="str">
        <f>IF(Student­­Performance[[#This Row],[Writing Score]]&gt;=50,"Pass","Fail")</f>
        <v>Pass</v>
      </c>
      <c r="T99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101</v>
      </c>
      <c r="U992" s="4" cm="1">
        <f t="array" ref="U992">IF(COUNT(F992:H992)=0,"", MAX(IF(ISNUMBER(F992:H992),F992:H992)) - MIN(IF(ISNUMBER(F992:H992),F992:H992)))</f>
        <v>3</v>
      </c>
      <c r="V992" s="4" t="str">
        <f>IF(U992="","",IF(U992&gt;25,"Outlier","Normal"))</f>
        <v>Normal</v>
      </c>
    </row>
    <row r="993" spans="1:22" x14ac:dyDescent="0.3">
      <c r="A993" s="1" t="s">
        <v>17</v>
      </c>
      <c r="B993" s="1" t="s">
        <v>21</v>
      </c>
      <c r="C993" s="1" t="s">
        <v>83</v>
      </c>
      <c r="D993" s="1" t="s">
        <v>20</v>
      </c>
      <c r="E993" s="1" t="s">
        <v>12</v>
      </c>
      <c r="F993" s="4">
        <v>55</v>
      </c>
      <c r="G993" s="4">
        <v>46</v>
      </c>
      <c r="H993" s="4" t="s">
        <v>90</v>
      </c>
      <c r="I993" s="4">
        <f>AVERAGE(Student­­Performance[[#This Row],[Math Score]],Student­­Performance[[#This Row],[Reading Score]],Student­­Performance[[#This Row],[Writing Score]])</f>
        <v>50.5</v>
      </c>
      <c r="J993" s="10" t="str">
        <f>IF(Student­­Performance[[#This Row],[Average Score]]&gt;=50,"Pass","Fail")</f>
        <v>Pass</v>
      </c>
      <c r="K99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-9</v>
      </c>
      <c r="L993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993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93" s="4">
        <f>IF(ISNUMBER(Student­­Performance[[#This Row],[Math Score]]),Student­­Performance[[#This Row],[Math Score]],0)</f>
        <v>55</v>
      </c>
      <c r="O993" s="4">
        <f>IF(ISNUMBER(Student­­Performance[[#This Row],[Reading Score]]),Student­­Performance[[#This Row],[Reading Score]],0)</f>
        <v>46</v>
      </c>
      <c r="P993" s="4">
        <f>IF(ISNUMBER(Student­­Performance[[#This Row],[Writing Score]]),Student­­Performance[[#This Row],[Writing Score]],0)</f>
        <v>0</v>
      </c>
      <c r="Q993" s="4" t="str">
        <f>IF(Student­­Performance[[#This Row],[Math Score]]&gt;=50,"Pass","Fail")</f>
        <v>Pass</v>
      </c>
      <c r="R993" s="4" t="str">
        <f>IF(Student­­Performance[[#This Row],[Reading Score]]&gt;=50,"Pass","Fail")</f>
        <v>Fail</v>
      </c>
      <c r="S993" s="4" t="str">
        <f>IF(Student­­Performance[[#This Row],[Writing Score]]&gt;=50,"Pass","Fail")</f>
        <v>Pass</v>
      </c>
      <c r="T99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101</v>
      </c>
      <c r="U993" s="4" cm="1">
        <f t="array" ref="U993">IF(COUNT(F993:H993)=0,"", MAX(IF(ISNUMBER(F993:H993),F993:H993)) - MIN(IF(ISNUMBER(F993:H993),F993:H993)))</f>
        <v>9</v>
      </c>
      <c r="V993" s="4" t="str">
        <f>IF(U993="","",IF(U993&gt;25,"Outlier","Normal"))</f>
        <v>Normal</v>
      </c>
    </row>
    <row r="994" spans="1:22" x14ac:dyDescent="0.3">
      <c r="A994" s="1" t="s">
        <v>17</v>
      </c>
      <c r="B994" s="1" t="s">
        <v>13</v>
      </c>
      <c r="C994" s="1" t="s">
        <v>87</v>
      </c>
      <c r="D994" s="1" t="s">
        <v>20</v>
      </c>
      <c r="E994" s="1" t="s">
        <v>12</v>
      </c>
      <c r="F994" s="4">
        <v>27</v>
      </c>
      <c r="G994" s="4">
        <v>34</v>
      </c>
      <c r="H994" s="4">
        <v>36</v>
      </c>
      <c r="I994" s="4">
        <f>AVERAGE(Student­­Performance[[#This Row],[Math Score]],Student­­Performance[[#This Row],[Reading Score]],Student­­Performance[[#This Row],[Writing Score]])</f>
        <v>32.333333333333336</v>
      </c>
      <c r="J994" s="10" t="str">
        <f>IF(Student­­Performance[[#This Row],[Average Score]]&gt;=50,"Pass","Fail")</f>
        <v>Fail</v>
      </c>
      <c r="K99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99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2</v>
      </c>
      <c r="M99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9</v>
      </c>
      <c r="N994" s="4">
        <f>IF(ISNUMBER(Student­­Performance[[#This Row],[Math Score]]),Student­­Performance[[#This Row],[Math Score]],0)</f>
        <v>27</v>
      </c>
      <c r="O994" s="4">
        <f>IF(ISNUMBER(Student­­Performance[[#This Row],[Reading Score]]),Student­­Performance[[#This Row],[Reading Score]],0)</f>
        <v>34</v>
      </c>
      <c r="P994" s="4">
        <f>IF(ISNUMBER(Student­­Performance[[#This Row],[Writing Score]]),Student­­Performance[[#This Row],[Writing Score]],0)</f>
        <v>36</v>
      </c>
      <c r="Q994" s="4" t="str">
        <f>IF(Student­­Performance[[#This Row],[Math Score]]&gt;=50,"Pass","Fail")</f>
        <v>Fail</v>
      </c>
      <c r="R994" s="4" t="str">
        <f>IF(Student­­Performance[[#This Row],[Reading Score]]&gt;=50,"Pass","Fail")</f>
        <v>Fail</v>
      </c>
      <c r="S994" s="4" t="str">
        <f>IF(Student­­Performance[[#This Row],[Writing Score]]&gt;=50,"Pass","Fail")</f>
        <v>Fail</v>
      </c>
      <c r="T99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97</v>
      </c>
      <c r="U994" s="4" cm="1">
        <f t="array" ref="U994">IF(COUNT(F994:H994)=0,"", MAX(IF(ISNUMBER(F994:H994),F994:H994)) - MIN(IF(ISNUMBER(F994:H994),F994:H994)))</f>
        <v>9</v>
      </c>
      <c r="V994" s="4" t="str">
        <f>IF(U994="","",IF(U994&gt;25,"Outlier","Normal"))</f>
        <v>Normal</v>
      </c>
    </row>
    <row r="995" spans="1:22" x14ac:dyDescent="0.3">
      <c r="A995" s="1" t="s">
        <v>17</v>
      </c>
      <c r="B995" s="1" t="s">
        <v>9</v>
      </c>
      <c r="C995" s="1" t="s">
        <v>83</v>
      </c>
      <c r="D995" s="1" t="s">
        <v>20</v>
      </c>
      <c r="E995" s="1" t="s">
        <v>12</v>
      </c>
      <c r="F995" s="4" t="s">
        <v>90</v>
      </c>
      <c r="G995" s="4">
        <v>51</v>
      </c>
      <c r="H995" s="4">
        <v>46</v>
      </c>
      <c r="I995" s="4">
        <f>AVERAGE(Student­­Performance[[#This Row],[Math Score]],Student­­Performance[[#This Row],[Reading Score]],Student­­Performance[[#This Row],[Writing Score]])</f>
        <v>48.5</v>
      </c>
      <c r="J995" s="10" t="str">
        <f>IF(Student­­Performance[[#This Row],[Average Score]]&gt;=50,"Pass","Fail")</f>
        <v>Fail</v>
      </c>
      <c r="K995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99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-5</v>
      </c>
      <c r="M995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995" s="4">
        <f>IF(ISNUMBER(Student­­Performance[[#This Row],[Math Score]]),Student­­Performance[[#This Row],[Math Score]],0)</f>
        <v>0</v>
      </c>
      <c r="O995" s="4">
        <f>IF(ISNUMBER(Student­­Performance[[#This Row],[Reading Score]]),Student­­Performance[[#This Row],[Reading Score]],0)</f>
        <v>51</v>
      </c>
      <c r="P995" s="4">
        <f>IF(ISNUMBER(Student­­Performance[[#This Row],[Writing Score]]),Student­­Performance[[#This Row],[Writing Score]],0)</f>
        <v>46</v>
      </c>
      <c r="Q995" s="4" t="str">
        <f>IF(Student­­Performance[[#This Row],[Math Score]]&gt;=50,"Pass","Fail")</f>
        <v>Pass</v>
      </c>
      <c r="R995" s="4" t="str">
        <f>IF(Student­­Performance[[#This Row],[Reading Score]]&gt;=50,"Pass","Fail")</f>
        <v>Pass</v>
      </c>
      <c r="S995" s="4" t="str">
        <f>IF(Student­­Performance[[#This Row],[Writing Score]]&gt;=50,"Pass","Fail")</f>
        <v>Fail</v>
      </c>
      <c r="T99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97</v>
      </c>
      <c r="U995" s="4" cm="1">
        <f t="array" ref="U995">IF(COUNT(F995:H995)=0,"", MAX(IF(ISNUMBER(F995:H995),F995:H995)) - MIN(IF(ISNUMBER(F995:H995),F995:H995)))</f>
        <v>5</v>
      </c>
      <c r="V995" s="4" t="str">
        <f>IF(U995="","",IF(U995&gt;25,"Outlier","Normal"))</f>
        <v>Normal</v>
      </c>
    </row>
    <row r="996" spans="1:22" x14ac:dyDescent="0.3">
      <c r="A996" s="1" t="s">
        <v>17</v>
      </c>
      <c r="B996" s="1" t="s">
        <v>18</v>
      </c>
      <c r="C996" s="1" t="s">
        <v>88</v>
      </c>
      <c r="D996" s="1" t="s">
        <v>11</v>
      </c>
      <c r="E996" s="1" t="s">
        <v>15</v>
      </c>
      <c r="F996" s="4">
        <v>47</v>
      </c>
      <c r="G996" s="4" t="s">
        <v>90</v>
      </c>
      <c r="H996" s="4">
        <v>49</v>
      </c>
      <c r="I996" s="4">
        <f>AVERAGE(Student­­Performance[[#This Row],[Math Score]],Student­­Performance[[#This Row],[Reading Score]],Student­­Performance[[#This Row],[Writing Score]])</f>
        <v>48</v>
      </c>
      <c r="J996" s="10" t="str">
        <f>IF(Student­­Performance[[#This Row],[Average Score]]&gt;=50,"Pass","Fail")</f>
        <v>Fail</v>
      </c>
      <c r="K996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996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99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2</v>
      </c>
      <c r="N996" s="4">
        <f>IF(ISNUMBER(Student­­Performance[[#This Row],[Math Score]]),Student­­Performance[[#This Row],[Math Score]],0)</f>
        <v>47</v>
      </c>
      <c r="O996" s="4">
        <f>IF(ISNUMBER(Student­­Performance[[#This Row],[Reading Score]]),Student­­Performance[[#This Row],[Reading Score]],0)</f>
        <v>0</v>
      </c>
      <c r="P996" s="4">
        <f>IF(ISNUMBER(Student­­Performance[[#This Row],[Writing Score]]),Student­­Performance[[#This Row],[Writing Score]],0)</f>
        <v>49</v>
      </c>
      <c r="Q996" s="4" t="str">
        <f>IF(Student­­Performance[[#This Row],[Math Score]]&gt;=50,"Pass","Fail")</f>
        <v>Fail</v>
      </c>
      <c r="R996" s="4" t="str">
        <f>IF(Student­­Performance[[#This Row],[Reading Score]]&gt;=50,"Pass","Fail")</f>
        <v>Pass</v>
      </c>
      <c r="S996" s="4" t="str">
        <f>IF(Student­­Performance[[#This Row],[Writing Score]]&gt;=50,"Pass","Fail")</f>
        <v>Fail</v>
      </c>
      <c r="T99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96</v>
      </c>
      <c r="U996" s="4" cm="1">
        <f t="array" ref="U996">IF(COUNT(F996:H996)=0,"", MAX(IF(ISNUMBER(F996:H996),F996:H996)) - MIN(IF(ISNUMBER(F996:H996),F996:H996)))</f>
        <v>2</v>
      </c>
      <c r="V996" s="4" t="str">
        <f>IF(U996="","",IF(U996&gt;25,"Outlier","Normal"))</f>
        <v>Normal</v>
      </c>
    </row>
    <row r="997" spans="1:22" x14ac:dyDescent="0.3">
      <c r="A997" s="1" t="s">
        <v>8</v>
      </c>
      <c r="B997" s="1" t="s">
        <v>13</v>
      </c>
      <c r="C997" s="1" t="s">
        <v>84</v>
      </c>
      <c r="D997" s="1" t="s">
        <v>20</v>
      </c>
      <c r="E997" s="1" t="s">
        <v>12</v>
      </c>
      <c r="F997" s="4">
        <v>22</v>
      </c>
      <c r="G997" s="4">
        <v>39</v>
      </c>
      <c r="H997" s="4">
        <v>33</v>
      </c>
      <c r="I997" s="4">
        <f>AVERAGE(Student­­Performance[[#This Row],[Math Score]],Student­­Performance[[#This Row],[Reading Score]],Student­­Performance[[#This Row],[Writing Score]])</f>
        <v>31.333333333333332</v>
      </c>
      <c r="J997" s="10" t="str">
        <f>IF(Student­­Performance[[#This Row],[Average Score]]&gt;=50,"Pass","Fail")</f>
        <v>Fail</v>
      </c>
      <c r="K99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17</v>
      </c>
      <c r="L99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99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11</v>
      </c>
      <c r="N997" s="4">
        <f>IF(ISNUMBER(Student­­Performance[[#This Row],[Math Score]]),Student­­Performance[[#This Row],[Math Score]],0)</f>
        <v>22</v>
      </c>
      <c r="O997" s="4">
        <f>IF(ISNUMBER(Student­­Performance[[#This Row],[Reading Score]]),Student­­Performance[[#This Row],[Reading Score]],0)</f>
        <v>39</v>
      </c>
      <c r="P997" s="4">
        <f>IF(ISNUMBER(Student­­Performance[[#This Row],[Writing Score]]),Student­­Performance[[#This Row],[Writing Score]],0)</f>
        <v>33</v>
      </c>
      <c r="Q997" s="4" t="str">
        <f>IF(Student­­Performance[[#This Row],[Math Score]]&gt;=50,"Pass","Fail")</f>
        <v>Fail</v>
      </c>
      <c r="R997" s="4" t="str">
        <f>IF(Student­­Performance[[#This Row],[Reading Score]]&gt;=50,"Pass","Fail")</f>
        <v>Fail</v>
      </c>
      <c r="S997" s="4" t="str">
        <f>IF(Student­­Performance[[#This Row],[Writing Score]]&gt;=50,"Pass","Fail")</f>
        <v>Fail</v>
      </c>
      <c r="T99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94</v>
      </c>
      <c r="U997" s="4" cm="1">
        <f t="array" ref="U997">IF(COUNT(F997:H997)=0,"", MAX(IF(ISNUMBER(F997:H997),F997:H997)) - MIN(IF(ISNUMBER(F997:H997),F997:H997)))</f>
        <v>17</v>
      </c>
      <c r="V997" s="4" t="str">
        <f>IF(U997="","",IF(U997&gt;25,"Outlier","Normal"))</f>
        <v>Normal</v>
      </c>
    </row>
    <row r="998" spans="1:22" x14ac:dyDescent="0.3">
      <c r="A998" s="1" t="s">
        <v>8</v>
      </c>
      <c r="B998" s="1" t="s">
        <v>21</v>
      </c>
      <c r="C998" s="1" t="s">
        <v>88</v>
      </c>
      <c r="D998" s="1" t="s">
        <v>20</v>
      </c>
      <c r="E998" s="1" t="s">
        <v>12</v>
      </c>
      <c r="F998" s="4">
        <v>27</v>
      </c>
      <c r="G998" s="4">
        <v>34</v>
      </c>
      <c r="H998" s="4">
        <v>32</v>
      </c>
      <c r="I998" s="4">
        <f>AVERAGE(Student­­Performance[[#This Row],[Math Score]],Student­­Performance[[#This Row],[Reading Score]],Student­­Performance[[#This Row],[Writing Score]])</f>
        <v>31</v>
      </c>
      <c r="J998" s="10" t="str">
        <f>IF(Student­­Performance[[#This Row],[Average Score]]&gt;=50,"Pass","Fail")</f>
        <v>Fail</v>
      </c>
      <c r="K998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7</v>
      </c>
      <c r="L998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99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5</v>
      </c>
      <c r="N998" s="4">
        <f>IF(ISNUMBER(Student­­Performance[[#This Row],[Math Score]]),Student­­Performance[[#This Row],[Math Score]],0)</f>
        <v>27</v>
      </c>
      <c r="O998" s="4">
        <f>IF(ISNUMBER(Student­­Performance[[#This Row],[Reading Score]]),Student­­Performance[[#This Row],[Reading Score]],0)</f>
        <v>34</v>
      </c>
      <c r="P998" s="4">
        <f>IF(ISNUMBER(Student­­Performance[[#This Row],[Writing Score]]),Student­­Performance[[#This Row],[Writing Score]],0)</f>
        <v>32</v>
      </c>
      <c r="Q998" s="4" t="str">
        <f>IF(Student­­Performance[[#This Row],[Math Score]]&gt;=50,"Pass","Fail")</f>
        <v>Fail</v>
      </c>
      <c r="R998" s="4" t="str">
        <f>IF(Student­­Performance[[#This Row],[Reading Score]]&gt;=50,"Pass","Fail")</f>
        <v>Fail</v>
      </c>
      <c r="S998" s="4" t="str">
        <f>IF(Student­­Performance[[#This Row],[Writing Score]]&gt;=50,"Pass","Fail")</f>
        <v>Fail</v>
      </c>
      <c r="T99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93</v>
      </c>
      <c r="U998" s="4" cm="1">
        <f t="array" ref="U998">IF(COUNT(F998:H998)=0,"", MAX(IF(ISNUMBER(F998:H998),F998:H998)) - MIN(IF(ISNUMBER(F998:H998),F998:H998)))</f>
        <v>7</v>
      </c>
      <c r="V998" s="4" t="str">
        <f>IF(U998="","",IF(U998&gt;25,"Outlier","Normal"))</f>
        <v>Normal</v>
      </c>
    </row>
    <row r="999" spans="1:22" x14ac:dyDescent="0.3">
      <c r="A999" s="1" t="s">
        <v>17</v>
      </c>
      <c r="B999" s="1" t="s">
        <v>9</v>
      </c>
      <c r="C999" s="1" t="s">
        <v>87</v>
      </c>
      <c r="D999" s="1" t="s">
        <v>20</v>
      </c>
      <c r="E999" s="1" t="s">
        <v>12</v>
      </c>
      <c r="F999" s="4">
        <v>36</v>
      </c>
      <c r="G999" s="4">
        <v>29</v>
      </c>
      <c r="H999" s="4">
        <v>27</v>
      </c>
      <c r="I999" s="4">
        <f>AVERAGE(Student­­Performance[[#This Row],[Math Score]],Student­­Performance[[#This Row],[Reading Score]],Student­­Performance[[#This Row],[Writing Score]])</f>
        <v>30.666666666666668</v>
      </c>
      <c r="J999" s="10" t="str">
        <f>IF(Student­­Performance[[#This Row],[Average Score]]&gt;=50,"Pass","Fail")</f>
        <v>Fail</v>
      </c>
      <c r="K99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-7</v>
      </c>
      <c r="L99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-2</v>
      </c>
      <c r="M99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-9</v>
      </c>
      <c r="N999" s="4">
        <f>IF(ISNUMBER(Student­­Performance[[#This Row],[Math Score]]),Student­­Performance[[#This Row],[Math Score]],0)</f>
        <v>36</v>
      </c>
      <c r="O999" s="4">
        <f>IF(ISNUMBER(Student­­Performance[[#This Row],[Reading Score]]),Student­­Performance[[#This Row],[Reading Score]],0)</f>
        <v>29</v>
      </c>
      <c r="P999" s="4">
        <f>IF(ISNUMBER(Student­­Performance[[#This Row],[Writing Score]]),Student­­Performance[[#This Row],[Writing Score]],0)</f>
        <v>27</v>
      </c>
      <c r="Q999" s="4" t="str">
        <f>IF(Student­­Performance[[#This Row],[Math Score]]&gt;=50,"Pass","Fail")</f>
        <v>Fail</v>
      </c>
      <c r="R999" s="4" t="str">
        <f>IF(Student­­Performance[[#This Row],[Reading Score]]&gt;=50,"Pass","Fail")</f>
        <v>Fail</v>
      </c>
      <c r="S999" s="4" t="str">
        <f>IF(Student­­Performance[[#This Row],[Writing Score]]&gt;=50,"Pass","Fail")</f>
        <v>Fail</v>
      </c>
      <c r="T99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92</v>
      </c>
      <c r="U999" s="4" cm="1">
        <f t="array" ref="U999">IF(COUNT(F999:H999)=0,"", MAX(IF(ISNUMBER(F999:H999),F999:H999)) - MIN(IF(ISNUMBER(F999:H999),F999:H999)))</f>
        <v>9</v>
      </c>
      <c r="V999" s="4" t="str">
        <f>IF(U999="","",IF(U999&gt;25,"Outlier","Normal"))</f>
        <v>Normal</v>
      </c>
    </row>
    <row r="1000" spans="1:22" x14ac:dyDescent="0.3">
      <c r="A1000" s="1" t="s">
        <v>17</v>
      </c>
      <c r="B1000" s="1" t="s">
        <v>21</v>
      </c>
      <c r="C1000" s="1" t="s">
        <v>87</v>
      </c>
      <c r="D1000" s="1" t="s">
        <v>11</v>
      </c>
      <c r="E1000" s="1" t="s">
        <v>12</v>
      </c>
      <c r="F1000" s="4">
        <v>45</v>
      </c>
      <c r="G1000" s="4" t="s">
        <v>90</v>
      </c>
      <c r="H1000" s="4">
        <v>46</v>
      </c>
      <c r="I1000" s="4">
        <f>AVERAGE(Student­­Performance[[#This Row],[Math Score]],Student­­Performance[[#This Row],[Reading Score]],Student­­Performance[[#This Row],[Writing Score]])</f>
        <v>45.5</v>
      </c>
      <c r="J1000" s="10" t="str">
        <f>IF(Student­­Performance[[#This Row],[Average Score]]&gt;=50,"Pass","Fail")</f>
        <v>Fail</v>
      </c>
      <c r="K1000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1000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1000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1000" s="4">
        <f>IF(ISNUMBER(Student­­Performance[[#This Row],[Math Score]]),Student­­Performance[[#This Row],[Math Score]],0)</f>
        <v>45</v>
      </c>
      <c r="O1000" s="4">
        <f>IF(ISNUMBER(Student­­Performance[[#This Row],[Reading Score]]),Student­­Performance[[#This Row],[Reading Score]],0)</f>
        <v>0</v>
      </c>
      <c r="P1000" s="4">
        <f>IF(ISNUMBER(Student­­Performance[[#This Row],[Writing Score]]),Student­­Performance[[#This Row],[Writing Score]],0)</f>
        <v>46</v>
      </c>
      <c r="Q1000" s="4" t="str">
        <f>IF(Student­­Performance[[#This Row],[Math Score]]&gt;=50,"Pass","Fail")</f>
        <v>Fail</v>
      </c>
      <c r="R1000" s="4" t="str">
        <f>IF(Student­­Performance[[#This Row],[Reading Score]]&gt;=50,"Pass","Fail")</f>
        <v>Pass</v>
      </c>
      <c r="S1000" s="4" t="str">
        <f>IF(Student­­Performance[[#This Row],[Writing Score]]&gt;=50,"Pass","Fail")</f>
        <v>Fail</v>
      </c>
      <c r="T100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91</v>
      </c>
      <c r="U1000" s="4" cm="1">
        <f t="array" ref="U1000">IF(COUNT(F1000:H1000)=0,"", MAX(IF(ISNUMBER(F1000:H1000),F1000:H1000)) - MIN(IF(ISNUMBER(F1000:H1000),F1000:H1000)))</f>
        <v>1</v>
      </c>
      <c r="V1000" s="4" t="str">
        <f>IF(U1000="","",IF(U1000&gt;25,"Outlier","Normal"))</f>
        <v>Normal</v>
      </c>
    </row>
    <row r="1001" spans="1:22" x14ac:dyDescent="0.3">
      <c r="A1001" s="1" t="s">
        <v>17</v>
      </c>
      <c r="B1001" s="1" t="s">
        <v>13</v>
      </c>
      <c r="C1001" s="1" t="s">
        <v>84</v>
      </c>
      <c r="D1001" s="1" t="s">
        <v>20</v>
      </c>
      <c r="E1001" s="1" t="s">
        <v>12</v>
      </c>
      <c r="F1001" s="4">
        <v>35</v>
      </c>
      <c r="G1001" s="4">
        <v>28</v>
      </c>
      <c r="H1001" s="4">
        <v>27</v>
      </c>
      <c r="I1001" s="4">
        <f>AVERAGE(Student­­Performance[[#This Row],[Math Score]],Student­­Performance[[#This Row],[Reading Score]],Student­­Performance[[#This Row],[Writing Score]])</f>
        <v>30</v>
      </c>
      <c r="J1001" s="10" t="str">
        <f>IF(Student­­Performance[[#This Row],[Average Score]]&gt;=50,"Pass","Fail")</f>
        <v>Fail</v>
      </c>
      <c r="K1001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-7</v>
      </c>
      <c r="L100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1001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1001" s="4">
        <f>IF(ISNUMBER(Student­­Performance[[#This Row],[Math Score]]),Student­­Performance[[#This Row],[Math Score]],0)</f>
        <v>35</v>
      </c>
      <c r="O1001" s="4">
        <f>IF(ISNUMBER(Student­­Performance[[#This Row],[Reading Score]]),Student­­Performance[[#This Row],[Reading Score]],0)</f>
        <v>28</v>
      </c>
      <c r="P1001" s="4">
        <f>IF(ISNUMBER(Student­­Performance[[#This Row],[Writing Score]]),Student­­Performance[[#This Row],[Writing Score]],0)</f>
        <v>27</v>
      </c>
      <c r="Q1001" s="4" t="str">
        <f>IF(Student­­Performance[[#This Row],[Math Score]]&gt;=50,"Pass","Fail")</f>
        <v>Fail</v>
      </c>
      <c r="R1001" s="4" t="str">
        <f>IF(Student­­Performance[[#This Row],[Reading Score]]&gt;=50,"Pass","Fail")</f>
        <v>Fail</v>
      </c>
      <c r="S1001" s="4" t="str">
        <f>IF(Student­­Performance[[#This Row],[Writing Score]]&gt;=50,"Pass","Fail")</f>
        <v>Fail</v>
      </c>
      <c r="T100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90</v>
      </c>
      <c r="U1001" s="4" cm="1">
        <f t="array" ref="U1001">IF(COUNT(F1001:H1001)=0,"", MAX(IF(ISNUMBER(F1001:H1001),F1001:H1001)) - MIN(IF(ISNUMBER(F1001:H1001),F1001:H1001)))</f>
        <v>8</v>
      </c>
      <c r="V1001" s="4" t="str">
        <f>IF(U1001="","",IF(U1001&gt;25,"Outlier","Normal"))</f>
        <v>Normal</v>
      </c>
    </row>
    <row r="1002" spans="1:22" x14ac:dyDescent="0.3">
      <c r="A1002" s="1" t="s">
        <v>8</v>
      </c>
      <c r="B1002" s="1" t="s">
        <v>9</v>
      </c>
      <c r="C1002" s="1" t="s">
        <v>88</v>
      </c>
      <c r="D1002" s="1" t="s">
        <v>20</v>
      </c>
      <c r="E1002" s="1" t="s">
        <v>12</v>
      </c>
      <c r="F1002" s="4">
        <v>24</v>
      </c>
      <c r="G1002" s="4">
        <v>38</v>
      </c>
      <c r="H1002" s="4">
        <v>27</v>
      </c>
      <c r="I1002" s="4">
        <f>AVERAGE(Student­­Performance[[#This Row],[Math Score]],Student­­Performance[[#This Row],[Reading Score]],Student­­Performance[[#This Row],[Writing Score]])</f>
        <v>29.666666666666668</v>
      </c>
      <c r="J1002" s="10" t="str">
        <f>IF(Student­­Performance[[#This Row],[Average Score]]&gt;=50,"Pass","Fail")</f>
        <v>Fail</v>
      </c>
      <c r="K100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14</v>
      </c>
      <c r="L100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-11</v>
      </c>
      <c r="M100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3</v>
      </c>
      <c r="N1002" s="4">
        <f>IF(ISNUMBER(Student­­Performance[[#This Row],[Math Score]]),Student­­Performance[[#This Row],[Math Score]],0)</f>
        <v>24</v>
      </c>
      <c r="O1002" s="4">
        <f>IF(ISNUMBER(Student­­Performance[[#This Row],[Reading Score]]),Student­­Performance[[#This Row],[Reading Score]],0)</f>
        <v>38</v>
      </c>
      <c r="P1002" s="4">
        <f>IF(ISNUMBER(Student­­Performance[[#This Row],[Writing Score]]),Student­­Performance[[#This Row],[Writing Score]],0)</f>
        <v>27</v>
      </c>
      <c r="Q1002" s="4" t="str">
        <f>IF(Student­­Performance[[#This Row],[Math Score]]&gt;=50,"Pass","Fail")</f>
        <v>Fail</v>
      </c>
      <c r="R1002" s="4" t="str">
        <f>IF(Student­­Performance[[#This Row],[Reading Score]]&gt;=50,"Pass","Fail")</f>
        <v>Fail</v>
      </c>
      <c r="S1002" s="4" t="str">
        <f>IF(Student­­Performance[[#This Row],[Writing Score]]&gt;=50,"Pass","Fail")</f>
        <v>Fail</v>
      </c>
      <c r="T100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89</v>
      </c>
      <c r="U1002" s="4" cm="1">
        <f t="array" ref="U1002">IF(COUNT(F1002:H1002)=0,"", MAX(IF(ISNUMBER(F1002:H1002),F1002:H1002)) - MIN(IF(ISNUMBER(F1002:H1002),F1002:H1002)))</f>
        <v>14</v>
      </c>
      <c r="V1002" s="4" t="str">
        <f>IF(U1002="","",IF(U1002&gt;25,"Outlier","Normal"))</f>
        <v>Normal</v>
      </c>
    </row>
    <row r="1003" spans="1:22" x14ac:dyDescent="0.3">
      <c r="A1003" s="1" t="s">
        <v>8</v>
      </c>
      <c r="B1003" s="1" t="s">
        <v>9</v>
      </c>
      <c r="C1003" s="1" t="s">
        <v>84</v>
      </c>
      <c r="D1003" s="1" t="s">
        <v>11</v>
      </c>
      <c r="E1003" s="1" t="s">
        <v>12</v>
      </c>
      <c r="F1003" s="4">
        <v>19</v>
      </c>
      <c r="G1003" s="4">
        <v>38</v>
      </c>
      <c r="H1003" s="4">
        <v>32</v>
      </c>
      <c r="I1003" s="4">
        <f>AVERAGE(Student­­Performance[[#This Row],[Math Score]],Student­­Performance[[#This Row],[Reading Score]],Student­­Performance[[#This Row],[Writing Score]])</f>
        <v>29.666666666666668</v>
      </c>
      <c r="J1003" s="10" t="str">
        <f>IF(Student­­Performance[[#This Row],[Average Score]]&gt;=50,"Pass","Fail")</f>
        <v>Fail</v>
      </c>
      <c r="K100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19</v>
      </c>
      <c r="L100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-6</v>
      </c>
      <c r="M100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13</v>
      </c>
      <c r="N1003" s="4">
        <f>IF(ISNUMBER(Student­­Performance[[#This Row],[Math Score]]),Student­­Performance[[#This Row],[Math Score]],0)</f>
        <v>19</v>
      </c>
      <c r="O1003" s="4">
        <f>IF(ISNUMBER(Student­­Performance[[#This Row],[Reading Score]]),Student­­Performance[[#This Row],[Reading Score]],0)</f>
        <v>38</v>
      </c>
      <c r="P1003" s="4">
        <f>IF(ISNUMBER(Student­­Performance[[#This Row],[Writing Score]]),Student­­Performance[[#This Row],[Writing Score]],0)</f>
        <v>32</v>
      </c>
      <c r="Q1003" s="4" t="str">
        <f>IF(Student­­Performance[[#This Row],[Math Score]]&gt;=50,"Pass","Fail")</f>
        <v>Fail</v>
      </c>
      <c r="R1003" s="4" t="str">
        <f>IF(Student­­Performance[[#This Row],[Reading Score]]&gt;=50,"Pass","Fail")</f>
        <v>Fail</v>
      </c>
      <c r="S1003" s="4" t="str">
        <f>IF(Student­­Performance[[#This Row],[Writing Score]]&gt;=50,"Pass","Fail")</f>
        <v>Fail</v>
      </c>
      <c r="T100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89</v>
      </c>
      <c r="U1003" s="4" cm="1">
        <f t="array" ref="U1003">IF(COUNT(F1003:H1003)=0,"", MAX(IF(ISNUMBER(F1003:H1003),F1003:H1003)) - MIN(IF(ISNUMBER(F1003:H1003),F1003:H1003)))</f>
        <v>19</v>
      </c>
      <c r="V1003" s="4" t="str">
        <f>IF(U1003="","",IF(U1003&gt;25,"Outlier","Normal"))</f>
        <v>Normal</v>
      </c>
    </row>
    <row r="1004" spans="1:22" x14ac:dyDescent="0.3">
      <c r="A1004" s="1" t="s">
        <v>8</v>
      </c>
      <c r="B1004" s="1" t="s">
        <v>13</v>
      </c>
      <c r="C1004" s="1" t="s">
        <v>87</v>
      </c>
      <c r="D1004" s="1" t="s">
        <v>11</v>
      </c>
      <c r="E1004" s="1" t="s">
        <v>12</v>
      </c>
      <c r="F1004" s="4">
        <v>29</v>
      </c>
      <c r="G1004" s="4">
        <v>29</v>
      </c>
      <c r="H1004" s="4">
        <v>30</v>
      </c>
      <c r="I1004" s="4">
        <f>AVERAGE(Student­­Performance[[#This Row],[Math Score]],Student­­Performance[[#This Row],[Reading Score]],Student­­Performance[[#This Row],[Writing Score]])</f>
        <v>29.333333333333332</v>
      </c>
      <c r="J1004" s="10" t="str">
        <f>IF(Student­­Performance[[#This Row],[Average Score]]&gt;=50,"Pass","Fail")</f>
        <v>Fail</v>
      </c>
      <c r="K100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0</v>
      </c>
      <c r="L100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1</v>
      </c>
      <c r="M100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</v>
      </c>
      <c r="N1004" s="4">
        <f>IF(ISNUMBER(Student­­Performance[[#This Row],[Math Score]]),Student­­Performance[[#This Row],[Math Score]],0)</f>
        <v>29</v>
      </c>
      <c r="O1004" s="4">
        <f>IF(ISNUMBER(Student­­Performance[[#This Row],[Reading Score]]),Student­­Performance[[#This Row],[Reading Score]],0)</f>
        <v>29</v>
      </c>
      <c r="P1004" s="4">
        <f>IF(ISNUMBER(Student­­Performance[[#This Row],[Writing Score]]),Student­­Performance[[#This Row],[Writing Score]],0)</f>
        <v>30</v>
      </c>
      <c r="Q1004" s="4" t="str">
        <f>IF(Student­­Performance[[#This Row],[Math Score]]&gt;=50,"Pass","Fail")</f>
        <v>Fail</v>
      </c>
      <c r="R1004" s="4" t="str">
        <f>IF(Student­­Performance[[#This Row],[Reading Score]]&gt;=50,"Pass","Fail")</f>
        <v>Fail</v>
      </c>
      <c r="S1004" s="4" t="str">
        <f>IF(Student­­Performance[[#This Row],[Writing Score]]&gt;=50,"Pass","Fail")</f>
        <v>Fail</v>
      </c>
      <c r="T100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88</v>
      </c>
      <c r="U1004" s="4" cm="1">
        <f t="array" ref="U1004">IF(COUNT(F1004:H1004)=0,"", MAX(IF(ISNUMBER(F1004:H1004),F1004:H1004)) - MIN(IF(ISNUMBER(F1004:H1004),F1004:H1004)))</f>
        <v>1</v>
      </c>
      <c r="V1004" s="4" t="str">
        <f>IF(U1004="","",IF(U1004&gt;25,"Outlier","Normal"))</f>
        <v>Normal</v>
      </c>
    </row>
    <row r="1005" spans="1:22" x14ac:dyDescent="0.3">
      <c r="A1005" s="1" t="s">
        <v>17</v>
      </c>
      <c r="B1005" s="1" t="s">
        <v>21</v>
      </c>
      <c r="C1005" s="1" t="s">
        <v>88</v>
      </c>
      <c r="D1005" s="1" t="s">
        <v>20</v>
      </c>
      <c r="E1005" s="1" t="s">
        <v>12</v>
      </c>
      <c r="F1005" s="4" t="s">
        <v>90</v>
      </c>
      <c r="G1005" s="4">
        <v>42</v>
      </c>
      <c r="H1005" s="4">
        <v>41</v>
      </c>
      <c r="I1005" s="4">
        <f>AVERAGE(Student­­Performance[[#This Row],[Math Score]],Student­­Performance[[#This Row],[Reading Score]],Student­­Performance[[#This Row],[Writing Score]])</f>
        <v>41.5</v>
      </c>
      <c r="J1005" s="10" t="str">
        <f>IF(Student­­Performance[[#This Row],[Average Score]]&gt;=50,"Pass","Fail")</f>
        <v>Fail</v>
      </c>
      <c r="K1005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1005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1005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1005" s="4">
        <f>IF(ISNUMBER(Student­­Performance[[#This Row],[Math Score]]),Student­­Performance[[#This Row],[Math Score]],0)</f>
        <v>0</v>
      </c>
      <c r="O1005" s="4">
        <f>IF(ISNUMBER(Student­­Performance[[#This Row],[Reading Score]]),Student­­Performance[[#This Row],[Reading Score]],0)</f>
        <v>42</v>
      </c>
      <c r="P1005" s="4">
        <f>IF(ISNUMBER(Student­­Performance[[#This Row],[Writing Score]]),Student­­Performance[[#This Row],[Writing Score]],0)</f>
        <v>41</v>
      </c>
      <c r="Q1005" s="4" t="str">
        <f>IF(Student­­Performance[[#This Row],[Math Score]]&gt;=50,"Pass","Fail")</f>
        <v>Pass</v>
      </c>
      <c r="R1005" s="4" t="str">
        <f>IF(Student­­Performance[[#This Row],[Reading Score]]&gt;=50,"Pass","Fail")</f>
        <v>Fail</v>
      </c>
      <c r="S1005" s="4" t="str">
        <f>IF(Student­­Performance[[#This Row],[Writing Score]]&gt;=50,"Pass","Fail")</f>
        <v>Fail</v>
      </c>
      <c r="T100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83</v>
      </c>
      <c r="U1005" s="4" cm="1">
        <f t="array" ref="U1005">IF(COUNT(F1005:H1005)=0,"", MAX(IF(ISNUMBER(F1005:H1005),F1005:H1005)) - MIN(IF(ISNUMBER(F1005:H1005),F1005:H1005)))</f>
        <v>1</v>
      </c>
      <c r="V1005" s="4" t="str">
        <f>IF(U1005="","",IF(U1005&gt;25,"Outlier","Normal"))</f>
        <v>Normal</v>
      </c>
    </row>
    <row r="1006" spans="1:22" x14ac:dyDescent="0.3">
      <c r="A1006" s="1" t="s">
        <v>8</v>
      </c>
      <c r="B1006" s="1" t="s">
        <v>9</v>
      </c>
      <c r="C1006" s="1" t="s">
        <v>88</v>
      </c>
      <c r="D1006" s="1" t="s">
        <v>20</v>
      </c>
      <c r="E1006" s="1" t="s">
        <v>12</v>
      </c>
      <c r="F1006" s="4">
        <v>18</v>
      </c>
      <c r="G1006" s="4">
        <v>32</v>
      </c>
      <c r="H1006" s="4">
        <v>28</v>
      </c>
      <c r="I1006" s="4">
        <f>AVERAGE(Student­­Performance[[#This Row],[Math Score]],Student­­Performance[[#This Row],[Reading Score]],Student­­Performance[[#This Row],[Writing Score]])</f>
        <v>26</v>
      </c>
      <c r="J1006" s="10" t="str">
        <f>IF(Student­­Performance[[#This Row],[Average Score]]&gt;=50,"Pass","Fail")</f>
        <v>Fail</v>
      </c>
      <c r="K1006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14</v>
      </c>
      <c r="L1006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1006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1006" s="4">
        <f>IF(ISNUMBER(Student­­Performance[[#This Row],[Math Score]]),Student­­Performance[[#This Row],[Math Score]],0)</f>
        <v>18</v>
      </c>
      <c r="O1006" s="4">
        <f>IF(ISNUMBER(Student­­Performance[[#This Row],[Reading Score]]),Student­­Performance[[#This Row],[Reading Score]],0)</f>
        <v>32</v>
      </c>
      <c r="P1006" s="4">
        <f>IF(ISNUMBER(Student­­Performance[[#This Row],[Writing Score]]),Student­­Performance[[#This Row],[Writing Score]],0)</f>
        <v>28</v>
      </c>
      <c r="Q1006" s="4" t="str">
        <f>IF(Student­­Performance[[#This Row],[Math Score]]&gt;=50,"Pass","Fail")</f>
        <v>Fail</v>
      </c>
      <c r="R1006" s="4" t="str">
        <f>IF(Student­­Performance[[#This Row],[Reading Score]]&gt;=50,"Pass","Fail")</f>
        <v>Fail</v>
      </c>
      <c r="S1006" s="4" t="str">
        <f>IF(Student­­Performance[[#This Row],[Writing Score]]&gt;=50,"Pass","Fail")</f>
        <v>Fail</v>
      </c>
      <c r="T1006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78</v>
      </c>
      <c r="U1006" s="4" cm="1">
        <f t="array" ref="U1006">IF(COUNT(F1006:H1006)=0,"", MAX(IF(ISNUMBER(F1006:H1006),F1006:H1006)) - MIN(IF(ISNUMBER(F1006:H1006),F1006:H1006)))</f>
        <v>14</v>
      </c>
      <c r="V1006" s="4" t="str">
        <f>IF(U1006="","",IF(U1006&gt;25,"Outlier","Normal"))</f>
        <v>Normal</v>
      </c>
    </row>
    <row r="1007" spans="1:22" x14ac:dyDescent="0.3">
      <c r="A1007" s="1" t="s">
        <v>17</v>
      </c>
      <c r="B1007" s="1" t="s">
        <v>26</v>
      </c>
      <c r="C1007" s="1" t="s">
        <v>88</v>
      </c>
      <c r="D1007" s="1" t="s">
        <v>11</v>
      </c>
      <c r="E1007" s="1" t="s">
        <v>12</v>
      </c>
      <c r="F1007" s="4">
        <v>30</v>
      </c>
      <c r="G1007" s="4">
        <v>26</v>
      </c>
      <c r="H1007" s="4">
        <v>22</v>
      </c>
      <c r="I1007" s="4">
        <f>AVERAGE(Student­­Performance[[#This Row],[Math Score]],Student­­Performance[[#This Row],[Reading Score]],Student­­Performance[[#This Row],[Writing Score]])</f>
        <v>26</v>
      </c>
      <c r="J1007" s="10" t="str">
        <f>IF(Student­­Performance[[#This Row],[Average Score]]&gt;=50,"Pass","Fail")</f>
        <v>Fail</v>
      </c>
      <c r="K1007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-4</v>
      </c>
      <c r="L1007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1007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-8</v>
      </c>
      <c r="N1007" s="4">
        <f>IF(ISNUMBER(Student­­Performance[[#This Row],[Math Score]]),Student­­Performance[[#This Row],[Math Score]],0)</f>
        <v>30</v>
      </c>
      <c r="O1007" s="4">
        <f>IF(ISNUMBER(Student­­Performance[[#This Row],[Reading Score]]),Student­­Performance[[#This Row],[Reading Score]],0)</f>
        <v>26</v>
      </c>
      <c r="P1007" s="4">
        <f>IF(ISNUMBER(Student­­Performance[[#This Row],[Writing Score]]),Student­­Performance[[#This Row],[Writing Score]],0)</f>
        <v>22</v>
      </c>
      <c r="Q1007" s="4" t="str">
        <f>IF(Student­­Performance[[#This Row],[Math Score]]&gt;=50,"Pass","Fail")</f>
        <v>Fail</v>
      </c>
      <c r="R1007" s="4" t="str">
        <f>IF(Student­­Performance[[#This Row],[Reading Score]]&gt;=50,"Pass","Fail")</f>
        <v>Fail</v>
      </c>
      <c r="S1007" s="4" t="str">
        <f>IF(Student­­Performance[[#This Row],[Writing Score]]&gt;=50,"Pass","Fail")</f>
        <v>Fail</v>
      </c>
      <c r="T100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78</v>
      </c>
      <c r="U1007" s="4" cm="1">
        <f t="array" ref="U1007">IF(COUNT(F1007:H1007)=0,"", MAX(IF(ISNUMBER(F1007:H1007),F1007:H1007)) - MIN(IF(ISNUMBER(F1007:H1007),F1007:H1007)))</f>
        <v>8</v>
      </c>
      <c r="V1007" s="4" t="str">
        <f>IF(U1007="","",IF(U1007&gt;25,"Outlier","Normal"))</f>
        <v>Normal</v>
      </c>
    </row>
    <row r="1008" spans="1:22" x14ac:dyDescent="0.3">
      <c r="A1008" s="1" t="s">
        <v>8</v>
      </c>
      <c r="B1008" s="1" t="s">
        <v>18</v>
      </c>
      <c r="C1008" s="1" t="s">
        <v>87</v>
      </c>
      <c r="D1008" s="1" t="s">
        <v>20</v>
      </c>
      <c r="E1008" s="1" t="s">
        <v>15</v>
      </c>
      <c r="F1008" s="4">
        <v>34</v>
      </c>
      <c r="G1008" s="4" t="s">
        <v>90</v>
      </c>
      <c r="H1008" s="4">
        <v>41</v>
      </c>
      <c r="I1008" s="4">
        <f>AVERAGE(Student­­Performance[[#This Row],[Math Score]],Student­­Performance[[#This Row],[Reading Score]],Student­­Performance[[#This Row],[Writing Score]])</f>
        <v>37.5</v>
      </c>
      <c r="J1008" s="10" t="str">
        <f>IF(Student­­Performance[[#This Row],[Average Score]]&gt;=50,"Pass","Fail")</f>
        <v>Fail</v>
      </c>
      <c r="K1008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1008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1008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7</v>
      </c>
      <c r="N1008" s="4">
        <f>IF(ISNUMBER(Student­­Performance[[#This Row],[Math Score]]),Student­­Performance[[#This Row],[Math Score]],0)</f>
        <v>34</v>
      </c>
      <c r="O1008" s="4">
        <f>IF(ISNUMBER(Student­­Performance[[#This Row],[Reading Score]]),Student­­Performance[[#This Row],[Reading Score]],0)</f>
        <v>0</v>
      </c>
      <c r="P1008" s="4">
        <f>IF(ISNUMBER(Student­­Performance[[#This Row],[Writing Score]]),Student­­Performance[[#This Row],[Writing Score]],0)</f>
        <v>41</v>
      </c>
      <c r="Q1008" s="4" t="str">
        <f>IF(Student­­Performance[[#This Row],[Math Score]]&gt;=50,"Pass","Fail")</f>
        <v>Fail</v>
      </c>
      <c r="R1008" s="4" t="str">
        <f>IF(Student­­Performance[[#This Row],[Reading Score]]&gt;=50,"Pass","Fail")</f>
        <v>Pass</v>
      </c>
      <c r="S1008" s="4" t="str">
        <f>IF(Student­­Performance[[#This Row],[Writing Score]]&gt;=50,"Pass","Fail")</f>
        <v>Fail</v>
      </c>
      <c r="T1008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75</v>
      </c>
      <c r="U1008" s="4" cm="1">
        <f t="array" ref="U1008">IF(COUNT(F1008:H1008)=0,"", MAX(IF(ISNUMBER(F1008:H1008),F1008:H1008)) - MIN(IF(ISNUMBER(F1008:H1008),F1008:H1008)))</f>
        <v>7</v>
      </c>
      <c r="V1008" s="4" t="str">
        <f>IF(U1008="","",IF(U1008&gt;25,"Outlier","Normal"))</f>
        <v>Normal</v>
      </c>
    </row>
    <row r="1009" spans="1:26" x14ac:dyDescent="0.3">
      <c r="A1009" s="1" t="s">
        <v>17</v>
      </c>
      <c r="B1009" s="1" t="s">
        <v>18</v>
      </c>
      <c r="C1009" s="1" t="s">
        <v>84</v>
      </c>
      <c r="D1009" s="1" t="s">
        <v>20</v>
      </c>
      <c r="E1009" s="1" t="s">
        <v>12</v>
      </c>
      <c r="F1009" s="4">
        <v>28</v>
      </c>
      <c r="G1009" s="4">
        <v>23</v>
      </c>
      <c r="H1009" s="4">
        <v>19</v>
      </c>
      <c r="I1009" s="4">
        <f>AVERAGE(Student­­Performance[[#This Row],[Math Score]],Student­­Performance[[#This Row],[Reading Score]],Student­­Performance[[#This Row],[Writing Score]])</f>
        <v>23.333333333333332</v>
      </c>
      <c r="J1009" s="10" t="str">
        <f>IF(Student­­Performance[[#This Row],[Average Score]]&gt;=50,"Pass","Fail")</f>
        <v>Fail</v>
      </c>
      <c r="K1009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-5</v>
      </c>
      <c r="L1009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-4</v>
      </c>
      <c r="M1009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-9</v>
      </c>
      <c r="N1009" s="4">
        <f>IF(ISNUMBER(Student­­Performance[[#This Row],[Math Score]]),Student­­Performance[[#This Row],[Math Score]],0)</f>
        <v>28</v>
      </c>
      <c r="O1009" s="4">
        <f>IF(ISNUMBER(Student­­Performance[[#This Row],[Reading Score]]),Student­­Performance[[#This Row],[Reading Score]],0)</f>
        <v>23</v>
      </c>
      <c r="P1009" s="4">
        <f>IF(ISNUMBER(Student­­Performance[[#This Row],[Writing Score]]),Student­­Performance[[#This Row],[Writing Score]],0)</f>
        <v>19</v>
      </c>
      <c r="Q1009" s="4" t="str">
        <f>IF(Student­­Performance[[#This Row],[Math Score]]&gt;=50,"Pass","Fail")</f>
        <v>Fail</v>
      </c>
      <c r="R1009" s="4" t="str">
        <f>IF(Student­­Performance[[#This Row],[Reading Score]]&gt;=50,"Pass","Fail")</f>
        <v>Fail</v>
      </c>
      <c r="S1009" s="4" t="str">
        <f>IF(Student­­Performance[[#This Row],[Writing Score]]&gt;=50,"Pass","Fail")</f>
        <v>Fail</v>
      </c>
      <c r="T100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70</v>
      </c>
      <c r="U1009" s="4" cm="1">
        <f t="array" ref="U1009">IF(COUNT(F1009:H1009)=0,"", MAX(IF(ISNUMBER(F1009:H1009),F1009:H1009)) - MIN(IF(ISNUMBER(F1009:H1009),F1009:H1009)))</f>
        <v>9</v>
      </c>
      <c r="V1009" s="4" t="str">
        <f>IF(U1009="","",IF(U1009&gt;25,"Outlier","Normal"))</f>
        <v>Normal</v>
      </c>
    </row>
    <row r="1010" spans="1:26" x14ac:dyDescent="0.3">
      <c r="A1010" s="1" t="s">
        <v>17</v>
      </c>
      <c r="B1010" s="1" t="s">
        <v>9</v>
      </c>
      <c r="C1010" s="1" t="s">
        <v>84</v>
      </c>
      <c r="D1010" s="1" t="s">
        <v>11</v>
      </c>
      <c r="E1010" s="1" t="s">
        <v>15</v>
      </c>
      <c r="F1010" s="4" t="s">
        <v>90</v>
      </c>
      <c r="G1010" s="4" t="s">
        <v>90</v>
      </c>
      <c r="H1010" s="4">
        <v>70</v>
      </c>
      <c r="I1010" s="4">
        <f>AVERAGE(Student­­Performance[[#This Row],[Math Score]],Student­­Performance[[#This Row],[Reading Score]],Student­­Performance[[#This Row],[Writing Score]])</f>
        <v>70</v>
      </c>
      <c r="J1010" s="10" t="str">
        <f>IF(Student­­Performance[[#This Row],[Average Score]]&gt;=50,"Pass","Fail")</f>
        <v>Pass</v>
      </c>
      <c r="K1010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1010" s="4" t="str">
        <f>IF(OR(ISNUMBER(Student­­Performance[[#This Row],[Writing Score]])=FALSE,ISNUMBER(Student­­Performance[[#This Row],[Reading Score]])=FALSE),"",Student­­Performance[[#This Row],[Writing Score]]-Student­­Performance[[#This Row],[Reading Score]])</f>
        <v/>
      </c>
      <c r="M1010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1010" s="4">
        <f>IF(ISNUMBER(Student­­Performance[[#This Row],[Math Score]]),Student­­Performance[[#This Row],[Math Score]],0)</f>
        <v>0</v>
      </c>
      <c r="O1010" s="4">
        <f>IF(ISNUMBER(Student­­Performance[[#This Row],[Reading Score]]),Student­­Performance[[#This Row],[Reading Score]],0)</f>
        <v>0</v>
      </c>
      <c r="P1010" s="4">
        <f>IF(ISNUMBER(Student­­Performance[[#This Row],[Writing Score]]),Student­­Performance[[#This Row],[Writing Score]],0)</f>
        <v>70</v>
      </c>
      <c r="Q1010" s="4" t="str">
        <f>IF(Student­­Performance[[#This Row],[Math Score]]&gt;=50,"Pass","Fail")</f>
        <v>Pass</v>
      </c>
      <c r="R1010" s="4" t="str">
        <f>IF(Student­­Performance[[#This Row],[Reading Score]]&gt;=50,"Pass","Fail")</f>
        <v>Pass</v>
      </c>
      <c r="S1010" s="4" t="str">
        <f>IF(Student­­Performance[[#This Row],[Writing Score]]&gt;=50,"Pass","Fail")</f>
        <v>Pass</v>
      </c>
      <c r="T1010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70</v>
      </c>
      <c r="U1010" s="4" cm="1">
        <f t="array" ref="U1010">IF(COUNT(F1010:H1010)=0,"", MAX(IF(ISNUMBER(F1010:H1010),F1010:H1010)) - MIN(IF(ISNUMBER(F1010:H1010),F1010:H1010)))</f>
        <v>0</v>
      </c>
      <c r="V1010" s="4" t="str">
        <f>IF(U1010="","",IF(U1010&gt;25,"Outlier","Normal"))</f>
        <v>Normal</v>
      </c>
    </row>
    <row r="1011" spans="1:26" x14ac:dyDescent="0.3">
      <c r="A1011" s="1" t="s">
        <v>8</v>
      </c>
      <c r="B1011" s="1" t="s">
        <v>21</v>
      </c>
      <c r="C1011" s="1" t="s">
        <v>86</v>
      </c>
      <c r="D1011" s="1" t="s">
        <v>20</v>
      </c>
      <c r="E1011" s="1" t="s">
        <v>12</v>
      </c>
      <c r="F1011" s="4" t="s">
        <v>90</v>
      </c>
      <c r="G1011" s="4">
        <v>31</v>
      </c>
      <c r="H1011" s="4">
        <v>38</v>
      </c>
      <c r="I1011" s="4">
        <f>AVERAGE(Student­­Performance[[#This Row],[Math Score]],Student­­Performance[[#This Row],[Reading Score]],Student­­Performance[[#This Row],[Writing Score]])</f>
        <v>34.5</v>
      </c>
      <c r="J1011" s="10" t="str">
        <f>IF(Student­­Performance[[#This Row],[Average Score]]&gt;=50,"Pass","Fail")</f>
        <v>Fail</v>
      </c>
      <c r="K1011" s="4" t="str">
        <f>IF(OR(ISNUMBER(Student­­Performance[[#This Row],[Reading Score]])=FALSE,ISNUMBER(Student­­Performance[[#This Row],[Math Score]])=FALSE),"",Student­­Performance[[#This Row],[Reading Score]]-Student­­Performance[[#This Row],[Math Score]])</f>
        <v/>
      </c>
      <c r="L1011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7</v>
      </c>
      <c r="M1011" s="4" t="str">
        <f>IF(OR(ISNUMBER(Student­­Performance[[#This Row],[Writing Score]])=FALSE,ISNUMBER(Student­­Performance[[#This Row],[Math Score]])=FALSE),"",Student­­Performance[[#This Row],[Writing Score]]-Student­­Performance[[#This Row],[Math Score]])</f>
        <v/>
      </c>
      <c r="N1011" s="4">
        <f>IF(ISNUMBER(Student­­Performance[[#This Row],[Math Score]]),Student­­Performance[[#This Row],[Math Score]],0)</f>
        <v>0</v>
      </c>
      <c r="O1011" s="4">
        <f>IF(ISNUMBER(Student­­Performance[[#This Row],[Reading Score]]),Student­­Performance[[#This Row],[Reading Score]],0)</f>
        <v>31</v>
      </c>
      <c r="P1011" s="4">
        <f>IF(ISNUMBER(Student­­Performance[[#This Row],[Writing Score]]),Student­­Performance[[#This Row],[Writing Score]],0)</f>
        <v>38</v>
      </c>
      <c r="Q1011" s="4" t="str">
        <f>IF(Student­­Performance[[#This Row],[Math Score]]&gt;=50,"Pass","Fail")</f>
        <v>Pass</v>
      </c>
      <c r="R1011" s="4" t="str">
        <f>IF(Student­­Performance[[#This Row],[Reading Score]]&gt;=50,"Pass","Fail")</f>
        <v>Fail</v>
      </c>
      <c r="S1011" s="4" t="str">
        <f>IF(Student­­Performance[[#This Row],[Writing Score]]&gt;=50,"Pass","Fail")</f>
        <v>Fail</v>
      </c>
      <c r="T101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69</v>
      </c>
      <c r="U1011" s="4" cm="1">
        <f t="array" ref="U1011">IF(COUNT(F1011:H1011)=0,"", MAX(IF(ISNUMBER(F1011:H1011),F1011:H1011)) - MIN(IF(ISNUMBER(F1011:H1011),F1011:H1011)))</f>
        <v>7</v>
      </c>
      <c r="V1011" s="4" t="str">
        <f>IF(U1011="","",IF(U1011&gt;25,"Outlier","Normal"))</f>
        <v>Normal</v>
      </c>
    </row>
    <row r="1012" spans="1:26" x14ac:dyDescent="0.3">
      <c r="A1012" s="1" t="s">
        <v>17</v>
      </c>
      <c r="B1012" s="1" t="s">
        <v>9</v>
      </c>
      <c r="C1012" s="1" t="s">
        <v>87</v>
      </c>
      <c r="D1012" s="1" t="s">
        <v>20</v>
      </c>
      <c r="E1012" s="1" t="s">
        <v>12</v>
      </c>
      <c r="F1012" s="4">
        <v>30</v>
      </c>
      <c r="G1012" s="4">
        <v>24</v>
      </c>
      <c r="H1012" s="4">
        <v>15</v>
      </c>
      <c r="I1012" s="4">
        <f>AVERAGE(Student­­Performance[[#This Row],[Math Score]],Student­­Performance[[#This Row],[Reading Score]],Student­­Performance[[#This Row],[Writing Score]])</f>
        <v>23</v>
      </c>
      <c r="J1012" s="10" t="str">
        <f>IF(Student­­Performance[[#This Row],[Average Score]]&gt;=50,"Pass","Fail")</f>
        <v>Fail</v>
      </c>
      <c r="K1012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-6</v>
      </c>
      <c r="L1012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-9</v>
      </c>
      <c r="M1012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-15</v>
      </c>
      <c r="N1012" s="4">
        <f>IF(ISNUMBER(Student­­Performance[[#This Row],[Math Score]]),Student­­Performance[[#This Row],[Math Score]],0)</f>
        <v>30</v>
      </c>
      <c r="O1012" s="4">
        <f>IF(ISNUMBER(Student­­Performance[[#This Row],[Reading Score]]),Student­­Performance[[#This Row],[Reading Score]],0)</f>
        <v>24</v>
      </c>
      <c r="P1012" s="4">
        <f>IF(ISNUMBER(Student­­Performance[[#This Row],[Writing Score]]),Student­­Performance[[#This Row],[Writing Score]],0)</f>
        <v>15</v>
      </c>
      <c r="Q1012" s="4" t="str">
        <f>IF(Student­­Performance[[#This Row],[Math Score]]&gt;=50,"Pass","Fail")</f>
        <v>Fail</v>
      </c>
      <c r="R1012" s="4" t="str">
        <f>IF(Student­­Performance[[#This Row],[Reading Score]]&gt;=50,"Pass","Fail")</f>
        <v>Fail</v>
      </c>
      <c r="S1012" s="4" t="str">
        <f>IF(Student­­Performance[[#This Row],[Writing Score]]&gt;=50,"Pass","Fail")</f>
        <v>Fail</v>
      </c>
      <c r="T1012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69</v>
      </c>
      <c r="U1012" s="4" cm="1">
        <f t="array" ref="U1012">IF(COUNT(F1012:H1012)=0,"", MAX(IF(ISNUMBER(F1012:H1012),F1012:H1012)) - MIN(IF(ISNUMBER(F1012:H1012),F1012:H1012)))</f>
        <v>15</v>
      </c>
      <c r="V1012" s="4" t="str">
        <f>IF(U1012="","",IF(U1012&gt;25,"Outlier","Normal"))</f>
        <v>Normal</v>
      </c>
    </row>
    <row r="1013" spans="1:26" x14ac:dyDescent="0.3">
      <c r="A1013" s="1" t="s">
        <v>8</v>
      </c>
      <c r="B1013" s="1" t="s">
        <v>9</v>
      </c>
      <c r="C1013" s="1" t="s">
        <v>87</v>
      </c>
      <c r="D1013" s="1" t="s">
        <v>20</v>
      </c>
      <c r="E1013" s="1" t="s">
        <v>12</v>
      </c>
      <c r="F1013" s="4">
        <v>8</v>
      </c>
      <c r="G1013" s="4">
        <v>24</v>
      </c>
      <c r="H1013" s="4">
        <v>23</v>
      </c>
      <c r="I1013" s="4">
        <f>AVERAGE(Student­­Performance[[#This Row],[Math Score]],Student­­Performance[[#This Row],[Reading Score]],Student­­Performance[[#This Row],[Writing Score]])</f>
        <v>18.333333333333332</v>
      </c>
      <c r="J1013" s="10" t="str">
        <f>IF(Student­­Performance[[#This Row],[Average Score]]&gt;=50,"Pass","Fail")</f>
        <v>Fail</v>
      </c>
      <c r="K1013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16</v>
      </c>
      <c r="L1013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-1</v>
      </c>
      <c r="M1013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15</v>
      </c>
      <c r="N1013" s="4">
        <f>IF(ISNUMBER(Student­­Performance[[#This Row],[Math Score]]),Student­­Performance[[#This Row],[Math Score]],0)</f>
        <v>8</v>
      </c>
      <c r="O1013" s="4">
        <f>IF(ISNUMBER(Student­­Performance[[#This Row],[Reading Score]]),Student­­Performance[[#This Row],[Reading Score]],0)</f>
        <v>24</v>
      </c>
      <c r="P1013" s="4">
        <f>IF(ISNUMBER(Student­­Performance[[#This Row],[Writing Score]]),Student­­Performance[[#This Row],[Writing Score]],0)</f>
        <v>23</v>
      </c>
      <c r="Q1013" s="4" t="str">
        <f>IF(Student­­Performance[[#This Row],[Math Score]]&gt;=50,"Pass","Fail")</f>
        <v>Fail</v>
      </c>
      <c r="R1013" s="4" t="str">
        <f>IF(Student­­Performance[[#This Row],[Reading Score]]&gt;=50,"Pass","Fail")</f>
        <v>Fail</v>
      </c>
      <c r="S1013" s="4" t="str">
        <f>IF(Student­­Performance[[#This Row],[Writing Score]]&gt;=50,"Pass","Fail")</f>
        <v>Fail</v>
      </c>
      <c r="T101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55</v>
      </c>
      <c r="U1013" s="4" cm="1">
        <f t="array" ref="U1013">IF(COUNT(F1013:H1013)=0,"", MAX(IF(ISNUMBER(F1013:H1013),F1013:H1013)) - MIN(IF(ISNUMBER(F1013:H1013),F1013:H1013)))</f>
        <v>16</v>
      </c>
      <c r="V1013" s="4" t="str">
        <f>IF(U1013="","",IF(U1013&gt;25,"Outlier","Normal"))</f>
        <v>Normal</v>
      </c>
    </row>
    <row r="1014" spans="1:26" x14ac:dyDescent="0.3">
      <c r="A1014" s="1" t="s">
        <v>8</v>
      </c>
      <c r="B1014" s="1" t="s">
        <v>13</v>
      </c>
      <c r="C1014" s="1" t="s">
        <v>88</v>
      </c>
      <c r="D1014" s="1" t="s">
        <v>20</v>
      </c>
      <c r="E1014" s="1" t="s">
        <v>12</v>
      </c>
      <c r="F1014" s="4">
        <v>0</v>
      </c>
      <c r="G1014" s="4">
        <v>17</v>
      </c>
      <c r="H1014" s="4">
        <v>10</v>
      </c>
      <c r="I1014" s="4">
        <f>AVERAGE(Student­­Performance[[#This Row],[Math Score]],Student­­Performance[[#This Row],[Reading Score]],Student­­Performance[[#This Row],[Writing Score]])</f>
        <v>9</v>
      </c>
      <c r="J1014" s="10" t="str">
        <f>IF(Student­­Performance[[#This Row],[Average Score]]&gt;=50,"Pass","Fail")</f>
        <v>Fail</v>
      </c>
      <c r="K1014" s="4">
        <f>IF(OR(ISNUMBER(Student­­Performance[[#This Row],[Reading Score]])=FALSE,ISNUMBER(Student­­Performance[[#This Row],[Math Score]])=FALSE),"",Student­­Performance[[#This Row],[Reading Score]]-Student­­Performance[[#This Row],[Math Score]])</f>
        <v>17</v>
      </c>
      <c r="L1014" s="4">
        <f>IF(OR(ISNUMBER(Student­­Performance[[#This Row],[Writing Score]])=FALSE,ISNUMBER(Student­­Performance[[#This Row],[Reading Score]])=FALSE),"",Student­­Performance[[#This Row],[Writing Score]]-Student­­Performance[[#This Row],[Reading Score]])</f>
        <v>-7</v>
      </c>
      <c r="M1014" s="4">
        <f>IF(OR(ISNUMBER(Student­­Performance[[#This Row],[Writing Score]])=FALSE,ISNUMBER(Student­­Performance[[#This Row],[Math Score]])=FALSE),"",Student­­Performance[[#This Row],[Writing Score]]-Student­­Performance[[#This Row],[Math Score]])</f>
        <v>10</v>
      </c>
      <c r="N1014" s="4">
        <f>IF(ISNUMBER(Student­­Performance[[#This Row],[Math Score]]),Student­­Performance[[#This Row],[Math Score]],0)</f>
        <v>0</v>
      </c>
      <c r="O1014" s="4">
        <f>IF(ISNUMBER(Student­­Performance[[#This Row],[Reading Score]]),Student­­Performance[[#This Row],[Reading Score]],0)</f>
        <v>17</v>
      </c>
      <c r="P1014" s="4">
        <f>IF(ISNUMBER(Student­­Performance[[#This Row],[Writing Score]]),Student­­Performance[[#This Row],[Writing Score]],0)</f>
        <v>10</v>
      </c>
      <c r="Q1014" s="4" t="str">
        <f>IF(Student­­Performance[[#This Row],[Math Score]]&gt;=50,"Pass","Fail")</f>
        <v>Fail</v>
      </c>
      <c r="R1014" s="4" t="str">
        <f>IF(Student­­Performance[[#This Row],[Reading Score]]&gt;=50,"Pass","Fail")</f>
        <v>Fail</v>
      </c>
      <c r="S1014" s="4" t="str">
        <f>IF(Student­­Performance[[#This Row],[Writing Score]]&gt;=50,"Pass","Fail")</f>
        <v>Fail</v>
      </c>
      <c r="T1014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27</v>
      </c>
      <c r="U1014" s="4" cm="1">
        <f t="array" ref="U1014">IF(COUNT(F1014:H1014)=0,"", MAX(IF(ISNUMBER(F1014:H1014),F1014:H1014)) - MIN(IF(ISNUMBER(F1014:H1014),F1014:H1014)))</f>
        <v>17</v>
      </c>
      <c r="V1014" s="4" t="str">
        <f>IF(U1014="","",IF(U1014&gt;25,"Outlier","Normal"))</f>
        <v>Normal</v>
      </c>
    </row>
    <row r="1015" spans="1:26" x14ac:dyDescent="0.3">
      <c r="A1015"/>
      <c r="B1015"/>
      <c r="D1015"/>
      <c r="E1015"/>
      <c r="F1015"/>
      <c r="G1015"/>
      <c r="H1015"/>
      <c r="I1015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X1015"/>
    </row>
    <row r="1016" spans="1:26" x14ac:dyDescent="0.3">
      <c r="A1016"/>
      <c r="B1016"/>
      <c r="D1016"/>
      <c r="E1016"/>
      <c r="F1016"/>
      <c r="G1016"/>
      <c r="H1016"/>
      <c r="I1016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X1016"/>
    </row>
    <row r="1017" spans="1:26" x14ac:dyDescent="0.3">
      <c r="A1017"/>
      <c r="B1017"/>
      <c r="D1017"/>
      <c r="E1017"/>
      <c r="F1017"/>
      <c r="G1017"/>
      <c r="H1017"/>
      <c r="I1017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X1017"/>
    </row>
    <row r="1018" spans="1:26" x14ac:dyDescent="0.3">
      <c r="A1018"/>
      <c r="B1018"/>
      <c r="D1018"/>
      <c r="E1018"/>
      <c r="F1018"/>
      <c r="G1018"/>
      <c r="H1018"/>
      <c r="I1018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X1018"/>
    </row>
    <row r="1019" spans="1:26" x14ac:dyDescent="0.3">
      <c r="A1019"/>
      <c r="B1019"/>
      <c r="D1019"/>
      <c r="E1019"/>
      <c r="F1019"/>
      <c r="G1019"/>
      <c r="H1019"/>
      <c r="I1019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X1019"/>
    </row>
    <row r="1020" spans="1:26" x14ac:dyDescent="0.3">
      <c r="A1020"/>
      <c r="B1020"/>
      <c r="D1020"/>
      <c r="E1020"/>
      <c r="F1020"/>
      <c r="G1020"/>
      <c r="H1020"/>
      <c r="I1020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X1020"/>
    </row>
    <row r="1021" spans="1:26" x14ac:dyDescent="0.3">
      <c r="A1021"/>
      <c r="B1021"/>
      <c r="D1021"/>
      <c r="E1021"/>
      <c r="F1021"/>
      <c r="G1021"/>
      <c r="H1021"/>
      <c r="I102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X1021"/>
    </row>
    <row r="1022" spans="1:26" x14ac:dyDescent="0.3">
      <c r="A1022"/>
      <c r="B1022"/>
      <c r="D1022"/>
      <c r="E1022"/>
      <c r="F1022"/>
      <c r="G1022"/>
      <c r="H1022"/>
      <c r="I1022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X1022"/>
      <c r="Z1022" s="9" t="s">
        <v>91</v>
      </c>
    </row>
    <row r="1023" spans="1:26" x14ac:dyDescent="0.3">
      <c r="A1023"/>
      <c r="B1023"/>
      <c r="D1023"/>
      <c r="E1023"/>
      <c r="F1023"/>
      <c r="G1023"/>
      <c r="H1023"/>
      <c r="I1023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X1023"/>
    </row>
    <row r="1024" spans="1:26" x14ac:dyDescent="0.3">
      <c r="A1024"/>
      <c r="B1024"/>
      <c r="D1024"/>
      <c r="E1024"/>
      <c r="F1024"/>
      <c r="G1024"/>
      <c r="H1024"/>
      <c r="I1024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X1024"/>
    </row>
    <row r="1025" spans="10:28" customFormat="1" x14ac:dyDescent="0.3"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Z1025" s="9"/>
      <c r="AA1025" s="9"/>
      <c r="AB1025" s="9"/>
    </row>
    <row r="1026" spans="10:28" customFormat="1" x14ac:dyDescent="0.3"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Z1026" s="9"/>
      <c r="AA1026" s="9"/>
      <c r="AB1026" s="9"/>
    </row>
    <row r="1027" spans="10:28" customFormat="1" x14ac:dyDescent="0.3"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Z1027" s="9"/>
      <c r="AA1027" s="9"/>
      <c r="AB1027" s="9"/>
    </row>
    <row r="1028" spans="10:28" customFormat="1" x14ac:dyDescent="0.3"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Z1028" s="9"/>
      <c r="AA1028" s="9"/>
      <c r="AB1028" s="9"/>
    </row>
    <row r="1029" spans="10:28" customFormat="1" x14ac:dyDescent="0.3"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Z1029" s="9"/>
      <c r="AA1029" s="9"/>
      <c r="AB1029" s="9"/>
    </row>
    <row r="1030" spans="10:28" customFormat="1" x14ac:dyDescent="0.3"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Z1030" s="9"/>
      <c r="AA1030" s="9"/>
      <c r="AB1030" s="9"/>
    </row>
    <row r="1031" spans="10:28" customFormat="1" x14ac:dyDescent="0.3"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Z1031" s="9"/>
      <c r="AA1031" s="9"/>
      <c r="AB1031" s="9"/>
    </row>
    <row r="1032" spans="10:28" customFormat="1" x14ac:dyDescent="0.3"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Z1032" s="9"/>
      <c r="AA1032" s="9"/>
      <c r="AB1032" s="9"/>
    </row>
    <row r="1033" spans="10:28" customFormat="1" x14ac:dyDescent="0.3"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Z1033" s="9"/>
      <c r="AA1033" s="9"/>
      <c r="AB1033" s="9"/>
    </row>
    <row r="1034" spans="10:28" customFormat="1" x14ac:dyDescent="0.3"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Z1034" s="9"/>
      <c r="AA1034" s="9"/>
      <c r="AB1034" s="9"/>
    </row>
    <row r="1035" spans="10:28" customFormat="1" x14ac:dyDescent="0.3"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Z1035" s="9"/>
      <c r="AA1035" s="9"/>
      <c r="AB1035" s="9"/>
    </row>
    <row r="1036" spans="10:28" customFormat="1" x14ac:dyDescent="0.3"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Z1036" s="9"/>
      <c r="AA1036" s="9"/>
      <c r="AB1036" s="9"/>
    </row>
    <row r="1037" spans="10:28" customFormat="1" x14ac:dyDescent="0.3"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Z1037" s="9"/>
      <c r="AA1037" s="9"/>
      <c r="AB1037" s="9"/>
    </row>
    <row r="1038" spans="10:28" customFormat="1" x14ac:dyDescent="0.3"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Z1038" s="9"/>
      <c r="AA1038" s="9"/>
      <c r="AB1038" s="9"/>
    </row>
  </sheetData>
  <phoneticPr fontId="2" type="noConversion"/>
  <conditionalFormatting sqref="Y18:AB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 r:id="rId1"/>
  <ignoredErrors>
    <ignoredError sqref="AA2:AB2 Z2 AA4:AB4 Z4" calculatedColumn="1"/>
  </ignoredErrors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90D64-746D-4469-9A39-F0A8B936378B}">
  <dimension ref="A1:C1038"/>
  <sheetViews>
    <sheetView tabSelected="1" workbookViewId="0">
      <selection activeCell="S23" sqref="S23"/>
    </sheetView>
  </sheetViews>
  <sheetFormatPr defaultRowHeight="14.4" x14ac:dyDescent="0.3"/>
  <cols>
    <col min="1" max="1" width="12.88671875" style="4" customWidth="1"/>
    <col min="2" max="2" width="15.5546875" style="4" customWidth="1"/>
    <col min="3" max="3" width="14.44140625" style="4" customWidth="1"/>
  </cols>
  <sheetData>
    <row r="1" spans="1:3" x14ac:dyDescent="0.3">
      <c r="A1" s="4" t="s">
        <v>5</v>
      </c>
      <c r="B1" s="4" t="s">
        <v>6</v>
      </c>
      <c r="C1" s="4" t="s">
        <v>7</v>
      </c>
    </row>
    <row r="2" spans="1:3" x14ac:dyDescent="0.3">
      <c r="A2" s="4">
        <v>100</v>
      </c>
      <c r="B2" s="4">
        <v>100</v>
      </c>
      <c r="C2" s="4">
        <v>100</v>
      </c>
    </row>
    <row r="3" spans="1:3" x14ac:dyDescent="0.3">
      <c r="A3" s="4">
        <v>100</v>
      </c>
      <c r="B3" s="4">
        <v>100</v>
      </c>
      <c r="C3" s="4">
        <v>100</v>
      </c>
    </row>
    <row r="4" spans="1:3" x14ac:dyDescent="0.3">
      <c r="A4" s="4">
        <v>100</v>
      </c>
      <c r="B4" s="4">
        <v>100</v>
      </c>
      <c r="C4" s="4">
        <v>100</v>
      </c>
    </row>
    <row r="5" spans="1:3" x14ac:dyDescent="0.3">
      <c r="A5" s="4">
        <v>99</v>
      </c>
      <c r="B5" s="4">
        <v>100</v>
      </c>
      <c r="C5" s="4">
        <v>100</v>
      </c>
    </row>
    <row r="6" spans="1:3" x14ac:dyDescent="0.3">
      <c r="A6" s="4">
        <v>97</v>
      </c>
      <c r="B6" s="4">
        <v>100</v>
      </c>
      <c r="C6" s="4">
        <v>100</v>
      </c>
    </row>
    <row r="7" spans="1:3" x14ac:dyDescent="0.3">
      <c r="A7" s="4">
        <v>98</v>
      </c>
      <c r="B7" s="4">
        <v>100</v>
      </c>
      <c r="C7" s="4">
        <v>99</v>
      </c>
    </row>
    <row r="8" spans="1:3" x14ac:dyDescent="0.3">
      <c r="A8" s="4">
        <v>96</v>
      </c>
      <c r="B8" s="4">
        <v>100</v>
      </c>
      <c r="C8" s="4">
        <v>100</v>
      </c>
    </row>
    <row r="9" spans="1:3" x14ac:dyDescent="0.3">
      <c r="A9" s="4">
        <v>100</v>
      </c>
      <c r="B9" s="4">
        <v>97</v>
      </c>
      <c r="C9" s="4">
        <v>99</v>
      </c>
    </row>
    <row r="10" spans="1:3" x14ac:dyDescent="0.3">
      <c r="A10" s="4">
        <v>100</v>
      </c>
      <c r="B10" s="4">
        <v>100</v>
      </c>
      <c r="C10" s="4">
        <v>93</v>
      </c>
    </row>
    <row r="11" spans="1:3" x14ac:dyDescent="0.3">
      <c r="A11" s="4">
        <v>94</v>
      </c>
      <c r="B11" s="4">
        <v>99</v>
      </c>
      <c r="C11" s="4">
        <v>100</v>
      </c>
    </row>
    <row r="12" spans="1:3" x14ac:dyDescent="0.3">
      <c r="A12" s="4">
        <v>93</v>
      </c>
      <c r="B12" s="4">
        <v>100</v>
      </c>
      <c r="C12" s="4">
        <v>100</v>
      </c>
    </row>
    <row r="13" spans="1:3" x14ac:dyDescent="0.3">
      <c r="A13" s="4">
        <v>92</v>
      </c>
      <c r="B13" s="4">
        <v>100</v>
      </c>
      <c r="C13" s="4">
        <v>100</v>
      </c>
    </row>
    <row r="14" spans="1:3" x14ac:dyDescent="0.3">
      <c r="A14" s="4">
        <v>92</v>
      </c>
      <c r="B14" s="4">
        <v>100</v>
      </c>
      <c r="C14" s="4">
        <v>100</v>
      </c>
    </row>
    <row r="15" spans="1:3" x14ac:dyDescent="0.3">
      <c r="A15" s="4">
        <v>92</v>
      </c>
      <c r="B15" s="4">
        <v>100</v>
      </c>
      <c r="C15" s="4">
        <v>99</v>
      </c>
    </row>
    <row r="16" spans="1:3" x14ac:dyDescent="0.3">
      <c r="A16" s="4">
        <v>96</v>
      </c>
      <c r="B16" s="4">
        <v>96</v>
      </c>
      <c r="C16" s="4">
        <v>99</v>
      </c>
    </row>
    <row r="17" spans="1:3" x14ac:dyDescent="0.3">
      <c r="A17" s="4">
        <v>97</v>
      </c>
      <c r="B17" s="4">
        <v>97</v>
      </c>
      <c r="C17" s="4">
        <v>96</v>
      </c>
    </row>
    <row r="18" spans="1:3" x14ac:dyDescent="0.3">
      <c r="A18" s="4">
        <v>100</v>
      </c>
      <c r="B18" s="4">
        <v>92</v>
      </c>
      <c r="C18" s="4">
        <v>97</v>
      </c>
    </row>
    <row r="19" spans="1:3" x14ac:dyDescent="0.3">
      <c r="A19" s="4">
        <v>92</v>
      </c>
      <c r="B19" s="4">
        <v>100</v>
      </c>
      <c r="C19" s="4">
        <v>97</v>
      </c>
    </row>
    <row r="20" spans="1:3" x14ac:dyDescent="0.3">
      <c r="A20" s="4">
        <v>89</v>
      </c>
      <c r="B20" s="4">
        <v>100</v>
      </c>
      <c r="C20" s="4">
        <v>100</v>
      </c>
    </row>
    <row r="21" spans="1:3" x14ac:dyDescent="0.3">
      <c r="A21" s="4">
        <v>93</v>
      </c>
      <c r="B21" s="4">
        <v>100</v>
      </c>
      <c r="C21" s="4">
        <v>95</v>
      </c>
    </row>
    <row r="22" spans="1:3" x14ac:dyDescent="0.3">
      <c r="A22" s="4">
        <v>87</v>
      </c>
      <c r="B22" s="4">
        <v>100</v>
      </c>
      <c r="C22" s="4">
        <v>100</v>
      </c>
    </row>
    <row r="23" spans="1:3" x14ac:dyDescent="0.3">
      <c r="A23" s="4">
        <v>99</v>
      </c>
      <c r="B23" s="4">
        <v>93</v>
      </c>
      <c r="C23" s="4">
        <v>90</v>
      </c>
    </row>
    <row r="24" spans="1:3" x14ac:dyDescent="0.3">
      <c r="A24" s="4">
        <v>87</v>
      </c>
      <c r="B24" s="4">
        <v>100</v>
      </c>
      <c r="C24" s="4">
        <v>95</v>
      </c>
    </row>
    <row r="25" spans="1:3" x14ac:dyDescent="0.3">
      <c r="A25" s="4">
        <v>100</v>
      </c>
      <c r="B25" s="4">
        <v>96</v>
      </c>
      <c r="C25" s="4">
        <v>86</v>
      </c>
    </row>
    <row r="26" spans="1:3" x14ac:dyDescent="0.3">
      <c r="A26" s="4">
        <v>88</v>
      </c>
      <c r="B26" s="4">
        <v>99</v>
      </c>
      <c r="C26" s="4">
        <v>95</v>
      </c>
    </row>
    <row r="27" spans="1:3" x14ac:dyDescent="0.3">
      <c r="A27" s="4">
        <v>97</v>
      </c>
      <c r="B27" s="4">
        <v>93</v>
      </c>
      <c r="C27" s="4">
        <v>91</v>
      </c>
    </row>
    <row r="28" spans="1:3" x14ac:dyDescent="0.3">
      <c r="A28" s="4">
        <v>91</v>
      </c>
      <c r="B28" s="4">
        <v>95</v>
      </c>
      <c r="C28" s="4">
        <v>94</v>
      </c>
    </row>
    <row r="29" spans="1:3" x14ac:dyDescent="0.3">
      <c r="A29" s="4">
        <v>91</v>
      </c>
      <c r="B29" s="4">
        <v>96</v>
      </c>
      <c r="C29" s="4">
        <v>92</v>
      </c>
    </row>
    <row r="30" spans="1:3" x14ac:dyDescent="0.3">
      <c r="A30" s="4">
        <v>90</v>
      </c>
      <c r="B30" s="4">
        <v>95</v>
      </c>
      <c r="C30" s="4">
        <v>93</v>
      </c>
    </row>
    <row r="31" spans="1:3" x14ac:dyDescent="0.3">
      <c r="A31" s="4">
        <v>96</v>
      </c>
      <c r="B31" s="4">
        <v>90</v>
      </c>
      <c r="C31" s="4">
        <v>92</v>
      </c>
    </row>
    <row r="32" spans="1:3" x14ac:dyDescent="0.3">
      <c r="A32" s="4">
        <v>91</v>
      </c>
      <c r="B32" s="4">
        <v>96</v>
      </c>
      <c r="C32" s="4">
        <v>91</v>
      </c>
    </row>
    <row r="33" spans="1:3" x14ac:dyDescent="0.3">
      <c r="A33" s="4">
        <v>88</v>
      </c>
      <c r="B33" s="4">
        <v>95</v>
      </c>
      <c r="C33" s="4">
        <v>94</v>
      </c>
    </row>
    <row r="34" spans="1:3" x14ac:dyDescent="0.3">
      <c r="A34" s="4">
        <v>95</v>
      </c>
      <c r="B34" s="4">
        <v>89</v>
      </c>
      <c r="C34" s="4">
        <v>92</v>
      </c>
    </row>
    <row r="35" spans="1:3" x14ac:dyDescent="0.3">
      <c r="A35" s="4">
        <v>87</v>
      </c>
      <c r="B35" s="4">
        <v>94</v>
      </c>
      <c r="C35" s="4">
        <v>95</v>
      </c>
    </row>
    <row r="36" spans="1:3" x14ac:dyDescent="0.3">
      <c r="A36" s="4">
        <v>88</v>
      </c>
      <c r="B36" s="4">
        <v>95</v>
      </c>
      <c r="C36" s="4">
        <v>92</v>
      </c>
    </row>
    <row r="37" spans="1:3" x14ac:dyDescent="0.3">
      <c r="A37" s="4">
        <v>88</v>
      </c>
      <c r="B37" s="4">
        <v>92</v>
      </c>
      <c r="C37" s="4">
        <v>95</v>
      </c>
    </row>
    <row r="38" spans="1:3" x14ac:dyDescent="0.3">
      <c r="A38" s="4">
        <v>82</v>
      </c>
      <c r="B38" s="4">
        <v>97</v>
      </c>
      <c r="C38" s="4">
        <v>96</v>
      </c>
    </row>
    <row r="39" spans="1:3" x14ac:dyDescent="0.3">
      <c r="A39" s="4">
        <v>94</v>
      </c>
      <c r="B39" s="4">
        <v>90</v>
      </c>
      <c r="C39" s="4">
        <v>91</v>
      </c>
    </row>
    <row r="40" spans="1:3" x14ac:dyDescent="0.3">
      <c r="A40" s="4">
        <v>98</v>
      </c>
      <c r="B40" s="4">
        <v>87</v>
      </c>
      <c r="C40" s="4">
        <v>90</v>
      </c>
    </row>
    <row r="41" spans="1:3" x14ac:dyDescent="0.3">
      <c r="A41" s="4">
        <v>98</v>
      </c>
      <c r="B41" s="4">
        <v>86</v>
      </c>
      <c r="C41" s="4">
        <v>90</v>
      </c>
    </row>
    <row r="42" spans="1:3" x14ac:dyDescent="0.3">
      <c r="A42" s="4">
        <v>88</v>
      </c>
      <c r="B42" s="4">
        <v>93</v>
      </c>
      <c r="C42" s="4">
        <v>93</v>
      </c>
    </row>
    <row r="43" spans="1:3" x14ac:dyDescent="0.3">
      <c r="A43" s="4">
        <v>81</v>
      </c>
      <c r="B43" s="4">
        <v>97</v>
      </c>
      <c r="C43" s="4">
        <v>96</v>
      </c>
    </row>
    <row r="44" spans="1:3" x14ac:dyDescent="0.3">
      <c r="A44" s="4">
        <v>94</v>
      </c>
      <c r="B44" s="4">
        <v>87</v>
      </c>
      <c r="C44" s="4">
        <v>92</v>
      </c>
    </row>
    <row r="45" spans="1:3" x14ac:dyDescent="0.3">
      <c r="A45" s="4">
        <v>91</v>
      </c>
      <c r="B45" s="4">
        <v>89</v>
      </c>
      <c r="C45" s="4">
        <v>92</v>
      </c>
    </row>
    <row r="46" spans="1:3" x14ac:dyDescent="0.3">
      <c r="A46" s="4">
        <v>83</v>
      </c>
      <c r="B46" s="4">
        <v>93</v>
      </c>
      <c r="C46" s="4">
        <v>95</v>
      </c>
    </row>
    <row r="47" spans="1:3" x14ac:dyDescent="0.3">
      <c r="A47" s="4">
        <v>90</v>
      </c>
      <c r="B47" s="4">
        <v>90</v>
      </c>
      <c r="C47" s="4">
        <v>91</v>
      </c>
    </row>
    <row r="48" spans="1:3" x14ac:dyDescent="0.3">
      <c r="A48" s="4">
        <v>84</v>
      </c>
      <c r="B48" s="4">
        <v>95</v>
      </c>
      <c r="C48" s="4">
        <v>92</v>
      </c>
    </row>
    <row r="49" spans="1:3" x14ac:dyDescent="0.3">
      <c r="A49" s="4">
        <v>85</v>
      </c>
      <c r="B49" s="4">
        <v>92</v>
      </c>
      <c r="C49" s="4">
        <v>93</v>
      </c>
    </row>
    <row r="50" spans="1:3" x14ac:dyDescent="0.3">
      <c r="A50" s="4">
        <v>87</v>
      </c>
      <c r="B50" s="4">
        <v>89</v>
      </c>
      <c r="C50" s="4">
        <v>94</v>
      </c>
    </row>
    <row r="51" spans="1:3" x14ac:dyDescent="0.3">
      <c r="A51" s="4">
        <v>85</v>
      </c>
      <c r="B51" s="4">
        <v>89</v>
      </c>
      <c r="C51" s="4">
        <v>95</v>
      </c>
    </row>
    <row r="52" spans="1:3" x14ac:dyDescent="0.3">
      <c r="A52" s="4">
        <v>85</v>
      </c>
      <c r="B52" s="4">
        <v>86</v>
      </c>
      <c r="C52" s="4">
        <v>98</v>
      </c>
    </row>
    <row r="53" spans="1:3" x14ac:dyDescent="0.3">
      <c r="A53" s="4">
        <v>87</v>
      </c>
      <c r="B53" s="4">
        <v>95</v>
      </c>
      <c r="C53" s="4">
        <v>86</v>
      </c>
    </row>
    <row r="54" spans="1:3" x14ac:dyDescent="0.3">
      <c r="A54" s="4">
        <v>82</v>
      </c>
      <c r="B54" s="4">
        <v>93</v>
      </c>
      <c r="C54" s="4">
        <v>93</v>
      </c>
    </row>
    <row r="55" spans="1:3" x14ac:dyDescent="0.3">
      <c r="A55" s="4">
        <v>77</v>
      </c>
      <c r="B55" s="4">
        <v>97</v>
      </c>
      <c r="C55" s="4">
        <v>94</v>
      </c>
    </row>
    <row r="56" spans="1:3" x14ac:dyDescent="0.3">
      <c r="A56" s="4">
        <v>82</v>
      </c>
      <c r="B56" s="4">
        <v>93</v>
      </c>
      <c r="C56" s="4">
        <v>93</v>
      </c>
    </row>
    <row r="57" spans="1:3" x14ac:dyDescent="0.3">
      <c r="A57" s="4">
        <v>97</v>
      </c>
      <c r="B57" s="4">
        <v>82</v>
      </c>
      <c r="C57" s="4">
        <v>88</v>
      </c>
    </row>
    <row r="58" spans="1:3" x14ac:dyDescent="0.3">
      <c r="A58" s="4">
        <v>99</v>
      </c>
      <c r="B58" s="4">
        <v>87</v>
      </c>
      <c r="C58" s="4">
        <v>81</v>
      </c>
    </row>
    <row r="59" spans="1:3" x14ac:dyDescent="0.3">
      <c r="A59" s="4">
        <v>93</v>
      </c>
      <c r="B59" s="4">
        <v>84</v>
      </c>
      <c r="C59" s="4">
        <v>90</v>
      </c>
    </row>
    <row r="60" spans="1:3" x14ac:dyDescent="0.3">
      <c r="A60" s="4">
        <v>94</v>
      </c>
      <c r="B60" s="4">
        <v>86</v>
      </c>
      <c r="C60" s="4">
        <v>87</v>
      </c>
    </row>
    <row r="61" spans="1:3" x14ac:dyDescent="0.3">
      <c r="A61" s="4">
        <v>85</v>
      </c>
      <c r="B61" s="4">
        <v>90</v>
      </c>
      <c r="C61" s="4">
        <v>92</v>
      </c>
    </row>
    <row r="62" spans="1:3" x14ac:dyDescent="0.3">
      <c r="A62" s="4">
        <v>97</v>
      </c>
      <c r="B62" s="4">
        <v>87</v>
      </c>
      <c r="C62" s="4">
        <v>82</v>
      </c>
    </row>
    <row r="63" spans="1:3" x14ac:dyDescent="0.3">
      <c r="A63" s="4">
        <v>82</v>
      </c>
      <c r="B63" s="4">
        <v>90</v>
      </c>
      <c r="C63" s="4">
        <v>94</v>
      </c>
    </row>
    <row r="64" spans="1:3" x14ac:dyDescent="0.3">
      <c r="A64" s="4">
        <v>77</v>
      </c>
      <c r="B64" s="4">
        <v>94</v>
      </c>
      <c r="C64" s="4">
        <v>95</v>
      </c>
    </row>
    <row r="65" spans="1:3" x14ac:dyDescent="0.3">
      <c r="A65" s="4">
        <v>82</v>
      </c>
      <c r="B65" s="4">
        <v>95</v>
      </c>
      <c r="C65" s="4">
        <v>89</v>
      </c>
    </row>
    <row r="66" spans="1:3" x14ac:dyDescent="0.3">
      <c r="A66" s="4">
        <v>93</v>
      </c>
      <c r="B66" s="4">
        <v>90</v>
      </c>
      <c r="C66" s="4">
        <v>83</v>
      </c>
    </row>
    <row r="67" spans="1:3" x14ac:dyDescent="0.3">
      <c r="A67" s="4">
        <v>85</v>
      </c>
      <c r="B67" s="4">
        <v>91</v>
      </c>
      <c r="C67" s="4">
        <v>89</v>
      </c>
    </row>
    <row r="68" spans="1:3" x14ac:dyDescent="0.3">
      <c r="A68" s="4">
        <v>86</v>
      </c>
      <c r="B68" s="4">
        <v>92</v>
      </c>
      <c r="C68" s="4">
        <v>87</v>
      </c>
    </row>
    <row r="69" spans="1:3" x14ac:dyDescent="0.3">
      <c r="A69" s="4">
        <v>87</v>
      </c>
      <c r="B69" s="4">
        <v>90</v>
      </c>
      <c r="C69" s="4">
        <v>88</v>
      </c>
    </row>
    <row r="70" spans="1:3" x14ac:dyDescent="0.3">
      <c r="A70" s="4">
        <v>87</v>
      </c>
      <c r="B70" s="4">
        <v>85</v>
      </c>
      <c r="C70" s="4">
        <v>93</v>
      </c>
    </row>
    <row r="71" spans="1:3" x14ac:dyDescent="0.3">
      <c r="A71" s="4">
        <v>78</v>
      </c>
      <c r="B71" s="4">
        <v>91</v>
      </c>
      <c r="C71" s="4">
        <v>96</v>
      </c>
    </row>
    <row r="72" spans="1:3" x14ac:dyDescent="0.3">
      <c r="A72" s="4">
        <v>77</v>
      </c>
      <c r="B72" s="4">
        <v>89</v>
      </c>
      <c r="C72" s="4">
        <v>98</v>
      </c>
    </row>
    <row r="73" spans="1:3" x14ac:dyDescent="0.3">
      <c r="A73" s="4">
        <v>81</v>
      </c>
      <c r="B73" s="4">
        <v>92</v>
      </c>
      <c r="C73" s="4">
        <v>91</v>
      </c>
    </row>
    <row r="74" spans="1:3" x14ac:dyDescent="0.3">
      <c r="A74" s="4">
        <v>88</v>
      </c>
      <c r="B74" s="4">
        <v>89</v>
      </c>
      <c r="C74" s="4">
        <v>86</v>
      </c>
    </row>
    <row r="75" spans="1:3" x14ac:dyDescent="0.3">
      <c r="A75" s="4">
        <v>84</v>
      </c>
      <c r="B75" s="4">
        <v>89</v>
      </c>
      <c r="C75" s="4">
        <v>90</v>
      </c>
    </row>
    <row r="76" spans="1:3" x14ac:dyDescent="0.3">
      <c r="A76" s="4">
        <v>84</v>
      </c>
      <c r="B76" s="4">
        <v>87</v>
      </c>
      <c r="C76" s="4">
        <v>91</v>
      </c>
    </row>
    <row r="77" spans="1:3" x14ac:dyDescent="0.3">
      <c r="A77" s="4">
        <v>90</v>
      </c>
      <c r="B77" s="4">
        <v>87</v>
      </c>
      <c r="C77" s="4">
        <v>85</v>
      </c>
    </row>
    <row r="78" spans="1:3" x14ac:dyDescent="0.3">
      <c r="A78" s="4">
        <v>90</v>
      </c>
      <c r="B78" s="4">
        <v>90</v>
      </c>
      <c r="C78" s="4">
        <v>82</v>
      </c>
    </row>
    <row r="79" spans="1:3" x14ac:dyDescent="0.3">
      <c r="A79" s="4">
        <v>86</v>
      </c>
      <c r="B79" s="4">
        <v>85</v>
      </c>
      <c r="C79" s="4">
        <v>91</v>
      </c>
    </row>
    <row r="80" spans="1:3" x14ac:dyDescent="0.3">
      <c r="A80" s="4">
        <v>85</v>
      </c>
      <c r="B80" s="4">
        <v>92</v>
      </c>
      <c r="C80" s="4">
        <v>85</v>
      </c>
    </row>
    <row r="81" spans="1:3" x14ac:dyDescent="0.3">
      <c r="A81" s="4">
        <v>91</v>
      </c>
      <c r="B81" s="4">
        <v>86</v>
      </c>
      <c r="C81" s="4">
        <v>84</v>
      </c>
    </row>
    <row r="82" spans="1:3" x14ac:dyDescent="0.3">
      <c r="A82" s="4">
        <v>79</v>
      </c>
      <c r="B82" s="4">
        <v>88</v>
      </c>
      <c r="C82" s="4">
        <v>94</v>
      </c>
    </row>
    <row r="83" spans="1:3" x14ac:dyDescent="0.3">
      <c r="A83" s="4">
        <v>81</v>
      </c>
      <c r="B83" s="4">
        <v>91</v>
      </c>
      <c r="C83" s="4">
        <v>89</v>
      </c>
    </row>
    <row r="84" spans="1:3" x14ac:dyDescent="0.3">
      <c r="A84" s="4">
        <v>94</v>
      </c>
      <c r="B84" s="4">
        <v>85</v>
      </c>
      <c r="C84" s="4">
        <v>82</v>
      </c>
    </row>
    <row r="85" spans="1:3" x14ac:dyDescent="0.3">
      <c r="A85" s="4">
        <v>78</v>
      </c>
      <c r="B85" s="4">
        <v>90</v>
      </c>
      <c r="C85" s="4">
        <v>93</v>
      </c>
    </row>
    <row r="86" spans="1:3" x14ac:dyDescent="0.3">
      <c r="A86" s="4">
        <v>91</v>
      </c>
      <c r="B86" s="4">
        <v>85</v>
      </c>
      <c r="C86" s="4">
        <v>85</v>
      </c>
    </row>
    <row r="87" spans="1:3" x14ac:dyDescent="0.3">
      <c r="A87" s="4">
        <v>79</v>
      </c>
      <c r="B87" s="4">
        <v>92</v>
      </c>
      <c r="C87" s="4">
        <v>89</v>
      </c>
    </row>
    <row r="88" spans="1:3" x14ac:dyDescent="0.3">
      <c r="A88" s="4">
        <v>95</v>
      </c>
      <c r="B88" s="4">
        <v>81</v>
      </c>
      <c r="C88" s="4">
        <v>84</v>
      </c>
    </row>
    <row r="89" spans="1:3" x14ac:dyDescent="0.3">
      <c r="A89" s="4">
        <v>80</v>
      </c>
      <c r="B89" s="4">
        <v>92</v>
      </c>
      <c r="C89" s="4">
        <v>88</v>
      </c>
    </row>
    <row r="90" spans="1:3" x14ac:dyDescent="0.3">
      <c r="A90" s="4">
        <v>81</v>
      </c>
      <c r="B90" s="4">
        <v>91</v>
      </c>
      <c r="C90" s="4">
        <v>87</v>
      </c>
    </row>
    <row r="91" spans="1:3" x14ac:dyDescent="0.3">
      <c r="A91" s="4">
        <v>87</v>
      </c>
      <c r="B91" s="4">
        <v>91</v>
      </c>
      <c r="C91" s="4">
        <v>81</v>
      </c>
    </row>
    <row r="92" spans="1:3" x14ac:dyDescent="0.3">
      <c r="A92" s="4">
        <v>80</v>
      </c>
      <c r="B92" s="4">
        <v>90</v>
      </c>
      <c r="C92" s="4">
        <v>89</v>
      </c>
    </row>
    <row r="93" spans="1:3" x14ac:dyDescent="0.3">
      <c r="A93" s="4">
        <v>89</v>
      </c>
      <c r="B93" s="4">
        <v>88</v>
      </c>
      <c r="C93" s="4">
        <v>82</v>
      </c>
    </row>
    <row r="94" spans="1:3" x14ac:dyDescent="0.3">
      <c r="A94" s="4">
        <v>90</v>
      </c>
      <c r="B94" s="4">
        <v>85</v>
      </c>
      <c r="C94" s="4">
        <v>84</v>
      </c>
    </row>
    <row r="95" spans="1:3" x14ac:dyDescent="0.3">
      <c r="A95" s="4">
        <v>81</v>
      </c>
      <c r="B95" s="4">
        <v>88</v>
      </c>
      <c r="C95" s="4">
        <v>90</v>
      </c>
    </row>
    <row r="96" spans="1:3" x14ac:dyDescent="0.3">
      <c r="A96" s="4">
        <v>77</v>
      </c>
      <c r="B96" s="4">
        <v>90</v>
      </c>
      <c r="C96" s="4">
        <v>91</v>
      </c>
    </row>
    <row r="97" spans="1:3" x14ac:dyDescent="0.3">
      <c r="A97" s="4">
        <v>87</v>
      </c>
      <c r="B97" s="4">
        <v>84</v>
      </c>
      <c r="C97" s="4">
        <v>87</v>
      </c>
    </row>
    <row r="98" spans="1:3" x14ac:dyDescent="0.3">
      <c r="A98" s="4">
        <v>85</v>
      </c>
      <c r="B98" s="4">
        <v>84</v>
      </c>
      <c r="C98" s="4">
        <v>89</v>
      </c>
    </row>
    <row r="99" spans="1:3" x14ac:dyDescent="0.3">
      <c r="A99" s="4">
        <v>79</v>
      </c>
      <c r="B99" s="4">
        <v>86</v>
      </c>
      <c r="C99" s="4">
        <v>92</v>
      </c>
    </row>
    <row r="100" spans="1:3" x14ac:dyDescent="0.3">
      <c r="A100" s="4">
        <v>83</v>
      </c>
      <c r="B100" s="4">
        <v>86</v>
      </c>
      <c r="C100" s="4">
        <v>88</v>
      </c>
    </row>
    <row r="101" spans="1:3" x14ac:dyDescent="0.3">
      <c r="A101" s="4">
        <v>92</v>
      </c>
      <c r="B101" s="4">
        <v>87</v>
      </c>
      <c r="C101" s="4">
        <v>78</v>
      </c>
    </row>
    <row r="102" spans="1:3" x14ac:dyDescent="0.3">
      <c r="A102" s="4">
        <v>79</v>
      </c>
      <c r="B102" s="4">
        <v>89</v>
      </c>
      <c r="C102" s="4">
        <v>89</v>
      </c>
    </row>
    <row r="103" spans="1:3" x14ac:dyDescent="0.3">
      <c r="A103" s="4">
        <v>76</v>
      </c>
      <c r="B103" s="4">
        <v>94</v>
      </c>
      <c r="C103" s="4">
        <v>87</v>
      </c>
    </row>
    <row r="104" spans="1:3" x14ac:dyDescent="0.3">
      <c r="A104" s="4">
        <v>87</v>
      </c>
      <c r="B104" s="4">
        <v>84</v>
      </c>
      <c r="C104" s="4">
        <v>85</v>
      </c>
    </row>
    <row r="105" spans="1:3" x14ac:dyDescent="0.3">
      <c r="A105" s="4">
        <v>83</v>
      </c>
      <c r="B105" s="4">
        <v>83</v>
      </c>
      <c r="C105" s="4">
        <v>90</v>
      </c>
    </row>
    <row r="106" spans="1:3" x14ac:dyDescent="0.3">
      <c r="A106" s="4">
        <v>77</v>
      </c>
      <c r="B106" s="4">
        <v>91</v>
      </c>
      <c r="C106" s="4">
        <v>88</v>
      </c>
    </row>
    <row r="107" spans="1:3" x14ac:dyDescent="0.3">
      <c r="A107" s="4">
        <v>78</v>
      </c>
      <c r="B107" s="4">
        <v>87</v>
      </c>
      <c r="C107" s="4">
        <v>91</v>
      </c>
    </row>
    <row r="108" spans="1:3" x14ac:dyDescent="0.3">
      <c r="A108" s="4">
        <v>89</v>
      </c>
      <c r="B108" s="4">
        <v>84</v>
      </c>
      <c r="C108" s="4">
        <v>82</v>
      </c>
    </row>
    <row r="109" spans="1:3" x14ac:dyDescent="0.3">
      <c r="A109" s="4">
        <v>86</v>
      </c>
      <c r="B109" s="4">
        <v>83</v>
      </c>
      <c r="C109" s="4">
        <v>86</v>
      </c>
    </row>
    <row r="110" spans="1:3" x14ac:dyDescent="0.3">
      <c r="A110" s="4">
        <v>89</v>
      </c>
      <c r="B110" s="4">
        <v>87</v>
      </c>
      <c r="C110" s="4">
        <v>79</v>
      </c>
    </row>
    <row r="111" spans="1:3" x14ac:dyDescent="0.3">
      <c r="A111" s="4">
        <v>92</v>
      </c>
      <c r="B111" s="4">
        <v>79</v>
      </c>
      <c r="C111" s="4">
        <v>84</v>
      </c>
    </row>
    <row r="112" spans="1:3" x14ac:dyDescent="0.3">
      <c r="A112" s="4">
        <v>79</v>
      </c>
      <c r="B112" s="4">
        <v>89</v>
      </c>
      <c r="C112" s="4">
        <v>86</v>
      </c>
    </row>
    <row r="113" spans="1:3" x14ac:dyDescent="0.3">
      <c r="A113" s="4">
        <v>82</v>
      </c>
      <c r="B113" s="4">
        <v>85</v>
      </c>
      <c r="C113" s="4">
        <v>87</v>
      </c>
    </row>
    <row r="114" spans="1:3" x14ac:dyDescent="0.3">
      <c r="A114" s="4">
        <v>81</v>
      </c>
      <c r="B114" s="4">
        <v>86</v>
      </c>
      <c r="C114" s="4">
        <v>87</v>
      </c>
    </row>
    <row r="115" spans="1:3" x14ac:dyDescent="0.3">
      <c r="A115" s="4">
        <v>79</v>
      </c>
      <c r="B115" s="4">
        <v>84</v>
      </c>
      <c r="C115" s="4">
        <v>91</v>
      </c>
    </row>
    <row r="116" spans="1:3" x14ac:dyDescent="0.3">
      <c r="A116" s="4">
        <v>75</v>
      </c>
      <c r="B116" s="4">
        <v>90</v>
      </c>
      <c r="C116" s="4">
        <v>88</v>
      </c>
    </row>
    <row r="117" spans="1:3" x14ac:dyDescent="0.3">
      <c r="A117" s="4">
        <v>82</v>
      </c>
      <c r="B117" s="4">
        <v>85</v>
      </c>
      <c r="C117" s="4">
        <v>86</v>
      </c>
    </row>
    <row r="118" spans="1:3" x14ac:dyDescent="0.3">
      <c r="A118" s="4">
        <v>77</v>
      </c>
      <c r="B118" s="4">
        <v>88</v>
      </c>
      <c r="C118" s="4">
        <v>87</v>
      </c>
    </row>
    <row r="119" spans="1:3" x14ac:dyDescent="0.3">
      <c r="A119" s="4">
        <v>90</v>
      </c>
      <c r="B119" s="4">
        <v>87</v>
      </c>
      <c r="C119" s="4">
        <v>75</v>
      </c>
    </row>
    <row r="120" spans="1:3" x14ac:dyDescent="0.3">
      <c r="A120" s="4">
        <v>80</v>
      </c>
      <c r="B120" s="4">
        <v>90</v>
      </c>
      <c r="C120" s="4">
        <v>82</v>
      </c>
    </row>
    <row r="121" spans="1:3" x14ac:dyDescent="0.3">
      <c r="A121" s="4">
        <v>74</v>
      </c>
      <c r="B121" s="4">
        <v>88</v>
      </c>
      <c r="C121" s="4">
        <v>90</v>
      </c>
    </row>
    <row r="122" spans="1:3" x14ac:dyDescent="0.3">
      <c r="A122" s="4">
        <v>74</v>
      </c>
      <c r="B122" s="4">
        <v>90</v>
      </c>
      <c r="C122" s="4">
        <v>88</v>
      </c>
    </row>
    <row r="123" spans="1:3" x14ac:dyDescent="0.3">
      <c r="A123" s="4">
        <v>77</v>
      </c>
      <c r="B123" s="4">
        <v>90</v>
      </c>
      <c r="C123" s="4">
        <v>85</v>
      </c>
    </row>
    <row r="124" spans="1:3" x14ac:dyDescent="0.3">
      <c r="A124" s="4">
        <v>82</v>
      </c>
      <c r="B124" s="4">
        <v>82</v>
      </c>
      <c r="C124" s="4">
        <v>88</v>
      </c>
    </row>
    <row r="125" spans="1:3" x14ac:dyDescent="0.3">
      <c r="A125" s="4">
        <v>84</v>
      </c>
      <c r="B125" s="4">
        <v>87</v>
      </c>
      <c r="C125" s="4">
        <v>81</v>
      </c>
    </row>
    <row r="126" spans="1:3" x14ac:dyDescent="0.3">
      <c r="A126" s="4">
        <v>85</v>
      </c>
      <c r="B126" s="4">
        <v>84</v>
      </c>
      <c r="C126" s="4">
        <v>82</v>
      </c>
    </row>
    <row r="127" spans="1:3" x14ac:dyDescent="0.3">
      <c r="A127" s="4">
        <v>77</v>
      </c>
      <c r="B127" s="4">
        <v>90</v>
      </c>
      <c r="C127" s="4">
        <v>84</v>
      </c>
    </row>
    <row r="128" spans="1:3" x14ac:dyDescent="0.3">
      <c r="A128" s="4">
        <v>91</v>
      </c>
      <c r="B128" s="4">
        <v>81</v>
      </c>
      <c r="C128" s="4">
        <v>79</v>
      </c>
    </row>
    <row r="129" spans="1:3" x14ac:dyDescent="0.3">
      <c r="A129" s="4">
        <v>85</v>
      </c>
      <c r="B129" s="4">
        <v>81</v>
      </c>
      <c r="C129" s="4">
        <v>85</v>
      </c>
    </row>
    <row r="130" spans="1:3" x14ac:dyDescent="0.3">
      <c r="A130" s="4">
        <v>77</v>
      </c>
      <c r="B130" s="4">
        <v>82</v>
      </c>
      <c r="C130" s="4">
        <v>91</v>
      </c>
    </row>
    <row r="131" spans="1:3" x14ac:dyDescent="0.3">
      <c r="A131" s="4">
        <v>77</v>
      </c>
      <c r="B131" s="4">
        <v>88</v>
      </c>
      <c r="C131" s="4">
        <v>85</v>
      </c>
    </row>
    <row r="132" spans="1:3" x14ac:dyDescent="0.3">
      <c r="A132" s="4">
        <v>89</v>
      </c>
      <c r="B132" s="4">
        <v>84</v>
      </c>
      <c r="C132" s="4">
        <v>77</v>
      </c>
    </row>
    <row r="133" spans="1:3" x14ac:dyDescent="0.3">
      <c r="A133" s="4">
        <v>79</v>
      </c>
      <c r="B133" s="4">
        <v>85</v>
      </c>
      <c r="C133" s="4">
        <v>86</v>
      </c>
    </row>
    <row r="134" spans="1:3" x14ac:dyDescent="0.3">
      <c r="A134" s="4">
        <v>83</v>
      </c>
      <c r="B134" s="4">
        <v>82</v>
      </c>
      <c r="C134" s="4">
        <v>84</v>
      </c>
    </row>
    <row r="135" spans="1:3" x14ac:dyDescent="0.3">
      <c r="A135" s="4">
        <v>90</v>
      </c>
      <c r="B135" s="4">
        <v>78</v>
      </c>
      <c r="C135" s="4">
        <v>81</v>
      </c>
    </row>
    <row r="136" spans="1:3" x14ac:dyDescent="0.3">
      <c r="A136" s="4">
        <v>80</v>
      </c>
      <c r="B136" s="4">
        <v>86</v>
      </c>
      <c r="C136" s="4">
        <v>83</v>
      </c>
    </row>
    <row r="137" spans="1:3" x14ac:dyDescent="0.3">
      <c r="A137" s="4">
        <v>88</v>
      </c>
      <c r="B137" s="4">
        <v>78</v>
      </c>
      <c r="C137" s="4">
        <v>83</v>
      </c>
    </row>
    <row r="138" spans="1:3" x14ac:dyDescent="0.3">
      <c r="A138" s="4">
        <v>77</v>
      </c>
      <c r="B138" s="4">
        <v>85</v>
      </c>
      <c r="C138" s="4">
        <v>87</v>
      </c>
    </row>
    <row r="139" spans="1:3" x14ac:dyDescent="0.3">
      <c r="A139" s="4">
        <v>73</v>
      </c>
      <c r="B139" s="4">
        <v>92</v>
      </c>
      <c r="C139" s="4">
        <v>84</v>
      </c>
    </row>
    <row r="140" spans="1:3" x14ac:dyDescent="0.3">
      <c r="A140" s="4">
        <v>74</v>
      </c>
      <c r="B140" s="4">
        <v>86</v>
      </c>
      <c r="C140" s="4">
        <v>89</v>
      </c>
    </row>
    <row r="141" spans="1:3" x14ac:dyDescent="0.3">
      <c r="A141" s="4">
        <v>77</v>
      </c>
      <c r="B141" s="4">
        <v>86</v>
      </c>
      <c r="C141" s="4">
        <v>86</v>
      </c>
    </row>
    <row r="142" spans="1:3" x14ac:dyDescent="0.3">
      <c r="A142" s="4">
        <v>82</v>
      </c>
      <c r="B142" s="4">
        <v>84</v>
      </c>
      <c r="C142" s="4">
        <v>82</v>
      </c>
    </row>
    <row r="143" spans="1:3" x14ac:dyDescent="0.3">
      <c r="A143" s="4">
        <v>75</v>
      </c>
      <c r="B143" s="4">
        <v>88</v>
      </c>
      <c r="C143" s="4">
        <v>85</v>
      </c>
    </row>
    <row r="144" spans="1:3" x14ac:dyDescent="0.3">
      <c r="A144" s="4">
        <v>76</v>
      </c>
      <c r="B144" s="4">
        <v>87</v>
      </c>
      <c r="C144" s="4">
        <v>85</v>
      </c>
    </row>
    <row r="145" spans="1:3" x14ac:dyDescent="0.3">
      <c r="A145" s="4">
        <v>75</v>
      </c>
      <c r="B145" s="4">
        <v>88</v>
      </c>
      <c r="C145" s="4">
        <v>85</v>
      </c>
    </row>
    <row r="146" spans="1:3" x14ac:dyDescent="0.3">
      <c r="A146" s="4">
        <v>84</v>
      </c>
      <c r="B146" s="4">
        <v>84</v>
      </c>
      <c r="C146" s="4">
        <v>80</v>
      </c>
    </row>
    <row r="147" spans="1:3" x14ac:dyDescent="0.3">
      <c r="A147" s="4">
        <v>77</v>
      </c>
      <c r="B147" s="4">
        <v>82</v>
      </c>
      <c r="C147" s="4">
        <v>89</v>
      </c>
    </row>
    <row r="148" spans="1:3" x14ac:dyDescent="0.3">
      <c r="A148" s="4">
        <v>76</v>
      </c>
      <c r="B148" s="4">
        <v>83</v>
      </c>
      <c r="C148" s="4">
        <v>88</v>
      </c>
    </row>
    <row r="149" spans="1:3" x14ac:dyDescent="0.3">
      <c r="A149" s="4">
        <v>88</v>
      </c>
      <c r="B149" s="4">
        <v>84</v>
      </c>
      <c r="C149" s="4">
        <v>75</v>
      </c>
    </row>
    <row r="150" spans="1:3" x14ac:dyDescent="0.3">
      <c r="A150" s="4">
        <v>70</v>
      </c>
      <c r="B150" s="4">
        <v>89</v>
      </c>
      <c r="C150" s="4">
        <v>88</v>
      </c>
    </row>
    <row r="151" spans="1:3" x14ac:dyDescent="0.3">
      <c r="A151" s="4">
        <v>85</v>
      </c>
      <c r="B151" s="4">
        <v>84</v>
      </c>
      <c r="C151" s="4">
        <v>78</v>
      </c>
    </row>
    <row r="152" spans="1:3" x14ac:dyDescent="0.3">
      <c r="A152" s="4">
        <v>86</v>
      </c>
      <c r="B152" s="4">
        <v>81</v>
      </c>
      <c r="C152" s="4">
        <v>80</v>
      </c>
    </row>
    <row r="153" spans="1:3" x14ac:dyDescent="0.3">
      <c r="A153" s="4">
        <v>74</v>
      </c>
      <c r="B153" s="4">
        <v>89</v>
      </c>
      <c r="C153" s="4">
        <v>84</v>
      </c>
    </row>
    <row r="154" spans="1:3" x14ac:dyDescent="0.3">
      <c r="A154" s="4">
        <v>75</v>
      </c>
      <c r="B154" s="4">
        <v>82</v>
      </c>
      <c r="C154" s="4">
        <v>90</v>
      </c>
    </row>
    <row r="155" spans="1:3" x14ac:dyDescent="0.3">
      <c r="A155" s="4">
        <v>81</v>
      </c>
      <c r="B155" s="4">
        <v>84</v>
      </c>
      <c r="C155" s="4">
        <v>82</v>
      </c>
    </row>
    <row r="156" spans="1:3" x14ac:dyDescent="0.3">
      <c r="A156" s="4">
        <v>87</v>
      </c>
      <c r="B156" s="4">
        <v>84</v>
      </c>
      <c r="C156" s="4">
        <v>76</v>
      </c>
    </row>
    <row r="157" spans="1:3" x14ac:dyDescent="0.3">
      <c r="A157" s="4">
        <v>81</v>
      </c>
      <c r="B157" s="4">
        <v>82</v>
      </c>
      <c r="C157" s="4">
        <v>84</v>
      </c>
    </row>
    <row r="158" spans="1:3" x14ac:dyDescent="0.3">
      <c r="A158" s="4">
        <v>79</v>
      </c>
      <c r="B158" s="4">
        <v>86</v>
      </c>
      <c r="C158" s="4">
        <v>81</v>
      </c>
    </row>
    <row r="159" spans="1:3" x14ac:dyDescent="0.3">
      <c r="A159" s="4">
        <v>80</v>
      </c>
      <c r="B159" s="4">
        <v>83</v>
      </c>
      <c r="C159" s="4">
        <v>83</v>
      </c>
    </row>
    <row r="160" spans="1:3" x14ac:dyDescent="0.3">
      <c r="A160" s="4">
        <v>81</v>
      </c>
      <c r="B160" s="4">
        <v>81</v>
      </c>
      <c r="C160" s="4">
        <v>84</v>
      </c>
    </row>
    <row r="161" spans="1:3" x14ac:dyDescent="0.3">
      <c r="A161" s="4">
        <v>87</v>
      </c>
      <c r="B161" s="4">
        <v>85</v>
      </c>
      <c r="C161" s="4">
        <v>73</v>
      </c>
    </row>
    <row r="162" spans="1:3" x14ac:dyDescent="0.3">
      <c r="A162" s="4">
        <v>81</v>
      </c>
      <c r="B162" s="4">
        <v>82</v>
      </c>
      <c r="C162" s="4">
        <v>82</v>
      </c>
    </row>
    <row r="163" spans="1:3" x14ac:dyDescent="0.3">
      <c r="A163" s="4">
        <v>84</v>
      </c>
      <c r="B163" s="4">
        <v>83</v>
      </c>
      <c r="C163" s="4">
        <v>78</v>
      </c>
    </row>
    <row r="164" spans="1:3" x14ac:dyDescent="0.3">
      <c r="A164" s="4">
        <v>78</v>
      </c>
      <c r="B164" s="4">
        <v>81</v>
      </c>
      <c r="C164" s="4">
        <v>86</v>
      </c>
    </row>
    <row r="165" spans="1:3" x14ac:dyDescent="0.3">
      <c r="A165" s="4">
        <v>84</v>
      </c>
      <c r="B165" s="4">
        <v>80</v>
      </c>
      <c r="C165" s="4">
        <v>80</v>
      </c>
    </row>
    <row r="166" spans="1:3" x14ac:dyDescent="0.3">
      <c r="A166" s="4">
        <v>91</v>
      </c>
      <c r="B166" s="4">
        <v>73</v>
      </c>
      <c r="C166" s="4">
        <v>80</v>
      </c>
    </row>
    <row r="167" spans="1:3" x14ac:dyDescent="0.3">
      <c r="A167" s="4">
        <v>82</v>
      </c>
      <c r="B167" s="4">
        <v>84</v>
      </c>
      <c r="C167" s="4">
        <v>78</v>
      </c>
    </row>
    <row r="168" spans="1:3" x14ac:dyDescent="0.3">
      <c r="A168" s="4">
        <v>82</v>
      </c>
      <c r="B168" s="4">
        <v>82</v>
      </c>
      <c r="C168" s="4">
        <v>80</v>
      </c>
    </row>
    <row r="169" spans="1:3" x14ac:dyDescent="0.3">
      <c r="A169" s="4">
        <v>79</v>
      </c>
      <c r="B169" s="4">
        <v>82</v>
      </c>
      <c r="C169" s="4">
        <v>82</v>
      </c>
    </row>
    <row r="170" spans="1:3" x14ac:dyDescent="0.3">
      <c r="A170" s="4">
        <v>76</v>
      </c>
      <c r="B170" s="4">
        <v>85</v>
      </c>
      <c r="C170" s="4">
        <v>82</v>
      </c>
    </row>
    <row r="171" spans="1:3" x14ac:dyDescent="0.3">
      <c r="A171" s="4">
        <v>71</v>
      </c>
      <c r="B171" s="4">
        <v>84</v>
      </c>
      <c r="C171" s="4">
        <v>87</v>
      </c>
    </row>
    <row r="172" spans="1:3" x14ac:dyDescent="0.3">
      <c r="A172" s="4">
        <v>75</v>
      </c>
      <c r="B172" s="4">
        <v>85</v>
      </c>
      <c r="C172" s="4">
        <v>82</v>
      </c>
    </row>
    <row r="173" spans="1:3" x14ac:dyDescent="0.3">
      <c r="A173" s="4">
        <v>84</v>
      </c>
      <c r="B173" s="4">
        <v>83</v>
      </c>
      <c r="C173" s="4">
        <v>75</v>
      </c>
    </row>
    <row r="174" spans="1:3" x14ac:dyDescent="0.3">
      <c r="A174" s="4">
        <v>73</v>
      </c>
      <c r="B174" s="4">
        <v>84</v>
      </c>
      <c r="C174" s="4">
        <v>85</v>
      </c>
    </row>
    <row r="175" spans="1:3" x14ac:dyDescent="0.3">
      <c r="A175" s="4">
        <v>79</v>
      </c>
      <c r="B175" s="4">
        <v>81</v>
      </c>
      <c r="C175" s="4">
        <v>82</v>
      </c>
    </row>
    <row r="176" spans="1:3" x14ac:dyDescent="0.3">
      <c r="A176" s="4">
        <v>88</v>
      </c>
      <c r="B176" s="4">
        <v>77</v>
      </c>
      <c r="C176" s="4">
        <v>77</v>
      </c>
    </row>
    <row r="177" spans="1:3" x14ac:dyDescent="0.3">
      <c r="A177" s="4">
        <v>86</v>
      </c>
      <c r="B177" s="4">
        <v>81</v>
      </c>
      <c r="C177" s="4">
        <v>75</v>
      </c>
    </row>
    <row r="178" spans="1:3" x14ac:dyDescent="0.3">
      <c r="A178" s="4">
        <v>81</v>
      </c>
      <c r="B178" s="4">
        <v>81</v>
      </c>
      <c r="C178" s="4">
        <v>79</v>
      </c>
    </row>
    <row r="179" spans="1:3" x14ac:dyDescent="0.3">
      <c r="A179" s="4">
        <v>88</v>
      </c>
      <c r="B179" s="4">
        <v>78</v>
      </c>
      <c r="C179" s="4">
        <v>75</v>
      </c>
    </row>
    <row r="180" spans="1:3" x14ac:dyDescent="0.3">
      <c r="A180" s="4">
        <v>73</v>
      </c>
      <c r="B180" s="4">
        <v>86</v>
      </c>
      <c r="C180" s="4">
        <v>82</v>
      </c>
    </row>
    <row r="181" spans="1:3" x14ac:dyDescent="0.3">
      <c r="A181" s="4">
        <v>78</v>
      </c>
      <c r="B181" s="4">
        <v>81</v>
      </c>
      <c r="C181" s="4">
        <v>82</v>
      </c>
    </row>
    <row r="182" spans="1:3" x14ac:dyDescent="0.3">
      <c r="A182" s="4">
        <v>86</v>
      </c>
      <c r="B182" s="4">
        <v>80</v>
      </c>
      <c r="C182" s="4">
        <v>75</v>
      </c>
    </row>
    <row r="183" spans="1:3" x14ac:dyDescent="0.3">
      <c r="A183" s="4">
        <v>91</v>
      </c>
      <c r="B183" s="4">
        <v>74</v>
      </c>
      <c r="C183" s="4">
        <v>76</v>
      </c>
    </row>
    <row r="184" spans="1:3" x14ac:dyDescent="0.3">
      <c r="A184" s="4">
        <v>79</v>
      </c>
      <c r="B184" s="4">
        <v>82</v>
      </c>
      <c r="C184" s="4">
        <v>80</v>
      </c>
    </row>
    <row r="185" spans="1:3" x14ac:dyDescent="0.3">
      <c r="A185" s="4">
        <v>78</v>
      </c>
      <c r="B185" s="4">
        <v>83</v>
      </c>
      <c r="C185" s="4">
        <v>80</v>
      </c>
    </row>
    <row r="186" spans="1:3" x14ac:dyDescent="0.3">
      <c r="A186" s="4">
        <v>75</v>
      </c>
      <c r="B186" s="4">
        <v>81</v>
      </c>
      <c r="C186" s="4">
        <v>84</v>
      </c>
    </row>
    <row r="187" spans="1:3" x14ac:dyDescent="0.3">
      <c r="A187" s="4">
        <v>81</v>
      </c>
      <c r="B187" s="4">
        <v>78</v>
      </c>
      <c r="C187" s="4">
        <v>81</v>
      </c>
    </row>
    <row r="188" spans="1:3" x14ac:dyDescent="0.3">
      <c r="A188" s="4">
        <v>75</v>
      </c>
      <c r="B188" s="4">
        <v>86</v>
      </c>
      <c r="C188" s="4">
        <v>79</v>
      </c>
    </row>
    <row r="189" spans="1:3" x14ac:dyDescent="0.3">
      <c r="A189" s="4">
        <v>71</v>
      </c>
      <c r="B189" s="4">
        <v>87</v>
      </c>
      <c r="C189" s="4">
        <v>82</v>
      </c>
    </row>
    <row r="190" spans="1:3" x14ac:dyDescent="0.3">
      <c r="A190" s="4">
        <v>80</v>
      </c>
      <c r="B190" s="4">
        <v>78</v>
      </c>
      <c r="C190" s="4">
        <v>81</v>
      </c>
    </row>
    <row r="191" spans="1:3" x14ac:dyDescent="0.3">
      <c r="A191" s="4">
        <v>78</v>
      </c>
      <c r="B191" s="4">
        <v>82</v>
      </c>
      <c r="C191" s="4">
        <v>79</v>
      </c>
    </row>
    <row r="192" spans="1:3" x14ac:dyDescent="0.3">
      <c r="A192" s="4">
        <v>88</v>
      </c>
      <c r="B192" s="4">
        <v>73</v>
      </c>
      <c r="C192" s="4">
        <v>78</v>
      </c>
    </row>
    <row r="193" spans="1:3" x14ac:dyDescent="0.3">
      <c r="A193" s="4">
        <v>89</v>
      </c>
      <c r="B193" s="4">
        <v>76</v>
      </c>
      <c r="C193" s="4">
        <v>74</v>
      </c>
    </row>
    <row r="194" spans="1:3" x14ac:dyDescent="0.3">
      <c r="A194" s="4">
        <v>88</v>
      </c>
      <c r="B194" s="4">
        <v>75</v>
      </c>
      <c r="C194" s="4">
        <v>76</v>
      </c>
    </row>
    <row r="195" spans="1:3" x14ac:dyDescent="0.3">
      <c r="A195" s="4">
        <v>82</v>
      </c>
      <c r="B195" s="4">
        <v>80</v>
      </c>
      <c r="C195" s="4">
        <v>77</v>
      </c>
    </row>
    <row r="196" spans="1:3" x14ac:dyDescent="0.3">
      <c r="A196" s="4">
        <v>78</v>
      </c>
      <c r="B196" s="4">
        <v>81</v>
      </c>
      <c r="C196" s="4">
        <v>80</v>
      </c>
    </row>
    <row r="197" spans="1:3" x14ac:dyDescent="0.3">
      <c r="A197" s="4">
        <v>75</v>
      </c>
      <c r="B197" s="4">
        <v>84</v>
      </c>
      <c r="C197" s="4">
        <v>80</v>
      </c>
    </row>
    <row r="198" spans="1:3" x14ac:dyDescent="0.3">
      <c r="A198" s="4">
        <v>74</v>
      </c>
      <c r="B198" s="4">
        <v>81</v>
      </c>
      <c r="C198" s="4">
        <v>83</v>
      </c>
    </row>
    <row r="199" spans="1:3" x14ac:dyDescent="0.3">
      <c r="A199" s="4">
        <v>82</v>
      </c>
      <c r="B199" s="4">
        <v>82</v>
      </c>
      <c r="C199" s="4">
        <v>74</v>
      </c>
    </row>
    <row r="200" spans="1:3" x14ac:dyDescent="0.3">
      <c r="A200" s="4">
        <v>76</v>
      </c>
      <c r="B200" s="4">
        <v>83</v>
      </c>
      <c r="C200" s="4">
        <v>79</v>
      </c>
    </row>
    <row r="201" spans="1:3" x14ac:dyDescent="0.3">
      <c r="A201" s="4">
        <v>69</v>
      </c>
      <c r="B201" s="4">
        <v>84</v>
      </c>
      <c r="C201" s="4">
        <v>85</v>
      </c>
    </row>
    <row r="202" spans="1:3" x14ac:dyDescent="0.3">
      <c r="A202" s="4">
        <v>80</v>
      </c>
      <c r="B202" s="4">
        <v>79</v>
      </c>
      <c r="C202" s="4">
        <v>79</v>
      </c>
    </row>
    <row r="203" spans="1:3" x14ac:dyDescent="0.3">
      <c r="A203" s="4">
        <v>67</v>
      </c>
      <c r="B203" s="4">
        <v>89</v>
      </c>
      <c r="C203" s="4">
        <v>82</v>
      </c>
    </row>
    <row r="204" spans="1:3" x14ac:dyDescent="0.3">
      <c r="A204" s="4">
        <v>94</v>
      </c>
      <c r="B204" s="4">
        <v>73</v>
      </c>
      <c r="C204" s="4">
        <v>71</v>
      </c>
    </row>
    <row r="205" spans="1:3" x14ac:dyDescent="0.3">
      <c r="A205" s="4">
        <v>67</v>
      </c>
      <c r="B205" s="4">
        <v>84</v>
      </c>
      <c r="C205" s="4">
        <v>86</v>
      </c>
    </row>
    <row r="206" spans="1:3" x14ac:dyDescent="0.3">
      <c r="A206" s="4">
        <v>81</v>
      </c>
      <c r="B206" s="4">
        <v>80</v>
      </c>
      <c r="C206" s="4">
        <v>76</v>
      </c>
    </row>
    <row r="207" spans="1:3" x14ac:dyDescent="0.3">
      <c r="A207" s="4">
        <v>71</v>
      </c>
      <c r="B207" s="4">
        <v>83</v>
      </c>
      <c r="C207" s="4">
        <v>83</v>
      </c>
    </row>
    <row r="208" spans="1:3" x14ac:dyDescent="0.3">
      <c r="A208" s="4">
        <v>87</v>
      </c>
      <c r="B208" s="4">
        <v>74</v>
      </c>
      <c r="C208" s="4">
        <v>76</v>
      </c>
    </row>
    <row r="209" spans="1:3" x14ac:dyDescent="0.3">
      <c r="A209" s="4">
        <v>81</v>
      </c>
      <c r="B209" s="4">
        <v>77</v>
      </c>
      <c r="C209" s="4">
        <v>79</v>
      </c>
    </row>
    <row r="210" spans="1:3" x14ac:dyDescent="0.3">
      <c r="A210" s="4">
        <v>88</v>
      </c>
      <c r="B210" s="4">
        <v>74</v>
      </c>
      <c r="C210" s="4">
        <v>75</v>
      </c>
    </row>
    <row r="211" spans="1:3" x14ac:dyDescent="0.3">
      <c r="A211" s="4">
        <v>81</v>
      </c>
      <c r="B211" s="4">
        <v>78</v>
      </c>
      <c r="C211" s="4">
        <v>78</v>
      </c>
    </row>
    <row r="212" spans="1:3" x14ac:dyDescent="0.3">
      <c r="A212" s="4">
        <v>83</v>
      </c>
      <c r="B212" s="4">
        <v>80</v>
      </c>
      <c r="C212" s="4">
        <v>73</v>
      </c>
    </row>
    <row r="213" spans="1:3" x14ac:dyDescent="0.3">
      <c r="A213" s="4">
        <v>67</v>
      </c>
      <c r="B213" s="4">
        <v>86</v>
      </c>
      <c r="C213" s="4">
        <v>83</v>
      </c>
    </row>
    <row r="214" spans="1:3" x14ac:dyDescent="0.3">
      <c r="A214" s="4">
        <v>79</v>
      </c>
      <c r="B214" s="4">
        <v>79</v>
      </c>
      <c r="C214" s="4">
        <v>78</v>
      </c>
    </row>
    <row r="215" spans="1:3" x14ac:dyDescent="0.3">
      <c r="A215" s="4">
        <v>73</v>
      </c>
      <c r="B215" s="4">
        <v>79</v>
      </c>
      <c r="C215" s="4">
        <v>84</v>
      </c>
    </row>
    <row r="216" spans="1:3" x14ac:dyDescent="0.3">
      <c r="A216" s="4">
        <v>77</v>
      </c>
      <c r="B216" s="4">
        <v>79</v>
      </c>
      <c r="C216" s="4">
        <v>80</v>
      </c>
    </row>
    <row r="217" spans="1:3" x14ac:dyDescent="0.3">
      <c r="A217" s="4">
        <v>86</v>
      </c>
      <c r="B217" s="4">
        <v>76</v>
      </c>
      <c r="C217" s="4">
        <v>74</v>
      </c>
    </row>
    <row r="218" spans="1:3" x14ac:dyDescent="0.3">
      <c r="A218" s="4">
        <v>69</v>
      </c>
      <c r="B218" s="4">
        <v>86</v>
      </c>
      <c r="C218" s="4">
        <v>81</v>
      </c>
    </row>
    <row r="219" spans="1:3" x14ac:dyDescent="0.3">
      <c r="A219" s="4">
        <v>75</v>
      </c>
      <c r="B219" s="4">
        <v>82</v>
      </c>
      <c r="C219" s="4">
        <v>79</v>
      </c>
    </row>
    <row r="220" spans="1:3" x14ac:dyDescent="0.3">
      <c r="A220" s="4">
        <v>67</v>
      </c>
      <c r="B220" s="4">
        <v>86</v>
      </c>
      <c r="C220" s="4">
        <v>83</v>
      </c>
    </row>
    <row r="221" spans="1:3" x14ac:dyDescent="0.3">
      <c r="A221" s="4">
        <v>73</v>
      </c>
      <c r="B221" s="4">
        <v>80</v>
      </c>
      <c r="C221" s="4">
        <v>82</v>
      </c>
    </row>
    <row r="222" spans="1:3" x14ac:dyDescent="0.3">
      <c r="A222" s="4">
        <v>84</v>
      </c>
      <c r="B222" s="4">
        <v>77</v>
      </c>
      <c r="C222" s="4">
        <v>74</v>
      </c>
    </row>
    <row r="223" spans="1:3" x14ac:dyDescent="0.3">
      <c r="A223" s="4">
        <v>78</v>
      </c>
      <c r="B223" s="4">
        <v>77</v>
      </c>
      <c r="C223" s="4">
        <v>80</v>
      </c>
    </row>
    <row r="224" spans="1:3" x14ac:dyDescent="0.3">
      <c r="A224" s="4">
        <v>74</v>
      </c>
      <c r="B224" s="4">
        <v>79</v>
      </c>
      <c r="C224" s="4">
        <v>82</v>
      </c>
    </row>
    <row r="225" spans="1:3" x14ac:dyDescent="0.3">
      <c r="A225" s="4">
        <v>72</v>
      </c>
      <c r="B225" s="4">
        <v>80</v>
      </c>
      <c r="C225" s="4">
        <v>83</v>
      </c>
    </row>
    <row r="226" spans="1:3" x14ac:dyDescent="0.3">
      <c r="A226" s="4">
        <v>67</v>
      </c>
      <c r="B226" s="4">
        <v>84</v>
      </c>
      <c r="C226" s="4">
        <v>84</v>
      </c>
    </row>
    <row r="227" spans="1:3" x14ac:dyDescent="0.3">
      <c r="A227" s="4">
        <v>69</v>
      </c>
      <c r="B227" s="4">
        <v>84</v>
      </c>
      <c r="C227" s="4">
        <v>82</v>
      </c>
    </row>
    <row r="228" spans="1:3" x14ac:dyDescent="0.3">
      <c r="A228" s="4">
        <v>75</v>
      </c>
      <c r="B228" s="4">
        <v>77</v>
      </c>
      <c r="C228" s="4">
        <v>83</v>
      </c>
    </row>
    <row r="229" spans="1:3" x14ac:dyDescent="0.3">
      <c r="A229" s="4">
        <v>61</v>
      </c>
      <c r="B229" s="4">
        <v>86</v>
      </c>
      <c r="C229" s="4">
        <v>87</v>
      </c>
    </row>
    <row r="230" spans="1:3" x14ac:dyDescent="0.3">
      <c r="A230" s="4">
        <v>82</v>
      </c>
      <c r="B230" s="4">
        <v>78</v>
      </c>
      <c r="C230" s="4">
        <v>74</v>
      </c>
    </row>
    <row r="231" spans="1:3" x14ac:dyDescent="0.3">
      <c r="A231" s="4">
        <v>83</v>
      </c>
      <c r="B231" s="4">
        <v>78</v>
      </c>
      <c r="C231" s="4">
        <v>73</v>
      </c>
    </row>
    <row r="232" spans="1:3" x14ac:dyDescent="0.3">
      <c r="A232" s="4">
        <v>82</v>
      </c>
      <c r="B232" s="4">
        <v>75</v>
      </c>
      <c r="C232" s="4">
        <v>77</v>
      </c>
    </row>
    <row r="233" spans="1:3" x14ac:dyDescent="0.3">
      <c r="A233" s="4">
        <v>79</v>
      </c>
      <c r="B233" s="4">
        <v>82</v>
      </c>
      <c r="C233" s="4">
        <v>73</v>
      </c>
    </row>
    <row r="234" spans="1:3" x14ac:dyDescent="0.3">
      <c r="A234" s="4">
        <v>64</v>
      </c>
      <c r="B234" s="4">
        <v>85</v>
      </c>
      <c r="C234" s="4">
        <v>85</v>
      </c>
    </row>
    <row r="235" spans="1:3" x14ac:dyDescent="0.3">
      <c r="A235" s="4">
        <v>79</v>
      </c>
      <c r="B235" s="4">
        <v>78</v>
      </c>
      <c r="C235" s="4">
        <v>77</v>
      </c>
    </row>
    <row r="236" spans="1:3" x14ac:dyDescent="0.3">
      <c r="A236" s="4">
        <v>76</v>
      </c>
      <c r="B236" s="4">
        <v>78</v>
      </c>
      <c r="C236" s="4">
        <v>80</v>
      </c>
    </row>
    <row r="237" spans="1:3" x14ac:dyDescent="0.3">
      <c r="A237" s="4">
        <v>90</v>
      </c>
      <c r="B237" s="4">
        <v>75</v>
      </c>
      <c r="C237" s="4">
        <v>69</v>
      </c>
    </row>
    <row r="238" spans="1:3" x14ac:dyDescent="0.3">
      <c r="A238" s="4">
        <v>81</v>
      </c>
      <c r="B238" s="4">
        <v>75</v>
      </c>
      <c r="C238" s="4">
        <v>78</v>
      </c>
    </row>
    <row r="239" spans="1:3" x14ac:dyDescent="0.3">
      <c r="A239" s="4">
        <v>78</v>
      </c>
      <c r="B239" s="4">
        <v>79</v>
      </c>
      <c r="C239" s="4">
        <v>76</v>
      </c>
    </row>
    <row r="240" spans="1:3" x14ac:dyDescent="0.3">
      <c r="A240" s="4">
        <v>83</v>
      </c>
      <c r="B240" s="4">
        <v>72</v>
      </c>
      <c r="C240" s="4">
        <v>78</v>
      </c>
    </row>
    <row r="241" spans="1:3" x14ac:dyDescent="0.3">
      <c r="A241" s="4">
        <v>74</v>
      </c>
      <c r="B241" s="4">
        <v>79</v>
      </c>
      <c r="C241" s="4">
        <v>80</v>
      </c>
    </row>
    <row r="242" spans="1:3" x14ac:dyDescent="0.3">
      <c r="A242" s="4">
        <v>65</v>
      </c>
      <c r="B242" s="4">
        <v>84</v>
      </c>
      <c r="C242" s="4">
        <v>84</v>
      </c>
    </row>
    <row r="243" spans="1:3" x14ac:dyDescent="0.3">
      <c r="A243" s="4">
        <v>72</v>
      </c>
      <c r="B243" s="4">
        <v>79</v>
      </c>
      <c r="C243" s="4">
        <v>82</v>
      </c>
    </row>
    <row r="244" spans="1:3" x14ac:dyDescent="0.3">
      <c r="A244" s="4">
        <v>71</v>
      </c>
      <c r="B244" s="4">
        <v>83</v>
      </c>
      <c r="C244" s="4">
        <v>78</v>
      </c>
    </row>
    <row r="245" spans="1:3" x14ac:dyDescent="0.3">
      <c r="A245" s="4">
        <v>80</v>
      </c>
      <c r="B245" s="4">
        <v>75</v>
      </c>
      <c r="C245" s="4">
        <v>77</v>
      </c>
    </row>
    <row r="246" spans="1:3" x14ac:dyDescent="0.3">
      <c r="A246" s="4">
        <v>85</v>
      </c>
      <c r="B246" s="4">
        <v>76</v>
      </c>
      <c r="C246" s="4">
        <v>71</v>
      </c>
    </row>
    <row r="247" spans="1:3" x14ac:dyDescent="0.3">
      <c r="A247" s="4">
        <v>80</v>
      </c>
      <c r="B247" s="4">
        <v>80</v>
      </c>
      <c r="C247" s="4">
        <v>72</v>
      </c>
    </row>
    <row r="248" spans="1:3" x14ac:dyDescent="0.3">
      <c r="A248" s="4">
        <v>67</v>
      </c>
      <c r="B248" s="4">
        <v>84</v>
      </c>
      <c r="C248" s="4">
        <v>81</v>
      </c>
    </row>
    <row r="249" spans="1:3" x14ac:dyDescent="0.3">
      <c r="A249" s="4">
        <v>74</v>
      </c>
      <c r="B249" s="4">
        <v>75</v>
      </c>
      <c r="C249" s="4">
        <v>83</v>
      </c>
    </row>
    <row r="250" spans="1:3" x14ac:dyDescent="0.3">
      <c r="A250" s="4">
        <v>71</v>
      </c>
      <c r="B250" s="4">
        <v>81</v>
      </c>
      <c r="C250" s="4">
        <v>80</v>
      </c>
    </row>
    <row r="251" spans="1:3" x14ac:dyDescent="0.3">
      <c r="A251" s="4">
        <v>84</v>
      </c>
      <c r="B251" s="4">
        <v>77</v>
      </c>
      <c r="C251" s="4">
        <v>71</v>
      </c>
    </row>
    <row r="252" spans="1:3" x14ac:dyDescent="0.3">
      <c r="A252" s="4">
        <v>73</v>
      </c>
      <c r="B252" s="4">
        <v>83</v>
      </c>
      <c r="C252" s="4">
        <v>76</v>
      </c>
    </row>
    <row r="253" spans="1:3" x14ac:dyDescent="0.3">
      <c r="A253" s="4">
        <v>66</v>
      </c>
      <c r="B253" s="4">
        <v>83</v>
      </c>
      <c r="C253" s="4">
        <v>83</v>
      </c>
    </row>
    <row r="254" spans="1:3" x14ac:dyDescent="0.3">
      <c r="A254" s="4">
        <v>72</v>
      </c>
      <c r="B254" s="4">
        <v>81</v>
      </c>
      <c r="C254" s="4">
        <v>79</v>
      </c>
    </row>
    <row r="255" spans="1:3" x14ac:dyDescent="0.3">
      <c r="A255" s="4">
        <v>87</v>
      </c>
      <c r="B255" s="4">
        <v>73</v>
      </c>
      <c r="C255" s="4">
        <v>72</v>
      </c>
    </row>
    <row r="256" spans="1:3" x14ac:dyDescent="0.3">
      <c r="A256" s="4">
        <v>81</v>
      </c>
      <c r="B256" s="4">
        <v>75</v>
      </c>
      <c r="C256" s="4">
        <v>76</v>
      </c>
    </row>
    <row r="257" spans="1:3" x14ac:dyDescent="0.3">
      <c r="A257" s="4">
        <v>87</v>
      </c>
      <c r="B257" s="4">
        <v>74</v>
      </c>
      <c r="C257" s="4">
        <v>70</v>
      </c>
    </row>
    <row r="258" spans="1:3" x14ac:dyDescent="0.3">
      <c r="A258" s="4">
        <v>74</v>
      </c>
      <c r="B258" s="4">
        <v>81</v>
      </c>
      <c r="C258" s="4">
        <v>76</v>
      </c>
    </row>
    <row r="259" spans="1:3" x14ac:dyDescent="0.3">
      <c r="A259" s="4">
        <v>65</v>
      </c>
      <c r="B259" s="4">
        <v>86</v>
      </c>
      <c r="C259" s="4">
        <v>80</v>
      </c>
    </row>
    <row r="260" spans="1:3" x14ac:dyDescent="0.3">
      <c r="A260" s="4">
        <v>71</v>
      </c>
      <c r="B260" s="4">
        <v>83</v>
      </c>
      <c r="C260" s="4">
        <v>77</v>
      </c>
    </row>
    <row r="261" spans="1:3" x14ac:dyDescent="0.3">
      <c r="A261" s="4">
        <v>79</v>
      </c>
      <c r="B261" s="4">
        <v>81</v>
      </c>
      <c r="C261" s="4">
        <v>71</v>
      </c>
    </row>
    <row r="262" spans="1:3" x14ac:dyDescent="0.3">
      <c r="A262" s="4">
        <v>73</v>
      </c>
      <c r="B262" s="4">
        <v>79</v>
      </c>
      <c r="C262" s="4">
        <v>79</v>
      </c>
    </row>
    <row r="263" spans="1:3" x14ac:dyDescent="0.3">
      <c r="A263" s="4">
        <v>79</v>
      </c>
      <c r="B263" s="4">
        <v>77</v>
      </c>
      <c r="C263" s="4">
        <v>75</v>
      </c>
    </row>
    <row r="264" spans="1:3" x14ac:dyDescent="0.3">
      <c r="A264" s="4">
        <v>74</v>
      </c>
      <c r="B264" s="4">
        <v>75</v>
      </c>
      <c r="C264" s="4">
        <v>82</v>
      </c>
    </row>
    <row r="265" spans="1:3" x14ac:dyDescent="0.3">
      <c r="A265" s="4">
        <v>77</v>
      </c>
      <c r="B265" s="4">
        <v>76</v>
      </c>
      <c r="C265" s="4">
        <v>77</v>
      </c>
    </row>
    <row r="266" spans="1:3" x14ac:dyDescent="0.3">
      <c r="A266" s="4">
        <v>67</v>
      </c>
      <c r="B266" s="4">
        <v>79</v>
      </c>
      <c r="C266" s="4">
        <v>84</v>
      </c>
    </row>
    <row r="267" spans="1:3" x14ac:dyDescent="0.3">
      <c r="A267" s="4">
        <v>71</v>
      </c>
      <c r="B267" s="4">
        <v>76</v>
      </c>
      <c r="C267" s="4">
        <v>83</v>
      </c>
    </row>
    <row r="268" spans="1:3" x14ac:dyDescent="0.3">
      <c r="A268" s="4">
        <v>81</v>
      </c>
      <c r="B268" s="4">
        <v>72</v>
      </c>
      <c r="C268" s="4">
        <v>77</v>
      </c>
    </row>
    <row r="269" spans="1:3" x14ac:dyDescent="0.3">
      <c r="A269" s="4">
        <v>75</v>
      </c>
      <c r="B269" s="4">
        <v>81</v>
      </c>
      <c r="C269" s="4">
        <v>74</v>
      </c>
    </row>
    <row r="270" spans="1:3" x14ac:dyDescent="0.3">
      <c r="A270" s="4">
        <v>76</v>
      </c>
      <c r="B270" s="4">
        <v>78</v>
      </c>
      <c r="C270" s="4">
        <v>75</v>
      </c>
    </row>
    <row r="271" spans="1:3" x14ac:dyDescent="0.3">
      <c r="A271" s="4">
        <v>68</v>
      </c>
      <c r="B271" s="4">
        <v>83</v>
      </c>
      <c r="C271" s="4">
        <v>78</v>
      </c>
    </row>
    <row r="272" spans="1:3" x14ac:dyDescent="0.3">
      <c r="A272" s="4">
        <v>86</v>
      </c>
      <c r="B272" s="4">
        <v>73</v>
      </c>
      <c r="C272" s="4">
        <v>70</v>
      </c>
    </row>
    <row r="273" spans="1:3" x14ac:dyDescent="0.3">
      <c r="A273" s="4">
        <v>73</v>
      </c>
      <c r="B273" s="4">
        <v>76</v>
      </c>
      <c r="C273" s="4">
        <v>80</v>
      </c>
    </row>
    <row r="274" spans="1:3" x14ac:dyDescent="0.3">
      <c r="A274" s="4">
        <v>69</v>
      </c>
      <c r="B274" s="4">
        <v>79</v>
      </c>
      <c r="C274" s="4">
        <v>81</v>
      </c>
    </row>
    <row r="275" spans="1:3" x14ac:dyDescent="0.3">
      <c r="A275" s="4">
        <v>76</v>
      </c>
      <c r="B275" s="4">
        <v>80</v>
      </c>
      <c r="C275" s="4">
        <v>73</v>
      </c>
    </row>
    <row r="276" spans="1:3" x14ac:dyDescent="0.3">
      <c r="A276" s="4">
        <v>74</v>
      </c>
      <c r="B276" s="4">
        <v>79</v>
      </c>
      <c r="C276" s="4">
        <v>75</v>
      </c>
    </row>
    <row r="277" spans="1:3" x14ac:dyDescent="0.3">
      <c r="A277" s="4">
        <v>74</v>
      </c>
      <c r="B277" s="4">
        <v>75</v>
      </c>
      <c r="C277" s="4">
        <v>79</v>
      </c>
    </row>
    <row r="278" spans="1:3" x14ac:dyDescent="0.3">
      <c r="A278" s="4">
        <v>73</v>
      </c>
      <c r="B278" s="4">
        <v>75</v>
      </c>
      <c r="C278" s="4">
        <v>80</v>
      </c>
    </row>
    <row r="279" spans="1:3" x14ac:dyDescent="0.3">
      <c r="A279" s="4">
        <v>65</v>
      </c>
      <c r="B279" s="4">
        <v>82</v>
      </c>
      <c r="C279" s="4">
        <v>81</v>
      </c>
    </row>
    <row r="280" spans="1:3" x14ac:dyDescent="0.3">
      <c r="A280" s="4">
        <v>67</v>
      </c>
      <c r="B280" s="4">
        <v>80</v>
      </c>
      <c r="C280" s="4">
        <v>81</v>
      </c>
    </row>
    <row r="281" spans="1:3" x14ac:dyDescent="0.3">
      <c r="A281" s="4">
        <v>70</v>
      </c>
      <c r="B281" s="4">
        <v>82</v>
      </c>
      <c r="C281" s="4">
        <v>76</v>
      </c>
    </row>
    <row r="282" spans="1:3" x14ac:dyDescent="0.3">
      <c r="A282" s="4">
        <v>85</v>
      </c>
      <c r="B282" s="4">
        <v>75</v>
      </c>
      <c r="C282" s="4">
        <v>68</v>
      </c>
    </row>
    <row r="283" spans="1:3" x14ac:dyDescent="0.3">
      <c r="A283" s="4">
        <v>77</v>
      </c>
      <c r="B283" s="4">
        <v>78</v>
      </c>
      <c r="C283" s="4">
        <v>73</v>
      </c>
    </row>
    <row r="284" spans="1:3" x14ac:dyDescent="0.3">
      <c r="A284" s="4">
        <v>72</v>
      </c>
      <c r="B284" s="4">
        <v>79</v>
      </c>
      <c r="C284" s="4">
        <v>77</v>
      </c>
    </row>
    <row r="285" spans="1:3" x14ac:dyDescent="0.3">
      <c r="A285" s="4">
        <v>65</v>
      </c>
      <c r="B285" s="4">
        <v>81</v>
      </c>
      <c r="C285" s="4">
        <v>81</v>
      </c>
    </row>
    <row r="286" spans="1:3" x14ac:dyDescent="0.3">
      <c r="A286" s="4">
        <v>72</v>
      </c>
      <c r="B286" s="4">
        <v>80</v>
      </c>
      <c r="C286" s="4">
        <v>75</v>
      </c>
    </row>
    <row r="287" spans="1:3" x14ac:dyDescent="0.3">
      <c r="A287" s="4">
        <v>67</v>
      </c>
      <c r="B287" s="4">
        <v>81</v>
      </c>
      <c r="C287" s="4">
        <v>79</v>
      </c>
    </row>
    <row r="288" spans="1:3" x14ac:dyDescent="0.3">
      <c r="A288" s="4">
        <v>65</v>
      </c>
      <c r="B288" s="4">
        <v>81</v>
      </c>
      <c r="C288" s="4">
        <v>81</v>
      </c>
    </row>
    <row r="289" spans="1:3" x14ac:dyDescent="0.3">
      <c r="A289" s="4">
        <v>73</v>
      </c>
      <c r="B289" s="4">
        <v>78</v>
      </c>
      <c r="C289" s="4">
        <v>76</v>
      </c>
    </row>
    <row r="290" spans="1:3" x14ac:dyDescent="0.3">
      <c r="A290" s="4">
        <v>73</v>
      </c>
      <c r="B290" s="4">
        <v>76</v>
      </c>
      <c r="C290" s="4">
        <v>78</v>
      </c>
    </row>
    <row r="291" spans="1:3" x14ac:dyDescent="0.3">
      <c r="A291" s="4">
        <v>77</v>
      </c>
      <c r="B291" s="4">
        <v>77</v>
      </c>
      <c r="C291" s="4">
        <v>73</v>
      </c>
    </row>
    <row r="292" spans="1:3" x14ac:dyDescent="0.3">
      <c r="A292" s="4">
        <v>73</v>
      </c>
      <c r="B292" s="4">
        <v>76</v>
      </c>
      <c r="C292" s="4">
        <v>78</v>
      </c>
    </row>
    <row r="293" spans="1:3" x14ac:dyDescent="0.3">
      <c r="A293" s="4">
        <v>74</v>
      </c>
      <c r="B293" s="4">
        <v>77</v>
      </c>
      <c r="C293" s="4">
        <v>76</v>
      </c>
    </row>
    <row r="294" spans="1:3" x14ac:dyDescent="0.3">
      <c r="A294" s="4">
        <v>75</v>
      </c>
      <c r="B294" s="4">
        <v>81</v>
      </c>
      <c r="C294" s="4">
        <v>71</v>
      </c>
    </row>
    <row r="295" spans="1:3" x14ac:dyDescent="0.3">
      <c r="A295" s="4">
        <v>70</v>
      </c>
      <c r="B295" s="4">
        <v>78</v>
      </c>
      <c r="C295" s="4">
        <v>78</v>
      </c>
    </row>
    <row r="296" spans="1:3" x14ac:dyDescent="0.3">
      <c r="A296" s="4">
        <v>84</v>
      </c>
      <c r="B296" s="4">
        <v>73</v>
      </c>
      <c r="C296" s="4">
        <v>69</v>
      </c>
    </row>
    <row r="297" spans="1:3" x14ac:dyDescent="0.3">
      <c r="A297" s="4">
        <v>81</v>
      </c>
      <c r="B297" s="4">
        <v>73</v>
      </c>
      <c r="C297" s="4">
        <v>72</v>
      </c>
    </row>
    <row r="298" spans="1:3" x14ac:dyDescent="0.3">
      <c r="A298" s="4">
        <v>74</v>
      </c>
      <c r="B298" s="4">
        <v>81</v>
      </c>
      <c r="C298" s="4">
        <v>71</v>
      </c>
    </row>
    <row r="299" spans="1:3" x14ac:dyDescent="0.3">
      <c r="A299" s="4">
        <v>76</v>
      </c>
      <c r="B299" s="4">
        <v>76</v>
      </c>
      <c r="C299" s="4">
        <v>74</v>
      </c>
    </row>
    <row r="300" spans="1:3" x14ac:dyDescent="0.3">
      <c r="A300" s="4">
        <v>81</v>
      </c>
      <c r="B300" s="4">
        <v>74</v>
      </c>
      <c r="C300" s="4">
        <v>71</v>
      </c>
    </row>
    <row r="301" spans="1:3" x14ac:dyDescent="0.3">
      <c r="A301" s="4">
        <v>74</v>
      </c>
      <c r="B301" s="4">
        <v>71</v>
      </c>
      <c r="C301" s="4">
        <v>80</v>
      </c>
    </row>
    <row r="302" spans="1:3" x14ac:dyDescent="0.3">
      <c r="A302" s="4">
        <v>79</v>
      </c>
      <c r="B302" s="4">
        <v>74</v>
      </c>
      <c r="C302" s="4">
        <v>72</v>
      </c>
    </row>
    <row r="303" spans="1:3" x14ac:dyDescent="0.3">
      <c r="A303" s="4">
        <v>71</v>
      </c>
      <c r="B303" s="4">
        <v>77</v>
      </c>
      <c r="C303" s="4">
        <v>77</v>
      </c>
    </row>
    <row r="304" spans="1:3" x14ac:dyDescent="0.3">
      <c r="A304" s="4">
        <v>68</v>
      </c>
      <c r="B304" s="4">
        <v>77</v>
      </c>
      <c r="C304" s="4">
        <v>80</v>
      </c>
    </row>
    <row r="305" spans="1:3" x14ac:dyDescent="0.3">
      <c r="A305" s="4">
        <v>81</v>
      </c>
      <c r="B305" s="4">
        <v>71</v>
      </c>
      <c r="C305" s="4">
        <v>73</v>
      </c>
    </row>
    <row r="306" spans="1:3" x14ac:dyDescent="0.3">
      <c r="A306" s="4">
        <v>80</v>
      </c>
      <c r="B306" s="4">
        <v>73</v>
      </c>
      <c r="C306" s="4">
        <v>72</v>
      </c>
    </row>
    <row r="307" spans="1:3" x14ac:dyDescent="0.3">
      <c r="A307" s="4">
        <v>72</v>
      </c>
      <c r="B307" s="4">
        <v>79</v>
      </c>
      <c r="C307" s="4">
        <v>74</v>
      </c>
    </row>
    <row r="308" spans="1:3" x14ac:dyDescent="0.3">
      <c r="A308" s="4">
        <v>65</v>
      </c>
      <c r="B308" s="4">
        <v>79</v>
      </c>
      <c r="C308" s="4">
        <v>81</v>
      </c>
    </row>
    <row r="309" spans="1:3" x14ac:dyDescent="0.3">
      <c r="A309" s="4">
        <v>65</v>
      </c>
      <c r="B309" s="4">
        <v>78</v>
      </c>
      <c r="C309" s="4">
        <v>82</v>
      </c>
    </row>
    <row r="310" spans="1:3" x14ac:dyDescent="0.3">
      <c r="A310" s="4">
        <v>73</v>
      </c>
      <c r="B310" s="4">
        <v>78</v>
      </c>
      <c r="C310" s="4">
        <v>74</v>
      </c>
    </row>
    <row r="311" spans="1:3" x14ac:dyDescent="0.3">
      <c r="A311" s="4">
        <v>65</v>
      </c>
      <c r="B311" s="4">
        <v>82</v>
      </c>
      <c r="C311" s="4">
        <v>78</v>
      </c>
    </row>
    <row r="312" spans="1:3" x14ac:dyDescent="0.3">
      <c r="A312" s="4">
        <v>68</v>
      </c>
      <c r="B312" s="4">
        <v>75</v>
      </c>
      <c r="C312" s="4">
        <v>81</v>
      </c>
    </row>
    <row r="313" spans="1:3" x14ac:dyDescent="0.3">
      <c r="A313" s="4">
        <v>59</v>
      </c>
      <c r="B313" s="4">
        <v>85</v>
      </c>
      <c r="C313" s="4">
        <v>80</v>
      </c>
    </row>
    <row r="314" spans="1:3" x14ac:dyDescent="0.3">
      <c r="A314" s="4">
        <v>67</v>
      </c>
      <c r="B314" s="4">
        <v>78</v>
      </c>
      <c r="C314" s="4">
        <v>79</v>
      </c>
    </row>
    <row r="315" spans="1:3" x14ac:dyDescent="0.3">
      <c r="A315" s="4">
        <v>68</v>
      </c>
      <c r="B315" s="4">
        <v>80</v>
      </c>
      <c r="C315" s="4">
        <v>76</v>
      </c>
    </row>
    <row r="316" spans="1:3" x14ac:dyDescent="0.3">
      <c r="A316" s="4">
        <v>74</v>
      </c>
      <c r="B316" s="4">
        <v>77</v>
      </c>
      <c r="C316" s="4">
        <v>73</v>
      </c>
    </row>
    <row r="317" spans="1:3" x14ac:dyDescent="0.3">
      <c r="A317" s="4">
        <v>69</v>
      </c>
      <c r="B317" s="4">
        <v>77</v>
      </c>
      <c r="C317" s="4">
        <v>78</v>
      </c>
    </row>
    <row r="318" spans="1:3" x14ac:dyDescent="0.3">
      <c r="A318" s="4">
        <v>80</v>
      </c>
      <c r="B318" s="4">
        <v>75</v>
      </c>
      <c r="C318" s="4">
        <v>69</v>
      </c>
    </row>
    <row r="319" spans="1:3" x14ac:dyDescent="0.3">
      <c r="A319" s="4">
        <v>78</v>
      </c>
      <c r="B319" s="4">
        <v>74</v>
      </c>
      <c r="C319" s="4">
        <v>72</v>
      </c>
    </row>
    <row r="320" spans="1:3" x14ac:dyDescent="0.3">
      <c r="A320" s="4">
        <v>74</v>
      </c>
      <c r="B320" s="4">
        <v>71</v>
      </c>
      <c r="C320" s="4">
        <v>78</v>
      </c>
    </row>
    <row r="321" spans="1:3" x14ac:dyDescent="0.3">
      <c r="A321" s="4">
        <v>70</v>
      </c>
      <c r="B321" s="4">
        <v>75</v>
      </c>
      <c r="C321" s="4">
        <v>78</v>
      </c>
    </row>
    <row r="322" spans="1:3" x14ac:dyDescent="0.3">
      <c r="A322" s="4">
        <v>63</v>
      </c>
      <c r="B322" s="4">
        <v>80</v>
      </c>
      <c r="C322" s="4">
        <v>80</v>
      </c>
    </row>
    <row r="323" spans="1:3" x14ac:dyDescent="0.3">
      <c r="A323" s="4">
        <v>69</v>
      </c>
      <c r="B323" s="4">
        <v>77</v>
      </c>
      <c r="C323" s="4">
        <v>77</v>
      </c>
    </row>
    <row r="324" spans="1:3" x14ac:dyDescent="0.3">
      <c r="A324" s="4">
        <v>74</v>
      </c>
      <c r="B324" s="4">
        <v>76</v>
      </c>
      <c r="C324" s="4">
        <v>73</v>
      </c>
    </row>
    <row r="325" spans="1:3" x14ac:dyDescent="0.3">
      <c r="A325" s="4">
        <v>76</v>
      </c>
      <c r="B325" s="4">
        <v>74</v>
      </c>
      <c r="C325" s="4">
        <v>73</v>
      </c>
    </row>
    <row r="326" spans="1:3" x14ac:dyDescent="0.3">
      <c r="A326" s="4">
        <v>69</v>
      </c>
      <c r="B326" s="4">
        <v>78</v>
      </c>
      <c r="C326" s="4">
        <v>76</v>
      </c>
    </row>
    <row r="327" spans="1:3" x14ac:dyDescent="0.3">
      <c r="A327" s="4">
        <v>73</v>
      </c>
      <c r="B327" s="4">
        <v>78</v>
      </c>
      <c r="C327" s="4">
        <v>72</v>
      </c>
    </row>
    <row r="328" spans="1:3" x14ac:dyDescent="0.3">
      <c r="A328" s="4">
        <v>69</v>
      </c>
      <c r="B328" s="4">
        <v>77</v>
      </c>
      <c r="C328" s="4">
        <v>77</v>
      </c>
    </row>
    <row r="329" spans="1:3" x14ac:dyDescent="0.3">
      <c r="A329" s="4">
        <v>64</v>
      </c>
      <c r="B329" s="4">
        <v>82</v>
      </c>
      <c r="C329" s="4">
        <v>77</v>
      </c>
    </row>
    <row r="330" spans="1:3" x14ac:dyDescent="0.3">
      <c r="A330" s="4">
        <v>68</v>
      </c>
      <c r="B330" s="4">
        <v>78</v>
      </c>
      <c r="C330" s="4">
        <v>77</v>
      </c>
    </row>
    <row r="331" spans="1:3" x14ac:dyDescent="0.3">
      <c r="A331" s="4">
        <v>69</v>
      </c>
      <c r="B331" s="4">
        <v>75</v>
      </c>
      <c r="C331" s="4">
        <v>78</v>
      </c>
    </row>
    <row r="332" spans="1:3" x14ac:dyDescent="0.3">
      <c r="A332" s="4">
        <v>77</v>
      </c>
      <c r="B332" s="4">
        <v>68</v>
      </c>
      <c r="C332" s="4">
        <v>77</v>
      </c>
    </row>
    <row r="333" spans="1:3" x14ac:dyDescent="0.3">
      <c r="A333" s="4">
        <v>66</v>
      </c>
      <c r="B333" s="4">
        <v>78</v>
      </c>
      <c r="C333" s="4">
        <v>78</v>
      </c>
    </row>
    <row r="334" spans="1:3" x14ac:dyDescent="0.3">
      <c r="A334" s="4">
        <v>85</v>
      </c>
      <c r="B334" s="4">
        <v>66</v>
      </c>
      <c r="C334" s="4">
        <v>71</v>
      </c>
    </row>
    <row r="335" spans="1:3" x14ac:dyDescent="0.3">
      <c r="A335" s="4">
        <v>75</v>
      </c>
      <c r="B335" s="4">
        <v>73</v>
      </c>
      <c r="C335" s="4">
        <v>74</v>
      </c>
    </row>
    <row r="336" spans="1:3" x14ac:dyDescent="0.3">
      <c r="A336" s="4">
        <v>71</v>
      </c>
      <c r="B336" s="4">
        <v>71</v>
      </c>
      <c r="C336" s="4">
        <v>80</v>
      </c>
    </row>
    <row r="337" spans="1:3" x14ac:dyDescent="0.3">
      <c r="A337" s="4">
        <v>71</v>
      </c>
      <c r="B337" s="4">
        <v>79</v>
      </c>
      <c r="C337" s="4">
        <v>71</v>
      </c>
    </row>
    <row r="338" spans="1:3" x14ac:dyDescent="0.3">
      <c r="A338" s="4">
        <v>80</v>
      </c>
      <c r="B338" s="4">
        <v>76</v>
      </c>
      <c r="C338" s="4">
        <v>65</v>
      </c>
    </row>
    <row r="339" spans="1:3" x14ac:dyDescent="0.3">
      <c r="A339" s="4">
        <v>63</v>
      </c>
      <c r="B339" s="4">
        <v>78</v>
      </c>
      <c r="C339" s="4">
        <v>80</v>
      </c>
    </row>
    <row r="340" spans="1:3" x14ac:dyDescent="0.3">
      <c r="A340" s="4">
        <v>66</v>
      </c>
      <c r="B340" s="4">
        <v>74</v>
      </c>
      <c r="C340" s="4">
        <v>81</v>
      </c>
    </row>
    <row r="341" spans="1:3" x14ac:dyDescent="0.3">
      <c r="A341" s="4">
        <v>66</v>
      </c>
      <c r="B341" s="4">
        <v>74</v>
      </c>
      <c r="C341" s="4">
        <v>81</v>
      </c>
    </row>
    <row r="342" spans="1:3" x14ac:dyDescent="0.3">
      <c r="A342" s="4">
        <v>78</v>
      </c>
      <c r="B342" s="4">
        <v>72</v>
      </c>
      <c r="C342" s="4">
        <v>70</v>
      </c>
    </row>
    <row r="343" spans="1:3" x14ac:dyDescent="0.3">
      <c r="A343" s="4">
        <v>69</v>
      </c>
      <c r="B343" s="4">
        <v>80</v>
      </c>
      <c r="C343" s="4">
        <v>71</v>
      </c>
    </row>
    <row r="344" spans="1:3" x14ac:dyDescent="0.3">
      <c r="A344" s="4">
        <v>64</v>
      </c>
      <c r="B344" s="4">
        <v>79</v>
      </c>
      <c r="C344" s="4">
        <v>77</v>
      </c>
    </row>
    <row r="345" spans="1:3" x14ac:dyDescent="0.3">
      <c r="A345" s="4">
        <v>80</v>
      </c>
      <c r="B345" s="4">
        <v>76</v>
      </c>
      <c r="C345" s="4">
        <v>64</v>
      </c>
    </row>
    <row r="346" spans="1:3" x14ac:dyDescent="0.3">
      <c r="A346" s="4">
        <v>74</v>
      </c>
      <c r="B346" s="4">
        <v>74</v>
      </c>
      <c r="C346" s="4">
        <v>72</v>
      </c>
    </row>
    <row r="347" spans="1:3" x14ac:dyDescent="0.3">
      <c r="A347" s="4">
        <v>80</v>
      </c>
      <c r="B347" s="4">
        <v>68</v>
      </c>
      <c r="C347" s="4">
        <v>72</v>
      </c>
    </row>
    <row r="348" spans="1:3" x14ac:dyDescent="0.3">
      <c r="A348" s="4">
        <v>76</v>
      </c>
      <c r="B348" s="4">
        <v>71</v>
      </c>
      <c r="C348" s="4">
        <v>73</v>
      </c>
    </row>
    <row r="349" spans="1:3" x14ac:dyDescent="0.3">
      <c r="A349" s="4">
        <v>79</v>
      </c>
      <c r="B349" s="4">
        <v>72</v>
      </c>
      <c r="C349" s="4">
        <v>69</v>
      </c>
    </row>
    <row r="350" spans="1:3" x14ac:dyDescent="0.3">
      <c r="A350" s="4">
        <v>63</v>
      </c>
      <c r="B350" s="4">
        <v>78</v>
      </c>
      <c r="C350" s="4">
        <v>79</v>
      </c>
    </row>
    <row r="351" spans="1:3" x14ac:dyDescent="0.3">
      <c r="A351" s="4">
        <v>74</v>
      </c>
      <c r="B351" s="4">
        <v>74</v>
      </c>
      <c r="C351" s="4">
        <v>72</v>
      </c>
    </row>
    <row r="352" spans="1:3" x14ac:dyDescent="0.3">
      <c r="A352" s="4">
        <v>65</v>
      </c>
      <c r="B352" s="4">
        <v>81</v>
      </c>
      <c r="C352" s="4">
        <v>73</v>
      </c>
    </row>
    <row r="353" spans="1:3" x14ac:dyDescent="0.3">
      <c r="A353" s="4">
        <v>73</v>
      </c>
      <c r="B353" s="4">
        <v>74</v>
      </c>
      <c r="C353" s="4">
        <v>72</v>
      </c>
    </row>
    <row r="354" spans="1:3" x14ac:dyDescent="0.3">
      <c r="A354" s="4">
        <v>76</v>
      </c>
      <c r="B354" s="4">
        <v>72</v>
      </c>
      <c r="C354" s="4">
        <v>71</v>
      </c>
    </row>
    <row r="355" spans="1:3" x14ac:dyDescent="0.3">
      <c r="A355" s="4">
        <v>69</v>
      </c>
      <c r="B355" s="4">
        <v>76</v>
      </c>
      <c r="C355" s="4">
        <v>74</v>
      </c>
    </row>
    <row r="356" spans="1:3" x14ac:dyDescent="0.3">
      <c r="A356" s="4">
        <v>79</v>
      </c>
      <c r="B356" s="4">
        <v>73</v>
      </c>
      <c r="C356" s="4">
        <v>67</v>
      </c>
    </row>
    <row r="357" spans="1:3" x14ac:dyDescent="0.3">
      <c r="A357" s="4">
        <v>76</v>
      </c>
      <c r="B357" s="4">
        <v>71</v>
      </c>
      <c r="C357" s="4">
        <v>72</v>
      </c>
    </row>
    <row r="358" spans="1:3" x14ac:dyDescent="0.3">
      <c r="A358" s="4">
        <v>69</v>
      </c>
      <c r="B358" s="4">
        <v>77</v>
      </c>
      <c r="C358" s="4">
        <v>73</v>
      </c>
    </row>
    <row r="359" spans="1:3" x14ac:dyDescent="0.3">
      <c r="A359" s="4">
        <v>62</v>
      </c>
      <c r="B359" s="4">
        <v>78</v>
      </c>
      <c r="C359" s="4">
        <v>79</v>
      </c>
    </row>
    <row r="360" spans="1:3" x14ac:dyDescent="0.3">
      <c r="A360" s="4">
        <v>78</v>
      </c>
      <c r="B360" s="4">
        <v>72</v>
      </c>
      <c r="C360" s="4">
        <v>69</v>
      </c>
    </row>
    <row r="361" spans="1:3" x14ac:dyDescent="0.3">
      <c r="A361" s="4">
        <v>72</v>
      </c>
      <c r="B361" s="4">
        <v>72</v>
      </c>
      <c r="C361" s="4">
        <v>74</v>
      </c>
    </row>
    <row r="362" spans="1:3" x14ac:dyDescent="0.3">
      <c r="A362" s="4">
        <v>66</v>
      </c>
      <c r="B362" s="4">
        <v>74</v>
      </c>
      <c r="C362" s="4">
        <v>78</v>
      </c>
    </row>
    <row r="363" spans="1:3" x14ac:dyDescent="0.3">
      <c r="A363" s="4">
        <v>75</v>
      </c>
      <c r="B363" s="4">
        <v>74</v>
      </c>
      <c r="C363" s="4">
        <v>69</v>
      </c>
    </row>
    <row r="364" spans="1:3" x14ac:dyDescent="0.3">
      <c r="A364" s="4">
        <v>69</v>
      </c>
      <c r="B364" s="4">
        <v>72</v>
      </c>
      <c r="C364" s="4">
        <v>77</v>
      </c>
    </row>
    <row r="365" spans="1:3" x14ac:dyDescent="0.3">
      <c r="A365" s="4">
        <v>67</v>
      </c>
      <c r="B365" s="4">
        <v>76</v>
      </c>
      <c r="C365" s="4">
        <v>75</v>
      </c>
    </row>
    <row r="366" spans="1:3" x14ac:dyDescent="0.3">
      <c r="A366" s="4">
        <v>73</v>
      </c>
      <c r="B366" s="4">
        <v>70</v>
      </c>
      <c r="C366" s="4">
        <v>75</v>
      </c>
    </row>
    <row r="367" spans="1:3" x14ac:dyDescent="0.3">
      <c r="A367" s="4">
        <v>67</v>
      </c>
      <c r="B367" s="4">
        <v>74</v>
      </c>
      <c r="C367" s="4">
        <v>77</v>
      </c>
    </row>
    <row r="368" spans="1:3" x14ac:dyDescent="0.3">
      <c r="A368" s="4">
        <v>74</v>
      </c>
      <c r="B368" s="4">
        <v>72</v>
      </c>
      <c r="C368" s="4">
        <v>72</v>
      </c>
    </row>
    <row r="369" spans="1:3" x14ac:dyDescent="0.3">
      <c r="A369" s="4">
        <v>70</v>
      </c>
      <c r="B369" s="4">
        <v>72</v>
      </c>
      <c r="C369" s="4">
        <v>76</v>
      </c>
    </row>
    <row r="370" spans="1:3" x14ac:dyDescent="0.3">
      <c r="A370" s="4">
        <v>62</v>
      </c>
      <c r="B370" s="4">
        <v>76</v>
      </c>
      <c r="C370" s="4">
        <v>80</v>
      </c>
    </row>
    <row r="371" spans="1:3" x14ac:dyDescent="0.3">
      <c r="A371" s="4">
        <v>69</v>
      </c>
      <c r="B371" s="4">
        <v>74</v>
      </c>
      <c r="C371" s="4">
        <v>74</v>
      </c>
    </row>
    <row r="372" spans="1:3" x14ac:dyDescent="0.3">
      <c r="A372" s="4">
        <v>76</v>
      </c>
      <c r="B372" s="4">
        <v>73</v>
      </c>
      <c r="C372" s="4">
        <v>68</v>
      </c>
    </row>
    <row r="373" spans="1:3" x14ac:dyDescent="0.3">
      <c r="A373" s="4">
        <v>71</v>
      </c>
      <c r="B373" s="4">
        <v>76</v>
      </c>
      <c r="C373" s="4">
        <v>70</v>
      </c>
    </row>
    <row r="374" spans="1:3" x14ac:dyDescent="0.3">
      <c r="A374" s="4">
        <v>71</v>
      </c>
      <c r="B374" s="4">
        <v>70</v>
      </c>
      <c r="C374" s="4">
        <v>76</v>
      </c>
    </row>
    <row r="375" spans="1:3" x14ac:dyDescent="0.3">
      <c r="A375" s="4">
        <v>65</v>
      </c>
      <c r="B375" s="4">
        <v>76</v>
      </c>
      <c r="C375" s="4">
        <v>76</v>
      </c>
    </row>
    <row r="376" spans="1:3" x14ac:dyDescent="0.3">
      <c r="A376" s="4">
        <v>65</v>
      </c>
      <c r="B376" s="4">
        <v>75</v>
      </c>
      <c r="C376" s="4">
        <v>77</v>
      </c>
    </row>
    <row r="377" spans="1:3" x14ac:dyDescent="0.3">
      <c r="A377" s="4">
        <v>71</v>
      </c>
      <c r="B377" s="4">
        <v>71</v>
      </c>
      <c r="C377" s="4">
        <v>74</v>
      </c>
    </row>
    <row r="378" spans="1:3" x14ac:dyDescent="0.3">
      <c r="A378" s="4">
        <v>68</v>
      </c>
      <c r="B378" s="4">
        <v>74</v>
      </c>
      <c r="C378" s="4">
        <v>74</v>
      </c>
    </row>
    <row r="379" spans="1:3" x14ac:dyDescent="0.3">
      <c r="A379" s="4">
        <v>65</v>
      </c>
      <c r="B379" s="4">
        <v>77</v>
      </c>
      <c r="C379" s="4">
        <v>74</v>
      </c>
    </row>
    <row r="380" spans="1:3" x14ac:dyDescent="0.3">
      <c r="A380" s="4">
        <v>65</v>
      </c>
      <c r="B380" s="4">
        <v>74</v>
      </c>
      <c r="C380" s="4">
        <v>77</v>
      </c>
    </row>
    <row r="381" spans="1:3" x14ac:dyDescent="0.3">
      <c r="A381" s="4">
        <v>65</v>
      </c>
      <c r="B381" s="4">
        <v>77</v>
      </c>
      <c r="C381" s="4">
        <v>74</v>
      </c>
    </row>
    <row r="382" spans="1:3" x14ac:dyDescent="0.3">
      <c r="A382" s="4">
        <v>71</v>
      </c>
      <c r="B382" s="4">
        <v>75</v>
      </c>
      <c r="C382" s="4">
        <v>70</v>
      </c>
    </row>
    <row r="383" spans="1:3" x14ac:dyDescent="0.3">
      <c r="A383" s="4">
        <v>65</v>
      </c>
      <c r="B383" s="4">
        <v>77</v>
      </c>
      <c r="C383" s="4">
        <v>74</v>
      </c>
    </row>
    <row r="384" spans="1:3" x14ac:dyDescent="0.3">
      <c r="A384" s="4">
        <v>66</v>
      </c>
      <c r="B384" s="4">
        <v>77</v>
      </c>
      <c r="C384" s="4">
        <v>73</v>
      </c>
    </row>
    <row r="385" spans="1:3" x14ac:dyDescent="0.3">
      <c r="A385" s="4">
        <v>65</v>
      </c>
      <c r="B385" s="4">
        <v>76</v>
      </c>
      <c r="C385" s="4">
        <v>75</v>
      </c>
    </row>
    <row r="386" spans="1:3" x14ac:dyDescent="0.3">
      <c r="A386" s="4">
        <v>69</v>
      </c>
      <c r="B386" s="4">
        <v>73</v>
      </c>
      <c r="C386" s="4">
        <v>73</v>
      </c>
    </row>
    <row r="387" spans="1:3" x14ac:dyDescent="0.3">
      <c r="A387" s="4">
        <v>69</v>
      </c>
      <c r="B387" s="4">
        <v>77</v>
      </c>
      <c r="C387" s="4">
        <v>69</v>
      </c>
    </row>
    <row r="388" spans="1:3" x14ac:dyDescent="0.3">
      <c r="A388" s="4">
        <v>72</v>
      </c>
      <c r="B388" s="4">
        <v>72</v>
      </c>
      <c r="C388" s="4">
        <v>71</v>
      </c>
    </row>
    <row r="389" spans="1:3" x14ac:dyDescent="0.3">
      <c r="A389" s="4">
        <v>76</v>
      </c>
      <c r="B389" s="4">
        <v>70</v>
      </c>
      <c r="C389" s="4">
        <v>69</v>
      </c>
    </row>
    <row r="390" spans="1:3" x14ac:dyDescent="0.3">
      <c r="A390" s="4">
        <v>75</v>
      </c>
      <c r="B390" s="4">
        <v>74</v>
      </c>
      <c r="C390" s="4">
        <v>66</v>
      </c>
    </row>
    <row r="391" spans="1:3" x14ac:dyDescent="0.3">
      <c r="A391" s="4">
        <v>70</v>
      </c>
      <c r="B391" s="4">
        <v>71</v>
      </c>
      <c r="C391" s="4">
        <v>74</v>
      </c>
    </row>
    <row r="392" spans="1:3" x14ac:dyDescent="0.3">
      <c r="A392" s="4">
        <v>70</v>
      </c>
      <c r="B392" s="4">
        <v>74</v>
      </c>
      <c r="C392" s="4">
        <v>71</v>
      </c>
    </row>
    <row r="393" spans="1:3" x14ac:dyDescent="0.3">
      <c r="A393" s="4">
        <v>69</v>
      </c>
      <c r="B393" s="4">
        <v>75</v>
      </c>
      <c r="C393" s="4">
        <v>71</v>
      </c>
    </row>
    <row r="394" spans="1:3" x14ac:dyDescent="0.3">
      <c r="A394" s="4">
        <v>76</v>
      </c>
      <c r="B394" s="4">
        <v>70</v>
      </c>
      <c r="C394" s="4">
        <v>68</v>
      </c>
    </row>
    <row r="395" spans="1:3" x14ac:dyDescent="0.3">
      <c r="A395" s="4">
        <v>74</v>
      </c>
      <c r="B395" s="4">
        <v>73</v>
      </c>
      <c r="C395" s="4">
        <v>67</v>
      </c>
    </row>
    <row r="396" spans="1:3" x14ac:dyDescent="0.3">
      <c r="A396" s="4">
        <v>75</v>
      </c>
      <c r="B396" s="4">
        <v>66</v>
      </c>
      <c r="C396" s="4">
        <v>73</v>
      </c>
    </row>
    <row r="397" spans="1:3" x14ac:dyDescent="0.3">
      <c r="A397" s="4">
        <v>76</v>
      </c>
      <c r="B397" s="4">
        <v>71</v>
      </c>
      <c r="C397" s="4">
        <v>67</v>
      </c>
    </row>
    <row r="398" spans="1:3" x14ac:dyDescent="0.3">
      <c r="A398" s="4">
        <v>63</v>
      </c>
      <c r="B398" s="4">
        <v>73</v>
      </c>
      <c r="C398" s="4">
        <v>78</v>
      </c>
    </row>
    <row r="399" spans="1:3" x14ac:dyDescent="0.3">
      <c r="A399" s="4">
        <v>57</v>
      </c>
      <c r="B399" s="4">
        <v>78</v>
      </c>
      <c r="C399" s="4">
        <v>79</v>
      </c>
    </row>
    <row r="400" spans="1:3" x14ac:dyDescent="0.3">
      <c r="A400" s="4">
        <v>68</v>
      </c>
      <c r="B400" s="4">
        <v>71</v>
      </c>
      <c r="C400" s="4">
        <v>75</v>
      </c>
    </row>
    <row r="401" spans="1:3" x14ac:dyDescent="0.3">
      <c r="A401" s="4">
        <v>64</v>
      </c>
      <c r="B401" s="4">
        <v>76</v>
      </c>
      <c r="C401" s="4">
        <v>74</v>
      </c>
    </row>
    <row r="402" spans="1:3" x14ac:dyDescent="0.3">
      <c r="A402" s="4">
        <v>67</v>
      </c>
      <c r="B402" s="4">
        <v>75</v>
      </c>
      <c r="C402" s="4">
        <v>72</v>
      </c>
    </row>
    <row r="403" spans="1:3" x14ac:dyDescent="0.3">
      <c r="A403" s="4">
        <v>57</v>
      </c>
      <c r="B403" s="4">
        <v>77</v>
      </c>
      <c r="C403" s="4">
        <v>80</v>
      </c>
    </row>
    <row r="404" spans="1:3" x14ac:dyDescent="0.3">
      <c r="A404" s="4">
        <v>77</v>
      </c>
      <c r="B404" s="4">
        <v>68</v>
      </c>
      <c r="C404" s="4">
        <v>69</v>
      </c>
    </row>
    <row r="405" spans="1:3" x14ac:dyDescent="0.3">
      <c r="A405" s="4">
        <v>66</v>
      </c>
      <c r="B405" s="4">
        <v>71</v>
      </c>
      <c r="C405" s="4">
        <v>76</v>
      </c>
    </row>
    <row r="406" spans="1:3" x14ac:dyDescent="0.3">
      <c r="A406" s="4">
        <v>79</v>
      </c>
      <c r="B406" s="4">
        <v>67</v>
      </c>
      <c r="C406" s="4">
        <v>67</v>
      </c>
    </row>
    <row r="407" spans="1:3" x14ac:dyDescent="0.3">
      <c r="A407" s="4">
        <v>66</v>
      </c>
      <c r="B407" s="4">
        <v>77</v>
      </c>
      <c r="C407" s="4">
        <v>70</v>
      </c>
    </row>
    <row r="408" spans="1:3" x14ac:dyDescent="0.3">
      <c r="A408" s="4">
        <v>65</v>
      </c>
      <c r="B408" s="4">
        <v>73</v>
      </c>
      <c r="C408" s="4">
        <v>75</v>
      </c>
    </row>
    <row r="409" spans="1:3" x14ac:dyDescent="0.3">
      <c r="A409" s="4">
        <v>71</v>
      </c>
      <c r="B409" s="4">
        <v>74</v>
      </c>
      <c r="C409" s="4">
        <v>68</v>
      </c>
    </row>
    <row r="410" spans="1:3" x14ac:dyDescent="0.3">
      <c r="A410" s="4">
        <v>71</v>
      </c>
      <c r="B410" s="4">
        <v>74</v>
      </c>
      <c r="C410" s="4">
        <v>68</v>
      </c>
    </row>
    <row r="411" spans="1:3" x14ac:dyDescent="0.3">
      <c r="A411" s="4">
        <v>59</v>
      </c>
      <c r="B411" s="4">
        <v>78</v>
      </c>
      <c r="C411" s="4">
        <v>76</v>
      </c>
    </row>
    <row r="412" spans="1:3" x14ac:dyDescent="0.3">
      <c r="A412" s="4">
        <v>66</v>
      </c>
      <c r="B412" s="4">
        <v>74</v>
      </c>
      <c r="C412" s="4">
        <v>73</v>
      </c>
    </row>
    <row r="413" spans="1:3" x14ac:dyDescent="0.3">
      <c r="A413" s="4">
        <v>67</v>
      </c>
      <c r="B413" s="4">
        <v>72</v>
      </c>
      <c r="C413" s="4">
        <v>74</v>
      </c>
    </row>
    <row r="414" spans="1:3" x14ac:dyDescent="0.3">
      <c r="A414" s="4">
        <v>64</v>
      </c>
      <c r="B414" s="4">
        <v>74</v>
      </c>
      <c r="C414" s="4">
        <v>75</v>
      </c>
    </row>
    <row r="415" spans="1:3" x14ac:dyDescent="0.3">
      <c r="A415" s="4">
        <v>74</v>
      </c>
      <c r="B415" s="4">
        <v>70</v>
      </c>
      <c r="C415" s="4">
        <v>69</v>
      </c>
    </row>
    <row r="416" spans="1:3" x14ac:dyDescent="0.3">
      <c r="A416" s="4">
        <v>77</v>
      </c>
      <c r="B416" s="4">
        <v>67</v>
      </c>
      <c r="C416" s="4">
        <v>68</v>
      </c>
    </row>
    <row r="417" spans="1:3" x14ac:dyDescent="0.3">
      <c r="A417" s="4">
        <v>58</v>
      </c>
      <c r="B417" s="4">
        <v>76</v>
      </c>
      <c r="C417" s="4">
        <v>78</v>
      </c>
    </row>
    <row r="418" spans="1:3" x14ac:dyDescent="0.3">
      <c r="A418" s="4">
        <v>67</v>
      </c>
      <c r="B418" s="4">
        <v>75</v>
      </c>
      <c r="C418" s="4">
        <v>70</v>
      </c>
    </row>
    <row r="419" spans="1:3" x14ac:dyDescent="0.3">
      <c r="A419" s="4">
        <v>75</v>
      </c>
      <c r="B419" s="4">
        <v>69</v>
      </c>
      <c r="C419" s="4">
        <v>68</v>
      </c>
    </row>
    <row r="420" spans="1:3" x14ac:dyDescent="0.3">
      <c r="A420" s="4">
        <v>67</v>
      </c>
      <c r="B420" s="4">
        <v>69</v>
      </c>
      <c r="C420" s="4">
        <v>75</v>
      </c>
    </row>
    <row r="421" spans="1:3" x14ac:dyDescent="0.3">
      <c r="A421" s="4">
        <v>65</v>
      </c>
      <c r="B421" s="4">
        <v>72</v>
      </c>
      <c r="C421" s="4">
        <v>74</v>
      </c>
    </row>
    <row r="422" spans="1:3" x14ac:dyDescent="0.3">
      <c r="A422" s="4">
        <v>63</v>
      </c>
      <c r="B422" s="4">
        <v>74</v>
      </c>
      <c r="C422" s="4">
        <v>74</v>
      </c>
    </row>
    <row r="423" spans="1:3" x14ac:dyDescent="0.3">
      <c r="A423" s="4">
        <v>59</v>
      </c>
      <c r="B423" s="4">
        <v>72</v>
      </c>
      <c r="C423" s="4">
        <v>80</v>
      </c>
    </row>
    <row r="424" spans="1:3" x14ac:dyDescent="0.3">
      <c r="A424" s="4">
        <v>71</v>
      </c>
      <c r="B424" s="4">
        <v>70</v>
      </c>
      <c r="C424" s="4">
        <v>70</v>
      </c>
    </row>
    <row r="425" spans="1:3" x14ac:dyDescent="0.3">
      <c r="A425" s="4">
        <v>67</v>
      </c>
      <c r="B425" s="4">
        <v>74</v>
      </c>
      <c r="C425" s="4">
        <v>70</v>
      </c>
    </row>
    <row r="426" spans="1:3" x14ac:dyDescent="0.3">
      <c r="A426" s="4">
        <v>81</v>
      </c>
      <c r="B426" s="4">
        <v>66</v>
      </c>
      <c r="C426" s="4">
        <v>64</v>
      </c>
    </row>
    <row r="427" spans="1:3" x14ac:dyDescent="0.3">
      <c r="A427" s="4">
        <v>68</v>
      </c>
      <c r="B427" s="4">
        <v>76</v>
      </c>
      <c r="C427" s="4">
        <v>67</v>
      </c>
    </row>
    <row r="428" spans="1:3" x14ac:dyDescent="0.3">
      <c r="A428" s="4">
        <v>65</v>
      </c>
      <c r="B428" s="4">
        <v>75</v>
      </c>
      <c r="C428" s="4">
        <v>70</v>
      </c>
    </row>
    <row r="429" spans="1:3" x14ac:dyDescent="0.3">
      <c r="A429" s="4">
        <v>76</v>
      </c>
      <c r="B429" s="4">
        <v>67</v>
      </c>
      <c r="C429" s="4">
        <v>67</v>
      </c>
    </row>
    <row r="430" spans="1:3" x14ac:dyDescent="0.3">
      <c r="A430" s="4">
        <v>73</v>
      </c>
      <c r="B430" s="4">
        <v>69</v>
      </c>
      <c r="C430" s="4">
        <v>68</v>
      </c>
    </row>
    <row r="431" spans="1:3" x14ac:dyDescent="0.3">
      <c r="A431" s="4">
        <v>61</v>
      </c>
      <c r="B431" s="4">
        <v>71</v>
      </c>
      <c r="C431" s="4">
        <v>78</v>
      </c>
    </row>
    <row r="432" spans="1:3" x14ac:dyDescent="0.3">
      <c r="A432" s="4">
        <v>66</v>
      </c>
      <c r="B432" s="4">
        <v>76</v>
      </c>
      <c r="C432" s="4">
        <v>68</v>
      </c>
    </row>
    <row r="433" spans="1:3" x14ac:dyDescent="0.3">
      <c r="A433" s="4">
        <v>70</v>
      </c>
      <c r="B433" s="4">
        <v>68</v>
      </c>
      <c r="C433" s="4">
        <v>72</v>
      </c>
    </row>
    <row r="434" spans="1:3" x14ac:dyDescent="0.3">
      <c r="A434" s="4">
        <v>58</v>
      </c>
      <c r="B434" s="4">
        <v>75</v>
      </c>
      <c r="C434" s="4">
        <v>77</v>
      </c>
    </row>
    <row r="435" spans="1:3" x14ac:dyDescent="0.3">
      <c r="A435" s="4">
        <v>70</v>
      </c>
      <c r="B435" s="4">
        <v>70</v>
      </c>
      <c r="C435" s="4">
        <v>70</v>
      </c>
    </row>
    <row r="436" spans="1:3" x14ac:dyDescent="0.3">
      <c r="A436" s="4">
        <v>65</v>
      </c>
      <c r="B436" s="4">
        <v>69</v>
      </c>
      <c r="C436" s="4">
        <v>76</v>
      </c>
    </row>
    <row r="437" spans="1:3" x14ac:dyDescent="0.3">
      <c r="A437" s="4">
        <v>82</v>
      </c>
      <c r="B437" s="4">
        <v>67</v>
      </c>
      <c r="C437" s="4">
        <v>61</v>
      </c>
    </row>
    <row r="438" spans="1:3" x14ac:dyDescent="0.3">
      <c r="A438" s="4">
        <v>80</v>
      </c>
      <c r="B438" s="4">
        <v>64</v>
      </c>
      <c r="C438" s="4">
        <v>66</v>
      </c>
    </row>
    <row r="439" spans="1:3" x14ac:dyDescent="0.3">
      <c r="A439" s="4">
        <v>72</v>
      </c>
      <c r="B439" s="4">
        <v>66</v>
      </c>
      <c r="C439" s="4">
        <v>72</v>
      </c>
    </row>
    <row r="440" spans="1:3" x14ac:dyDescent="0.3">
      <c r="A440" s="4">
        <v>60</v>
      </c>
      <c r="B440" s="4">
        <v>75</v>
      </c>
      <c r="C440" s="4">
        <v>74</v>
      </c>
    </row>
    <row r="441" spans="1:3" x14ac:dyDescent="0.3">
      <c r="A441" s="4">
        <v>75</v>
      </c>
      <c r="B441" s="4">
        <v>72</v>
      </c>
      <c r="C441" s="4">
        <v>62</v>
      </c>
    </row>
    <row r="442" spans="1:3" x14ac:dyDescent="0.3">
      <c r="A442" s="4">
        <v>71</v>
      </c>
      <c r="B442" s="4">
        <v>74</v>
      </c>
      <c r="C442" s="4">
        <v>64</v>
      </c>
    </row>
    <row r="443" spans="1:3" x14ac:dyDescent="0.3">
      <c r="A443" s="4">
        <v>65</v>
      </c>
      <c r="B443" s="4">
        <v>70</v>
      </c>
      <c r="C443" s="4">
        <v>74</v>
      </c>
    </row>
    <row r="444" spans="1:3" x14ac:dyDescent="0.3">
      <c r="A444" s="4">
        <v>66</v>
      </c>
      <c r="B444" s="4">
        <v>74</v>
      </c>
      <c r="C444" s="4">
        <v>69</v>
      </c>
    </row>
    <row r="445" spans="1:3" x14ac:dyDescent="0.3">
      <c r="A445" s="4">
        <v>68</v>
      </c>
      <c r="B445" s="4">
        <v>67</v>
      </c>
      <c r="C445" s="4">
        <v>73</v>
      </c>
    </row>
    <row r="446" spans="1:3" x14ac:dyDescent="0.3">
      <c r="A446" s="4">
        <v>73</v>
      </c>
      <c r="B446" s="4">
        <v>74</v>
      </c>
      <c r="C446" s="4">
        <v>61</v>
      </c>
    </row>
    <row r="447" spans="1:3" x14ac:dyDescent="0.3">
      <c r="A447" s="4">
        <v>71</v>
      </c>
      <c r="B447" s="4">
        <v>69</v>
      </c>
      <c r="C447" s="4">
        <v>68</v>
      </c>
    </row>
    <row r="448" spans="1:3" x14ac:dyDescent="0.3">
      <c r="A448" s="4">
        <v>66</v>
      </c>
      <c r="B448" s="4">
        <v>72</v>
      </c>
      <c r="C448" s="4">
        <v>70</v>
      </c>
    </row>
    <row r="449" spans="1:3" x14ac:dyDescent="0.3">
      <c r="A449" s="4">
        <v>67</v>
      </c>
      <c r="B449" s="4">
        <v>73</v>
      </c>
      <c r="C449" s="4">
        <v>68</v>
      </c>
    </row>
    <row r="450" spans="1:3" x14ac:dyDescent="0.3">
      <c r="A450" s="4">
        <v>75</v>
      </c>
      <c r="B450" s="4">
        <v>68</v>
      </c>
      <c r="C450" s="4">
        <v>65</v>
      </c>
    </row>
    <row r="451" spans="1:3" x14ac:dyDescent="0.3">
      <c r="A451" s="4">
        <v>64</v>
      </c>
      <c r="B451" s="4">
        <v>73</v>
      </c>
      <c r="C451" s="4">
        <v>71</v>
      </c>
    </row>
    <row r="452" spans="1:3" x14ac:dyDescent="0.3">
      <c r="A452" s="4">
        <v>69</v>
      </c>
      <c r="B452" s="4">
        <v>65</v>
      </c>
      <c r="C452" s="4">
        <v>74</v>
      </c>
    </row>
    <row r="453" spans="1:3" x14ac:dyDescent="0.3">
      <c r="A453" s="4">
        <v>62</v>
      </c>
      <c r="B453" s="4">
        <v>72</v>
      </c>
      <c r="C453" s="4">
        <v>74</v>
      </c>
    </row>
    <row r="454" spans="1:3" x14ac:dyDescent="0.3">
      <c r="A454" s="4">
        <v>62</v>
      </c>
      <c r="B454" s="4">
        <v>70</v>
      </c>
      <c r="C454" s="4">
        <v>75</v>
      </c>
    </row>
    <row r="455" spans="1:3" x14ac:dyDescent="0.3">
      <c r="A455" s="4">
        <v>57</v>
      </c>
      <c r="B455" s="4">
        <v>74</v>
      </c>
      <c r="C455" s="4">
        <v>76</v>
      </c>
    </row>
    <row r="456" spans="1:3" x14ac:dyDescent="0.3">
      <c r="A456" s="4">
        <v>61</v>
      </c>
      <c r="B456" s="4">
        <v>74</v>
      </c>
      <c r="C456" s="4">
        <v>72</v>
      </c>
    </row>
    <row r="457" spans="1:3" x14ac:dyDescent="0.3">
      <c r="A457" s="4">
        <v>72</v>
      </c>
      <c r="B457" s="4">
        <v>68</v>
      </c>
      <c r="C457" s="4">
        <v>67</v>
      </c>
    </row>
    <row r="458" spans="1:3" x14ac:dyDescent="0.3">
      <c r="A458" s="4">
        <v>73</v>
      </c>
      <c r="B458" s="4">
        <v>68</v>
      </c>
      <c r="C458" s="4">
        <v>66</v>
      </c>
    </row>
    <row r="459" spans="1:3" x14ac:dyDescent="0.3">
      <c r="A459" s="4">
        <v>73</v>
      </c>
      <c r="B459" s="4">
        <v>68</v>
      </c>
      <c r="C459" s="4">
        <v>66</v>
      </c>
    </row>
    <row r="460" spans="1:3" x14ac:dyDescent="0.3">
      <c r="A460" s="4">
        <v>64</v>
      </c>
      <c r="B460" s="4">
        <v>73</v>
      </c>
      <c r="C460" s="4">
        <v>70</v>
      </c>
    </row>
    <row r="461" spans="1:3" x14ac:dyDescent="0.3">
      <c r="A461" s="4">
        <v>56</v>
      </c>
      <c r="B461" s="4">
        <v>79</v>
      </c>
      <c r="C461" s="4">
        <v>72</v>
      </c>
    </row>
    <row r="462" spans="1:3" x14ac:dyDescent="0.3">
      <c r="A462" s="4">
        <v>63</v>
      </c>
      <c r="B462" s="4">
        <v>73</v>
      </c>
      <c r="C462" s="4">
        <v>71</v>
      </c>
    </row>
    <row r="463" spans="1:3" x14ac:dyDescent="0.3">
      <c r="A463" s="4">
        <v>61</v>
      </c>
      <c r="B463" s="4">
        <v>70</v>
      </c>
      <c r="C463" s="4">
        <v>76</v>
      </c>
    </row>
    <row r="464" spans="1:3" x14ac:dyDescent="0.3">
      <c r="A464" s="4">
        <v>55</v>
      </c>
      <c r="B464" s="4">
        <v>76</v>
      </c>
      <c r="C464" s="4">
        <v>76</v>
      </c>
    </row>
    <row r="465" spans="1:3" x14ac:dyDescent="0.3">
      <c r="A465" s="4">
        <v>75</v>
      </c>
      <c r="B465" s="4">
        <v>68</v>
      </c>
      <c r="C465" s="4">
        <v>64</v>
      </c>
    </row>
    <row r="466" spans="1:3" x14ac:dyDescent="0.3">
      <c r="A466" s="4">
        <v>60</v>
      </c>
      <c r="B466" s="4">
        <v>72</v>
      </c>
      <c r="C466" s="4">
        <v>74</v>
      </c>
    </row>
    <row r="467" spans="1:3" x14ac:dyDescent="0.3">
      <c r="A467" s="4">
        <v>82</v>
      </c>
      <c r="B467" s="4">
        <v>62</v>
      </c>
      <c r="C467" s="4">
        <v>62</v>
      </c>
    </row>
    <row r="468" spans="1:3" x14ac:dyDescent="0.3">
      <c r="A468" s="4">
        <v>76</v>
      </c>
      <c r="B468" s="4">
        <v>64</v>
      </c>
      <c r="C468" s="4">
        <v>66</v>
      </c>
    </row>
    <row r="469" spans="1:3" x14ac:dyDescent="0.3">
      <c r="A469" s="4">
        <v>67</v>
      </c>
      <c r="B469" s="4">
        <v>72</v>
      </c>
      <c r="C469" s="4">
        <v>67</v>
      </c>
    </row>
    <row r="470" spans="1:3" x14ac:dyDescent="0.3">
      <c r="A470" s="4">
        <v>63</v>
      </c>
      <c r="B470" s="4">
        <v>69</v>
      </c>
      <c r="C470" s="4">
        <v>74</v>
      </c>
    </row>
    <row r="471" spans="1:3" x14ac:dyDescent="0.3">
      <c r="A471" s="4">
        <v>62</v>
      </c>
      <c r="B471" s="4">
        <v>74</v>
      </c>
      <c r="C471" s="4">
        <v>70</v>
      </c>
    </row>
    <row r="472" spans="1:3" x14ac:dyDescent="0.3">
      <c r="A472" s="4">
        <v>55</v>
      </c>
      <c r="B472" s="4">
        <v>72</v>
      </c>
      <c r="C472" s="4">
        <v>79</v>
      </c>
    </row>
    <row r="473" spans="1:3" x14ac:dyDescent="0.3">
      <c r="A473" s="4">
        <v>65</v>
      </c>
      <c r="B473" s="4">
        <v>73</v>
      </c>
      <c r="C473" s="4">
        <v>68</v>
      </c>
    </row>
    <row r="474" spans="1:3" x14ac:dyDescent="0.3">
      <c r="A474" s="4">
        <v>80</v>
      </c>
      <c r="B474" s="4">
        <v>63</v>
      </c>
      <c r="C474" s="4">
        <v>63</v>
      </c>
    </row>
    <row r="475" spans="1:3" x14ac:dyDescent="0.3">
      <c r="A475" s="4">
        <v>69</v>
      </c>
      <c r="B475" s="4">
        <v>70</v>
      </c>
      <c r="C475" s="4">
        <v>67</v>
      </c>
    </row>
    <row r="476" spans="1:3" x14ac:dyDescent="0.3">
      <c r="A476" s="4">
        <v>70</v>
      </c>
      <c r="B476" s="4">
        <v>70</v>
      </c>
      <c r="C476" s="4">
        <v>65</v>
      </c>
    </row>
    <row r="477" spans="1:3" x14ac:dyDescent="0.3">
      <c r="A477" s="4">
        <v>63</v>
      </c>
      <c r="B477" s="4">
        <v>72</v>
      </c>
      <c r="C477" s="4">
        <v>70</v>
      </c>
    </row>
    <row r="478" spans="1:3" x14ac:dyDescent="0.3">
      <c r="A478" s="4">
        <v>62</v>
      </c>
      <c r="B478" s="4">
        <v>68</v>
      </c>
      <c r="C478" s="4">
        <v>75</v>
      </c>
    </row>
    <row r="479" spans="1:3" x14ac:dyDescent="0.3">
      <c r="A479" s="4">
        <v>62</v>
      </c>
      <c r="B479" s="4">
        <v>73</v>
      </c>
      <c r="C479" s="4">
        <v>70</v>
      </c>
    </row>
    <row r="480" spans="1:3" x14ac:dyDescent="0.3">
      <c r="A480" s="4">
        <v>64</v>
      </c>
      <c r="B480" s="4">
        <v>73</v>
      </c>
      <c r="C480" s="4">
        <v>68</v>
      </c>
    </row>
    <row r="481" spans="1:3" x14ac:dyDescent="0.3">
      <c r="A481" s="4">
        <v>69</v>
      </c>
      <c r="B481" s="4">
        <v>67</v>
      </c>
      <c r="C481" s="4">
        <v>69</v>
      </c>
    </row>
    <row r="482" spans="1:3" x14ac:dyDescent="0.3">
      <c r="A482" s="4">
        <v>69</v>
      </c>
      <c r="B482" s="4">
        <v>71</v>
      </c>
      <c r="C482" s="4">
        <v>65</v>
      </c>
    </row>
    <row r="483" spans="1:3" x14ac:dyDescent="0.3">
      <c r="A483" s="4">
        <v>73</v>
      </c>
      <c r="B483" s="4">
        <v>66</v>
      </c>
      <c r="C483" s="4">
        <v>66</v>
      </c>
    </row>
    <row r="484" spans="1:3" x14ac:dyDescent="0.3">
      <c r="A484" s="4">
        <v>72</v>
      </c>
      <c r="B484" s="4">
        <v>65</v>
      </c>
      <c r="C484" s="4">
        <v>68</v>
      </c>
    </row>
    <row r="485" spans="1:3" x14ac:dyDescent="0.3">
      <c r="A485" s="4">
        <v>68</v>
      </c>
      <c r="B485" s="4">
        <v>72</v>
      </c>
      <c r="C485" s="4">
        <v>65</v>
      </c>
    </row>
    <row r="486" spans="1:3" x14ac:dyDescent="0.3">
      <c r="A486" s="4">
        <v>71</v>
      </c>
      <c r="B486" s="4">
        <v>67</v>
      </c>
      <c r="C486" s="4">
        <v>67</v>
      </c>
    </row>
    <row r="487" spans="1:3" x14ac:dyDescent="0.3">
      <c r="A487" s="4">
        <v>61</v>
      </c>
      <c r="B487" s="4">
        <v>71</v>
      </c>
      <c r="C487" s="4">
        <v>73</v>
      </c>
    </row>
    <row r="488" spans="1:3" x14ac:dyDescent="0.3">
      <c r="A488" s="4">
        <v>57</v>
      </c>
      <c r="B488" s="4">
        <v>75</v>
      </c>
      <c r="C488" s="4">
        <v>73</v>
      </c>
    </row>
    <row r="489" spans="1:3" x14ac:dyDescent="0.3">
      <c r="A489" s="4">
        <v>65</v>
      </c>
      <c r="B489" s="4">
        <v>69</v>
      </c>
      <c r="C489" s="4">
        <v>70</v>
      </c>
    </row>
    <row r="490" spans="1:3" x14ac:dyDescent="0.3">
      <c r="A490" s="4">
        <v>68</v>
      </c>
      <c r="B490" s="4">
        <v>72</v>
      </c>
      <c r="C490" s="4">
        <v>64</v>
      </c>
    </row>
    <row r="491" spans="1:3" x14ac:dyDescent="0.3">
      <c r="A491" s="4">
        <v>68</v>
      </c>
      <c r="B491" s="4">
        <v>67</v>
      </c>
      <c r="C491" s="4">
        <v>69</v>
      </c>
    </row>
    <row r="492" spans="1:3" x14ac:dyDescent="0.3">
      <c r="A492" s="4">
        <v>63</v>
      </c>
      <c r="B492" s="4">
        <v>73</v>
      </c>
      <c r="C492" s="4">
        <v>68</v>
      </c>
    </row>
    <row r="493" spans="1:3" x14ac:dyDescent="0.3">
      <c r="A493" s="4">
        <v>72</v>
      </c>
      <c r="B493" s="4">
        <v>67</v>
      </c>
      <c r="C493" s="4">
        <v>65</v>
      </c>
    </row>
    <row r="494" spans="1:3" x14ac:dyDescent="0.3">
      <c r="A494" s="4">
        <v>76</v>
      </c>
      <c r="B494" s="4">
        <v>62</v>
      </c>
      <c r="C494" s="4">
        <v>66</v>
      </c>
    </row>
    <row r="495" spans="1:3" x14ac:dyDescent="0.3">
      <c r="A495" s="4">
        <v>68</v>
      </c>
      <c r="B495" s="4">
        <v>70</v>
      </c>
      <c r="C495" s="4">
        <v>66</v>
      </c>
    </row>
    <row r="496" spans="1:3" x14ac:dyDescent="0.3">
      <c r="A496" s="4">
        <v>79</v>
      </c>
      <c r="B496" s="4">
        <v>60</v>
      </c>
      <c r="C496" s="4">
        <v>65</v>
      </c>
    </row>
    <row r="497" spans="1:3" x14ac:dyDescent="0.3">
      <c r="A497" s="4">
        <v>60</v>
      </c>
      <c r="B497" s="4">
        <v>70</v>
      </c>
      <c r="C497" s="4">
        <v>74</v>
      </c>
    </row>
    <row r="498" spans="1:3" x14ac:dyDescent="0.3">
      <c r="A498" s="4">
        <v>62</v>
      </c>
      <c r="B498" s="4">
        <v>72</v>
      </c>
      <c r="C498" s="4">
        <v>70</v>
      </c>
    </row>
    <row r="499" spans="1:3" x14ac:dyDescent="0.3">
      <c r="A499" s="4">
        <v>59</v>
      </c>
      <c r="B499" s="4">
        <v>73</v>
      </c>
      <c r="C499" s="4">
        <v>72</v>
      </c>
    </row>
    <row r="500" spans="1:3" x14ac:dyDescent="0.3">
      <c r="A500" s="4">
        <v>68</v>
      </c>
      <c r="B500" s="4">
        <v>70</v>
      </c>
      <c r="C500" s="4">
        <v>66</v>
      </c>
    </row>
    <row r="501" spans="1:3" x14ac:dyDescent="0.3">
      <c r="A501" s="4">
        <v>72</v>
      </c>
      <c r="B501" s="4">
        <v>66</v>
      </c>
      <c r="C501" s="4">
        <v>66</v>
      </c>
    </row>
    <row r="502" spans="1:3" x14ac:dyDescent="0.3">
      <c r="A502" s="4">
        <v>62</v>
      </c>
      <c r="B502" s="4">
        <v>70</v>
      </c>
      <c r="C502" s="4">
        <v>72</v>
      </c>
    </row>
    <row r="503" spans="1:3" x14ac:dyDescent="0.3">
      <c r="A503" s="4">
        <v>63</v>
      </c>
      <c r="B503" s="4">
        <v>71</v>
      </c>
      <c r="C503" s="4">
        <v>69</v>
      </c>
    </row>
    <row r="504" spans="1:3" x14ac:dyDescent="0.3">
      <c r="A504" s="4">
        <v>61</v>
      </c>
      <c r="B504" s="4">
        <v>72</v>
      </c>
      <c r="C504" s="4">
        <v>70</v>
      </c>
    </row>
    <row r="505" spans="1:3" x14ac:dyDescent="0.3">
      <c r="A505" s="4">
        <v>66</v>
      </c>
      <c r="B505" s="4">
        <v>69</v>
      </c>
      <c r="C505" s="4">
        <v>68</v>
      </c>
    </row>
    <row r="506" spans="1:3" x14ac:dyDescent="0.3">
      <c r="A506" s="4">
        <v>72</v>
      </c>
      <c r="B506" s="4">
        <v>67</v>
      </c>
      <c r="C506" s="4">
        <v>64</v>
      </c>
    </row>
    <row r="507" spans="1:3" x14ac:dyDescent="0.3">
      <c r="A507" s="4">
        <v>77</v>
      </c>
      <c r="B507" s="4">
        <v>62</v>
      </c>
      <c r="C507" s="4">
        <v>64</v>
      </c>
    </row>
    <row r="508" spans="1:3" x14ac:dyDescent="0.3">
      <c r="A508" s="4">
        <v>68</v>
      </c>
      <c r="B508" s="4">
        <v>68</v>
      </c>
      <c r="C508" s="4">
        <v>67</v>
      </c>
    </row>
    <row r="509" spans="1:3" x14ac:dyDescent="0.3">
      <c r="A509" s="4">
        <v>71</v>
      </c>
      <c r="B509" s="4">
        <v>66</v>
      </c>
      <c r="C509" s="4">
        <v>65</v>
      </c>
    </row>
    <row r="510" spans="1:3" x14ac:dyDescent="0.3">
      <c r="A510" s="4">
        <v>59</v>
      </c>
      <c r="B510" s="4">
        <v>70</v>
      </c>
      <c r="C510" s="4">
        <v>73</v>
      </c>
    </row>
    <row r="511" spans="1:3" x14ac:dyDescent="0.3">
      <c r="A511" s="4">
        <v>57</v>
      </c>
      <c r="B511" s="4">
        <v>78</v>
      </c>
      <c r="C511" s="4">
        <v>67</v>
      </c>
    </row>
    <row r="512" spans="1:3" x14ac:dyDescent="0.3">
      <c r="A512" s="4">
        <v>69</v>
      </c>
      <c r="B512" s="4">
        <v>70</v>
      </c>
      <c r="C512" s="4">
        <v>63</v>
      </c>
    </row>
    <row r="513" spans="1:3" x14ac:dyDescent="0.3">
      <c r="A513" s="4">
        <v>73</v>
      </c>
      <c r="B513" s="4">
        <v>66</v>
      </c>
      <c r="C513" s="4">
        <v>63</v>
      </c>
    </row>
    <row r="514" spans="1:3" x14ac:dyDescent="0.3">
      <c r="A514" s="4">
        <v>71</v>
      </c>
      <c r="B514" s="4">
        <v>61</v>
      </c>
      <c r="C514" s="4">
        <v>69</v>
      </c>
    </row>
    <row r="515" spans="1:3" x14ac:dyDescent="0.3">
      <c r="A515" s="4">
        <v>77</v>
      </c>
      <c r="B515" s="4">
        <v>62</v>
      </c>
      <c r="C515" s="4">
        <v>62</v>
      </c>
    </row>
    <row r="516" spans="1:3" x14ac:dyDescent="0.3">
      <c r="A516" s="4">
        <v>59</v>
      </c>
      <c r="B516" s="4">
        <v>73</v>
      </c>
      <c r="C516" s="4">
        <v>69</v>
      </c>
    </row>
    <row r="517" spans="1:3" x14ac:dyDescent="0.3">
      <c r="A517" s="4">
        <v>73</v>
      </c>
      <c r="B517" s="4">
        <v>66</v>
      </c>
      <c r="C517" s="4">
        <v>62</v>
      </c>
    </row>
    <row r="518" spans="1:3" x14ac:dyDescent="0.3">
      <c r="A518" s="4">
        <v>67</v>
      </c>
      <c r="B518" s="4">
        <v>64</v>
      </c>
      <c r="C518" s="4">
        <v>70</v>
      </c>
    </row>
    <row r="519" spans="1:3" x14ac:dyDescent="0.3">
      <c r="A519" s="4">
        <v>65</v>
      </c>
      <c r="B519" s="4">
        <v>69</v>
      </c>
      <c r="C519" s="4">
        <v>67</v>
      </c>
    </row>
    <row r="520" spans="1:3" x14ac:dyDescent="0.3">
      <c r="A520" s="4">
        <v>59</v>
      </c>
      <c r="B520" s="4">
        <v>72</v>
      </c>
      <c r="C520" s="4">
        <v>70</v>
      </c>
    </row>
    <row r="521" spans="1:3" x14ac:dyDescent="0.3">
      <c r="A521" s="4">
        <v>69</v>
      </c>
      <c r="B521" s="4">
        <v>64</v>
      </c>
      <c r="C521" s="4">
        <v>68</v>
      </c>
    </row>
    <row r="522" spans="1:3" x14ac:dyDescent="0.3">
      <c r="A522" s="4">
        <v>63</v>
      </c>
      <c r="B522" s="4">
        <v>67</v>
      </c>
      <c r="C522" s="4">
        <v>70</v>
      </c>
    </row>
    <row r="523" spans="1:3" x14ac:dyDescent="0.3">
      <c r="A523" s="4">
        <v>66</v>
      </c>
      <c r="B523" s="4">
        <v>65</v>
      </c>
      <c r="C523" s="4">
        <v>69</v>
      </c>
    </row>
    <row r="524" spans="1:3" x14ac:dyDescent="0.3">
      <c r="A524" s="4">
        <v>60</v>
      </c>
      <c r="B524" s="4">
        <v>70</v>
      </c>
      <c r="C524" s="4">
        <v>70</v>
      </c>
    </row>
    <row r="525" spans="1:3" x14ac:dyDescent="0.3">
      <c r="A525" s="4">
        <v>59</v>
      </c>
      <c r="B525" s="4">
        <v>71</v>
      </c>
      <c r="C525" s="4">
        <v>70</v>
      </c>
    </row>
    <row r="526" spans="1:3" x14ac:dyDescent="0.3">
      <c r="A526" s="4">
        <v>68</v>
      </c>
      <c r="B526" s="4">
        <v>68</v>
      </c>
      <c r="C526" s="4">
        <v>64</v>
      </c>
    </row>
    <row r="527" spans="1:3" x14ac:dyDescent="0.3">
      <c r="A527" s="4">
        <v>60</v>
      </c>
      <c r="B527" s="4">
        <v>68</v>
      </c>
      <c r="C527" s="4">
        <v>72</v>
      </c>
    </row>
    <row r="528" spans="1:3" x14ac:dyDescent="0.3">
      <c r="A528" s="4">
        <v>62</v>
      </c>
      <c r="B528" s="4">
        <v>69</v>
      </c>
      <c r="C528" s="4">
        <v>69</v>
      </c>
    </row>
    <row r="529" spans="1:3" x14ac:dyDescent="0.3">
      <c r="A529" s="4">
        <v>58</v>
      </c>
      <c r="B529" s="4">
        <v>73</v>
      </c>
      <c r="C529" s="4">
        <v>68</v>
      </c>
    </row>
    <row r="530" spans="1:3" x14ac:dyDescent="0.3">
      <c r="A530" s="4">
        <v>72</v>
      </c>
      <c r="B530" s="4">
        <v>64</v>
      </c>
      <c r="C530" s="4">
        <v>63</v>
      </c>
    </row>
    <row r="531" spans="1:3" x14ac:dyDescent="0.3">
      <c r="A531" s="4">
        <v>73</v>
      </c>
      <c r="B531" s="4">
        <v>67</v>
      </c>
      <c r="C531" s="4">
        <v>59</v>
      </c>
    </row>
    <row r="532" spans="1:3" x14ac:dyDescent="0.3">
      <c r="A532" s="4">
        <v>62</v>
      </c>
      <c r="B532" s="4">
        <v>72</v>
      </c>
      <c r="C532" s="4">
        <v>65</v>
      </c>
    </row>
    <row r="533" spans="1:3" x14ac:dyDescent="0.3">
      <c r="A533" s="4">
        <v>59</v>
      </c>
      <c r="B533" s="4">
        <v>72</v>
      </c>
      <c r="C533" s="4">
        <v>68</v>
      </c>
    </row>
    <row r="534" spans="1:3" x14ac:dyDescent="0.3">
      <c r="A534" s="4">
        <v>66</v>
      </c>
      <c r="B534" s="4">
        <v>69</v>
      </c>
      <c r="C534" s="4">
        <v>63</v>
      </c>
    </row>
    <row r="535" spans="1:3" x14ac:dyDescent="0.3">
      <c r="A535" s="4">
        <v>62</v>
      </c>
      <c r="B535" s="4">
        <v>68</v>
      </c>
      <c r="C535" s="4">
        <v>68</v>
      </c>
    </row>
    <row r="536" spans="1:3" x14ac:dyDescent="0.3">
      <c r="A536" s="4">
        <v>52</v>
      </c>
      <c r="B536" s="4">
        <v>76</v>
      </c>
      <c r="C536" s="4">
        <v>70</v>
      </c>
    </row>
    <row r="537" spans="1:3" x14ac:dyDescent="0.3">
      <c r="A537" s="4">
        <v>62</v>
      </c>
      <c r="B537" s="4">
        <v>67</v>
      </c>
      <c r="C537" s="4">
        <v>69</v>
      </c>
    </row>
    <row r="538" spans="1:3" x14ac:dyDescent="0.3">
      <c r="A538" s="4">
        <v>56</v>
      </c>
      <c r="B538" s="4">
        <v>68</v>
      </c>
      <c r="C538" s="4">
        <v>74</v>
      </c>
    </row>
    <row r="539" spans="1:3" x14ac:dyDescent="0.3">
      <c r="A539" s="4">
        <v>64</v>
      </c>
      <c r="B539" s="4">
        <v>60</v>
      </c>
      <c r="C539" s="4">
        <v>74</v>
      </c>
    </row>
    <row r="540" spans="1:3" x14ac:dyDescent="0.3">
      <c r="A540" s="4">
        <v>59</v>
      </c>
      <c r="B540" s="4">
        <v>64</v>
      </c>
      <c r="C540" s="4">
        <v>75</v>
      </c>
    </row>
    <row r="541" spans="1:3" x14ac:dyDescent="0.3">
      <c r="A541" s="4">
        <v>64</v>
      </c>
      <c r="B541" s="4">
        <v>64</v>
      </c>
      <c r="C541" s="4">
        <v>70</v>
      </c>
    </row>
    <row r="542" spans="1:3" x14ac:dyDescent="0.3">
      <c r="A542" s="4">
        <v>76</v>
      </c>
      <c r="B542" s="4">
        <v>62</v>
      </c>
      <c r="C542" s="4">
        <v>60</v>
      </c>
    </row>
    <row r="543" spans="1:3" x14ac:dyDescent="0.3">
      <c r="A543" s="4">
        <v>57</v>
      </c>
      <c r="B543" s="4">
        <v>68</v>
      </c>
      <c r="C543" s="4">
        <v>73</v>
      </c>
    </row>
    <row r="544" spans="1:3" x14ac:dyDescent="0.3">
      <c r="A544" s="4">
        <v>60</v>
      </c>
      <c r="B544" s="4">
        <v>64</v>
      </c>
      <c r="C544" s="4">
        <v>74</v>
      </c>
    </row>
    <row r="545" spans="1:3" x14ac:dyDescent="0.3">
      <c r="A545" s="4">
        <v>74</v>
      </c>
      <c r="B545" s="4">
        <v>64</v>
      </c>
      <c r="C545" s="4">
        <v>60</v>
      </c>
    </row>
    <row r="546" spans="1:3" x14ac:dyDescent="0.3">
      <c r="A546" s="4">
        <v>65</v>
      </c>
      <c r="B546" s="4">
        <v>67</v>
      </c>
      <c r="C546" s="4">
        <v>65</v>
      </c>
    </row>
    <row r="547" spans="1:3" x14ac:dyDescent="0.3">
      <c r="A547" s="4">
        <v>59</v>
      </c>
      <c r="B547" s="4">
        <v>63</v>
      </c>
      <c r="C547" s="4">
        <v>75</v>
      </c>
    </row>
    <row r="548" spans="1:3" x14ac:dyDescent="0.3">
      <c r="A548" s="4">
        <v>61</v>
      </c>
      <c r="B548" s="4">
        <v>73</v>
      </c>
      <c r="C548" s="4">
        <v>63</v>
      </c>
    </row>
    <row r="549" spans="1:3" x14ac:dyDescent="0.3">
      <c r="A549" s="4">
        <v>71</v>
      </c>
      <c r="B549" s="4">
        <v>66</v>
      </c>
      <c r="C549" s="4">
        <v>60</v>
      </c>
    </row>
    <row r="550" spans="1:3" x14ac:dyDescent="0.3">
      <c r="A550" s="4">
        <v>63</v>
      </c>
      <c r="B550" s="4">
        <v>67</v>
      </c>
      <c r="C550" s="4">
        <v>67</v>
      </c>
    </row>
    <row r="551" spans="1:3" x14ac:dyDescent="0.3">
      <c r="A551" s="4">
        <v>68</v>
      </c>
      <c r="B551" s="4">
        <v>68</v>
      </c>
      <c r="C551" s="4">
        <v>61</v>
      </c>
    </row>
    <row r="552" spans="1:3" x14ac:dyDescent="0.3">
      <c r="A552" s="4">
        <v>65</v>
      </c>
      <c r="B552" s="4">
        <v>61</v>
      </c>
      <c r="C552" s="4">
        <v>71</v>
      </c>
    </row>
    <row r="553" spans="1:3" x14ac:dyDescent="0.3">
      <c r="A553" s="4">
        <v>62</v>
      </c>
      <c r="B553" s="4">
        <v>66</v>
      </c>
      <c r="C553" s="4">
        <v>68</v>
      </c>
    </row>
    <row r="554" spans="1:3" x14ac:dyDescent="0.3">
      <c r="A554" s="4">
        <v>63</v>
      </c>
      <c r="B554" s="4">
        <v>66</v>
      </c>
      <c r="C554" s="4">
        <v>67</v>
      </c>
    </row>
    <row r="555" spans="1:3" x14ac:dyDescent="0.3">
      <c r="A555" s="4">
        <v>58</v>
      </c>
      <c r="B555" s="4">
        <v>70</v>
      </c>
      <c r="C555" s="4">
        <v>68</v>
      </c>
    </row>
    <row r="556" spans="1:3" x14ac:dyDescent="0.3">
      <c r="A556" s="4">
        <v>67</v>
      </c>
      <c r="B556" s="4">
        <v>61</v>
      </c>
      <c r="C556" s="4">
        <v>68</v>
      </c>
    </row>
    <row r="557" spans="1:3" x14ac:dyDescent="0.3">
      <c r="A557" s="4">
        <v>62</v>
      </c>
      <c r="B557" s="4">
        <v>67</v>
      </c>
      <c r="C557" s="4">
        <v>67</v>
      </c>
    </row>
    <row r="558" spans="1:3" x14ac:dyDescent="0.3">
      <c r="A558" s="4">
        <v>69</v>
      </c>
      <c r="B558" s="4">
        <v>66</v>
      </c>
      <c r="C558" s="4">
        <v>61</v>
      </c>
    </row>
    <row r="559" spans="1:3" x14ac:dyDescent="0.3">
      <c r="A559" s="4">
        <v>62</v>
      </c>
      <c r="B559" s="4">
        <v>66</v>
      </c>
      <c r="C559" s="4">
        <v>68</v>
      </c>
    </row>
    <row r="560" spans="1:3" x14ac:dyDescent="0.3">
      <c r="A560" s="4">
        <v>57</v>
      </c>
      <c r="B560" s="4">
        <v>67</v>
      </c>
      <c r="C560" s="4">
        <v>72</v>
      </c>
    </row>
    <row r="561" spans="1:3" x14ac:dyDescent="0.3">
      <c r="A561" s="4">
        <v>60</v>
      </c>
      <c r="B561" s="4">
        <v>66</v>
      </c>
      <c r="C561" s="4">
        <v>70</v>
      </c>
    </row>
    <row r="562" spans="1:3" x14ac:dyDescent="0.3">
      <c r="A562" s="4">
        <v>64</v>
      </c>
      <c r="B562" s="4">
        <v>64</v>
      </c>
      <c r="C562" s="4">
        <v>67</v>
      </c>
    </row>
    <row r="563" spans="1:3" x14ac:dyDescent="0.3">
      <c r="A563" s="4">
        <v>58</v>
      </c>
      <c r="B563" s="4">
        <v>70</v>
      </c>
      <c r="C563" s="4">
        <v>67</v>
      </c>
    </row>
    <row r="564" spans="1:3" x14ac:dyDescent="0.3">
      <c r="A564" s="4">
        <v>59</v>
      </c>
      <c r="B564" s="4">
        <v>70</v>
      </c>
      <c r="C564" s="4">
        <v>66</v>
      </c>
    </row>
    <row r="565" spans="1:3" x14ac:dyDescent="0.3">
      <c r="A565" s="4">
        <v>61</v>
      </c>
      <c r="B565" s="4">
        <v>68</v>
      </c>
      <c r="C565" s="4">
        <v>66</v>
      </c>
    </row>
    <row r="566" spans="1:3" x14ac:dyDescent="0.3">
      <c r="A566" s="4">
        <v>69</v>
      </c>
      <c r="B566" s="4">
        <v>66</v>
      </c>
      <c r="C566" s="4">
        <v>60</v>
      </c>
    </row>
    <row r="567" spans="1:3" x14ac:dyDescent="0.3">
      <c r="A567" s="4">
        <v>75</v>
      </c>
      <c r="B567" s="4">
        <v>58</v>
      </c>
      <c r="C567" s="4">
        <v>62</v>
      </c>
    </row>
    <row r="568" spans="1:3" x14ac:dyDescent="0.3">
      <c r="A568" s="4">
        <v>70</v>
      </c>
      <c r="B568" s="4">
        <v>65</v>
      </c>
      <c r="C568" s="4">
        <v>60</v>
      </c>
    </row>
    <row r="569" spans="1:3" x14ac:dyDescent="0.3">
      <c r="A569" s="4">
        <v>55</v>
      </c>
      <c r="B569" s="4">
        <v>71</v>
      </c>
      <c r="C569" s="4">
        <v>69</v>
      </c>
    </row>
    <row r="570" spans="1:3" x14ac:dyDescent="0.3">
      <c r="A570" s="4">
        <v>59</v>
      </c>
      <c r="B570" s="4">
        <v>71</v>
      </c>
      <c r="C570" s="4">
        <v>65</v>
      </c>
    </row>
    <row r="571" spans="1:3" x14ac:dyDescent="0.3">
      <c r="A571" s="4">
        <v>58</v>
      </c>
      <c r="B571" s="4">
        <v>63</v>
      </c>
      <c r="C571" s="4">
        <v>73</v>
      </c>
    </row>
    <row r="572" spans="1:3" x14ac:dyDescent="0.3">
      <c r="A572" s="4">
        <v>65</v>
      </c>
      <c r="B572" s="4">
        <v>67</v>
      </c>
      <c r="C572" s="4">
        <v>62</v>
      </c>
    </row>
    <row r="573" spans="1:3" x14ac:dyDescent="0.3">
      <c r="A573" s="4">
        <v>57</v>
      </c>
      <c r="B573" s="4">
        <v>69</v>
      </c>
      <c r="C573" s="4">
        <v>68</v>
      </c>
    </row>
    <row r="574" spans="1:3" x14ac:dyDescent="0.3">
      <c r="A574" s="4">
        <v>74</v>
      </c>
      <c r="B574" s="4">
        <v>63</v>
      </c>
      <c r="C574" s="4">
        <v>57</v>
      </c>
    </row>
    <row r="575" spans="1:3" x14ac:dyDescent="0.3">
      <c r="A575" s="4">
        <v>61</v>
      </c>
      <c r="B575" s="4">
        <v>67</v>
      </c>
      <c r="C575" s="4">
        <v>66</v>
      </c>
    </row>
    <row r="576" spans="1:3" x14ac:dyDescent="0.3">
      <c r="A576" s="4">
        <v>59</v>
      </c>
      <c r="B576" s="4">
        <v>70</v>
      </c>
      <c r="C576" s="4">
        <v>65</v>
      </c>
    </row>
    <row r="577" spans="1:3" x14ac:dyDescent="0.3">
      <c r="A577" s="4">
        <v>63</v>
      </c>
      <c r="B577" s="4">
        <v>64</v>
      </c>
      <c r="C577" s="4">
        <v>67</v>
      </c>
    </row>
    <row r="578" spans="1:3" x14ac:dyDescent="0.3">
      <c r="A578" s="4">
        <v>68</v>
      </c>
      <c r="B578" s="4">
        <v>65</v>
      </c>
      <c r="C578" s="4">
        <v>61</v>
      </c>
    </row>
    <row r="579" spans="1:3" x14ac:dyDescent="0.3">
      <c r="A579" s="4">
        <v>56</v>
      </c>
      <c r="B579" s="4">
        <v>68</v>
      </c>
      <c r="C579" s="4">
        <v>70</v>
      </c>
    </row>
    <row r="580" spans="1:3" x14ac:dyDescent="0.3">
      <c r="A580" s="4">
        <v>73</v>
      </c>
      <c r="B580" s="4">
        <v>64</v>
      </c>
      <c r="C580" s="4">
        <v>57</v>
      </c>
    </row>
    <row r="581" spans="1:3" x14ac:dyDescent="0.3">
      <c r="A581" s="4">
        <v>56</v>
      </c>
      <c r="B581" s="4">
        <v>72</v>
      </c>
      <c r="C581" s="4">
        <v>65</v>
      </c>
    </row>
    <row r="582" spans="1:3" x14ac:dyDescent="0.3">
      <c r="A582" s="4">
        <v>65</v>
      </c>
      <c r="B582" s="4">
        <v>66</v>
      </c>
      <c r="C582" s="4">
        <v>62</v>
      </c>
    </row>
    <row r="583" spans="1:3" x14ac:dyDescent="0.3">
      <c r="A583" s="4">
        <v>66</v>
      </c>
      <c r="B583" s="4">
        <v>63</v>
      </c>
      <c r="C583" s="4">
        <v>64</v>
      </c>
    </row>
    <row r="584" spans="1:3" x14ac:dyDescent="0.3">
      <c r="A584" s="4">
        <v>59</v>
      </c>
      <c r="B584" s="4">
        <v>69</v>
      </c>
      <c r="C584" s="4">
        <v>65</v>
      </c>
    </row>
    <row r="585" spans="1:3" x14ac:dyDescent="0.3">
      <c r="A585" s="4">
        <v>69</v>
      </c>
      <c r="B585" s="4">
        <v>63</v>
      </c>
      <c r="C585" s="4">
        <v>61</v>
      </c>
    </row>
    <row r="586" spans="1:3" x14ac:dyDescent="0.3">
      <c r="A586" s="4">
        <v>65</v>
      </c>
      <c r="B586" s="4">
        <v>65</v>
      </c>
      <c r="C586" s="4">
        <v>63</v>
      </c>
    </row>
    <row r="587" spans="1:3" x14ac:dyDescent="0.3">
      <c r="A587" s="4">
        <v>64</v>
      </c>
      <c r="B587" s="4">
        <v>63</v>
      </c>
      <c r="C587" s="4">
        <v>66</v>
      </c>
    </row>
    <row r="588" spans="1:3" x14ac:dyDescent="0.3">
      <c r="A588" s="4">
        <v>62</v>
      </c>
      <c r="B588" s="4">
        <v>67</v>
      </c>
      <c r="C588" s="4">
        <v>64</v>
      </c>
    </row>
    <row r="589" spans="1:3" x14ac:dyDescent="0.3">
      <c r="A589" s="4">
        <v>53</v>
      </c>
      <c r="B589" s="4">
        <v>70</v>
      </c>
      <c r="C589" s="4">
        <v>70</v>
      </c>
    </row>
    <row r="590" spans="1:3" x14ac:dyDescent="0.3">
      <c r="A590" s="4">
        <v>63</v>
      </c>
      <c r="B590" s="4">
        <v>64</v>
      </c>
      <c r="C590" s="4">
        <v>66</v>
      </c>
    </row>
    <row r="591" spans="1:3" x14ac:dyDescent="0.3">
      <c r="A591" s="4">
        <v>67</v>
      </c>
      <c r="B591" s="4">
        <v>64</v>
      </c>
      <c r="C591" s="4">
        <v>61</v>
      </c>
    </row>
    <row r="592" spans="1:3" x14ac:dyDescent="0.3">
      <c r="A592" s="4">
        <v>66</v>
      </c>
      <c r="B592" s="4">
        <v>62</v>
      </c>
      <c r="C592" s="4">
        <v>64</v>
      </c>
    </row>
    <row r="593" spans="1:3" x14ac:dyDescent="0.3">
      <c r="A593" s="4">
        <v>62</v>
      </c>
      <c r="B593" s="4">
        <v>64</v>
      </c>
      <c r="C593" s="4">
        <v>66</v>
      </c>
    </row>
    <row r="594" spans="1:3" x14ac:dyDescent="0.3">
      <c r="A594" s="4">
        <v>71</v>
      </c>
      <c r="B594" s="4">
        <v>60</v>
      </c>
      <c r="C594" s="4">
        <v>61</v>
      </c>
    </row>
    <row r="595" spans="1:3" x14ac:dyDescent="0.3">
      <c r="A595" s="4">
        <v>66</v>
      </c>
      <c r="B595" s="4">
        <v>64</v>
      </c>
      <c r="C595" s="4">
        <v>62</v>
      </c>
    </row>
    <row r="596" spans="1:3" x14ac:dyDescent="0.3">
      <c r="A596" s="4">
        <v>69</v>
      </c>
      <c r="B596" s="4">
        <v>60</v>
      </c>
      <c r="C596" s="4">
        <v>63</v>
      </c>
    </row>
    <row r="597" spans="1:3" x14ac:dyDescent="0.3">
      <c r="A597" s="4">
        <v>53</v>
      </c>
      <c r="B597" s="4">
        <v>66</v>
      </c>
      <c r="C597" s="4">
        <v>73</v>
      </c>
    </row>
    <row r="598" spans="1:3" x14ac:dyDescent="0.3">
      <c r="A598" s="4">
        <v>61</v>
      </c>
      <c r="B598" s="4">
        <v>68</v>
      </c>
      <c r="C598" s="4">
        <v>63</v>
      </c>
    </row>
    <row r="599" spans="1:3" x14ac:dyDescent="0.3">
      <c r="A599" s="4">
        <v>52</v>
      </c>
      <c r="B599" s="4">
        <v>66</v>
      </c>
      <c r="C599" s="4">
        <v>73</v>
      </c>
    </row>
    <row r="600" spans="1:3" x14ac:dyDescent="0.3">
      <c r="A600" s="4">
        <v>65</v>
      </c>
      <c r="B600" s="4">
        <v>64</v>
      </c>
      <c r="C600" s="4">
        <v>62</v>
      </c>
    </row>
    <row r="601" spans="1:3" x14ac:dyDescent="0.3">
      <c r="A601" s="4">
        <v>53</v>
      </c>
      <c r="B601" s="4">
        <v>71</v>
      </c>
      <c r="C601" s="4">
        <v>67</v>
      </c>
    </row>
    <row r="602" spans="1:3" x14ac:dyDescent="0.3">
      <c r="A602" s="4">
        <v>62</v>
      </c>
      <c r="B602" s="4">
        <v>67</v>
      </c>
      <c r="C602" s="4">
        <v>62</v>
      </c>
    </row>
    <row r="603" spans="1:3" x14ac:dyDescent="0.3">
      <c r="A603" s="4">
        <v>52</v>
      </c>
      <c r="B603" s="4">
        <v>67</v>
      </c>
      <c r="C603" s="4">
        <v>72</v>
      </c>
    </row>
    <row r="604" spans="1:3" x14ac:dyDescent="0.3">
      <c r="A604" s="4">
        <v>66</v>
      </c>
      <c r="B604" s="4">
        <v>65</v>
      </c>
      <c r="C604" s="4">
        <v>60</v>
      </c>
    </row>
    <row r="605" spans="1:3" x14ac:dyDescent="0.3">
      <c r="A605" s="4">
        <v>70</v>
      </c>
      <c r="B605" s="4">
        <v>63</v>
      </c>
      <c r="C605" s="4">
        <v>58</v>
      </c>
    </row>
    <row r="606" spans="1:3" x14ac:dyDescent="0.3">
      <c r="A606" s="4">
        <v>72</v>
      </c>
      <c r="B606" s="4">
        <v>57</v>
      </c>
      <c r="C606" s="4">
        <v>62</v>
      </c>
    </row>
    <row r="607" spans="1:3" x14ac:dyDescent="0.3">
      <c r="A607" s="4">
        <v>59</v>
      </c>
      <c r="B607" s="4">
        <v>65</v>
      </c>
      <c r="C607" s="4">
        <v>66</v>
      </c>
    </row>
    <row r="608" spans="1:3" x14ac:dyDescent="0.3">
      <c r="A608" s="4">
        <v>62</v>
      </c>
      <c r="B608" s="4">
        <v>67</v>
      </c>
      <c r="C608" s="4">
        <v>61</v>
      </c>
    </row>
    <row r="609" spans="1:3" x14ac:dyDescent="0.3">
      <c r="A609" s="4">
        <v>62</v>
      </c>
      <c r="B609" s="4">
        <v>64</v>
      </c>
      <c r="C609" s="4">
        <v>64</v>
      </c>
    </row>
    <row r="610" spans="1:3" x14ac:dyDescent="0.3">
      <c r="A610" s="4">
        <v>50</v>
      </c>
      <c r="B610" s="4">
        <v>67</v>
      </c>
      <c r="C610" s="4">
        <v>73</v>
      </c>
    </row>
    <row r="611" spans="1:3" x14ac:dyDescent="0.3">
      <c r="A611" s="4">
        <v>59</v>
      </c>
      <c r="B611" s="4">
        <v>62</v>
      </c>
      <c r="C611" s="4">
        <v>69</v>
      </c>
    </row>
    <row r="612" spans="1:3" x14ac:dyDescent="0.3">
      <c r="A612" s="4">
        <v>63</v>
      </c>
      <c r="B612" s="4">
        <v>65</v>
      </c>
      <c r="C612" s="4">
        <v>61</v>
      </c>
    </row>
    <row r="613" spans="1:3" x14ac:dyDescent="0.3">
      <c r="A613" s="4">
        <v>55</v>
      </c>
      <c r="B613" s="4">
        <v>69</v>
      </c>
      <c r="C613" s="4">
        <v>65</v>
      </c>
    </row>
    <row r="614" spans="1:3" x14ac:dyDescent="0.3">
      <c r="A614" s="4">
        <v>68</v>
      </c>
      <c r="B614" s="4">
        <v>59</v>
      </c>
      <c r="C614" s="4">
        <v>62</v>
      </c>
    </row>
    <row r="615" spans="1:3" x14ac:dyDescent="0.3">
      <c r="A615" s="4">
        <v>64</v>
      </c>
      <c r="B615" s="4">
        <v>66</v>
      </c>
      <c r="C615" s="4">
        <v>59</v>
      </c>
    </row>
    <row r="616" spans="1:3" x14ac:dyDescent="0.3">
      <c r="A616" s="4">
        <v>55</v>
      </c>
      <c r="B616" s="4">
        <v>64</v>
      </c>
      <c r="C616" s="4">
        <v>70</v>
      </c>
    </row>
    <row r="617" spans="1:3" x14ac:dyDescent="0.3">
      <c r="A617" s="4">
        <v>97</v>
      </c>
      <c r="B617" s="4">
        <v>92</v>
      </c>
      <c r="C617" s="4" t="e">
        <v>#N/A</v>
      </c>
    </row>
    <row r="618" spans="1:3" x14ac:dyDescent="0.3">
      <c r="A618" s="4">
        <v>53</v>
      </c>
      <c r="B618" s="4">
        <v>72</v>
      </c>
      <c r="C618" s="4">
        <v>64</v>
      </c>
    </row>
    <row r="619" spans="1:3" x14ac:dyDescent="0.3">
      <c r="A619" s="4">
        <v>45</v>
      </c>
      <c r="B619" s="4">
        <v>73</v>
      </c>
      <c r="C619" s="4">
        <v>70</v>
      </c>
    </row>
    <row r="620" spans="1:3" x14ac:dyDescent="0.3">
      <c r="A620" s="4">
        <v>60</v>
      </c>
      <c r="B620" s="4">
        <v>68</v>
      </c>
      <c r="C620" s="4">
        <v>60</v>
      </c>
    </row>
    <row r="621" spans="1:3" x14ac:dyDescent="0.3">
      <c r="A621" s="4">
        <v>63</v>
      </c>
      <c r="B621" s="4">
        <v>63</v>
      </c>
      <c r="C621" s="4">
        <v>62</v>
      </c>
    </row>
    <row r="622" spans="1:3" x14ac:dyDescent="0.3">
      <c r="A622" s="4">
        <v>58</v>
      </c>
      <c r="B622" s="4">
        <v>67</v>
      </c>
      <c r="C622" s="4">
        <v>62</v>
      </c>
    </row>
    <row r="623" spans="1:3" x14ac:dyDescent="0.3">
      <c r="A623" s="4">
        <v>88</v>
      </c>
      <c r="B623" s="4">
        <v>99</v>
      </c>
      <c r="C623" s="4" t="e">
        <v>#N/A</v>
      </c>
    </row>
    <row r="624" spans="1:3" x14ac:dyDescent="0.3">
      <c r="A624" s="4">
        <v>59</v>
      </c>
      <c r="B624" s="4">
        <v>67</v>
      </c>
      <c r="C624" s="4">
        <v>61</v>
      </c>
    </row>
    <row r="625" spans="1:3" x14ac:dyDescent="0.3">
      <c r="A625" s="4">
        <v>68</v>
      </c>
      <c r="B625" s="4">
        <v>60</v>
      </c>
      <c r="C625" s="4">
        <v>59</v>
      </c>
    </row>
    <row r="626" spans="1:3" x14ac:dyDescent="0.3">
      <c r="A626" s="4">
        <v>61</v>
      </c>
      <c r="B626" s="4">
        <v>64</v>
      </c>
      <c r="C626" s="4">
        <v>62</v>
      </c>
    </row>
    <row r="627" spans="1:3" x14ac:dyDescent="0.3">
      <c r="A627" s="4">
        <v>62</v>
      </c>
      <c r="B627" s="4">
        <v>62</v>
      </c>
      <c r="C627" s="4">
        <v>63</v>
      </c>
    </row>
    <row r="628" spans="1:3" x14ac:dyDescent="0.3">
      <c r="A628" s="4">
        <v>62</v>
      </c>
      <c r="B628" s="4">
        <v>67</v>
      </c>
      <c r="C628" s="4">
        <v>58</v>
      </c>
    </row>
    <row r="629" spans="1:3" x14ac:dyDescent="0.3">
      <c r="A629" s="4">
        <v>58</v>
      </c>
      <c r="B629" s="4">
        <v>68</v>
      </c>
      <c r="C629" s="4">
        <v>61</v>
      </c>
    </row>
    <row r="630" spans="1:3" x14ac:dyDescent="0.3">
      <c r="A630" s="4">
        <v>72</v>
      </c>
      <c r="B630" s="4">
        <v>57</v>
      </c>
      <c r="C630" s="4">
        <v>58</v>
      </c>
    </row>
    <row r="631" spans="1:3" x14ac:dyDescent="0.3">
      <c r="A631" s="4">
        <v>73</v>
      </c>
      <c r="B631" s="4">
        <v>56</v>
      </c>
      <c r="C631" s="4">
        <v>57</v>
      </c>
    </row>
    <row r="632" spans="1:3" x14ac:dyDescent="0.3">
      <c r="A632" s="4">
        <v>52</v>
      </c>
      <c r="B632" s="4">
        <v>65</v>
      </c>
      <c r="C632" s="4">
        <v>69</v>
      </c>
    </row>
    <row r="633" spans="1:3" x14ac:dyDescent="0.3">
      <c r="A633" s="4">
        <v>54</v>
      </c>
      <c r="B633" s="4">
        <v>64</v>
      </c>
      <c r="C633" s="4">
        <v>68</v>
      </c>
    </row>
    <row r="634" spans="1:3" x14ac:dyDescent="0.3">
      <c r="A634" s="4">
        <v>58</v>
      </c>
      <c r="B634" s="4">
        <v>63</v>
      </c>
      <c r="C634" s="4">
        <v>65</v>
      </c>
    </row>
    <row r="635" spans="1:3" x14ac:dyDescent="0.3">
      <c r="A635" s="4">
        <v>59</v>
      </c>
      <c r="B635" s="4">
        <v>63</v>
      </c>
      <c r="C635" s="4">
        <v>64</v>
      </c>
    </row>
    <row r="636" spans="1:3" x14ac:dyDescent="0.3">
      <c r="A636" s="4">
        <v>63</v>
      </c>
      <c r="B636" s="4">
        <v>63</v>
      </c>
      <c r="C636" s="4">
        <v>60</v>
      </c>
    </row>
    <row r="637" spans="1:3" x14ac:dyDescent="0.3">
      <c r="A637" s="4">
        <v>59</v>
      </c>
      <c r="B637" s="4">
        <v>62</v>
      </c>
      <c r="C637" s="4">
        <v>64</v>
      </c>
    </row>
    <row r="638" spans="1:3" x14ac:dyDescent="0.3">
      <c r="A638" s="4">
        <v>58</v>
      </c>
      <c r="B638" s="4">
        <v>61</v>
      </c>
      <c r="C638" s="4">
        <v>66</v>
      </c>
    </row>
    <row r="639" spans="1:3" x14ac:dyDescent="0.3">
      <c r="A639" s="4">
        <v>63</v>
      </c>
      <c r="B639" s="4">
        <v>61</v>
      </c>
      <c r="C639" s="4">
        <v>61</v>
      </c>
    </row>
    <row r="640" spans="1:3" x14ac:dyDescent="0.3">
      <c r="A640" s="4">
        <v>68</v>
      </c>
      <c r="B640" s="4">
        <v>63</v>
      </c>
      <c r="C640" s="4">
        <v>54</v>
      </c>
    </row>
    <row r="641" spans="1:3" x14ac:dyDescent="0.3">
      <c r="A641" s="4">
        <v>54</v>
      </c>
      <c r="B641" s="4">
        <v>64</v>
      </c>
      <c r="C641" s="4">
        <v>67</v>
      </c>
    </row>
    <row r="642" spans="1:3" x14ac:dyDescent="0.3">
      <c r="A642" s="4">
        <v>54</v>
      </c>
      <c r="B642" s="4">
        <v>72</v>
      </c>
      <c r="C642" s="4">
        <v>59</v>
      </c>
    </row>
    <row r="643" spans="1:3" x14ac:dyDescent="0.3">
      <c r="A643" s="4">
        <v>62</v>
      </c>
      <c r="B643" s="4">
        <v>65</v>
      </c>
      <c r="C643" s="4">
        <v>58</v>
      </c>
    </row>
    <row r="644" spans="1:3" x14ac:dyDescent="0.3">
      <c r="A644" s="4">
        <v>52</v>
      </c>
      <c r="B644" s="4">
        <v>70</v>
      </c>
      <c r="C644" s="4">
        <v>62</v>
      </c>
    </row>
    <row r="645" spans="1:3" x14ac:dyDescent="0.3">
      <c r="A645" s="4">
        <v>56</v>
      </c>
      <c r="B645" s="4">
        <v>65</v>
      </c>
      <c r="C645" s="4">
        <v>63</v>
      </c>
    </row>
    <row r="646" spans="1:3" x14ac:dyDescent="0.3">
      <c r="A646" s="4">
        <v>61</v>
      </c>
      <c r="B646" s="4">
        <v>61</v>
      </c>
      <c r="C646" s="4">
        <v>62</v>
      </c>
    </row>
    <row r="647" spans="1:3" x14ac:dyDescent="0.3">
      <c r="A647" s="4">
        <v>69</v>
      </c>
      <c r="B647" s="4">
        <v>58</v>
      </c>
      <c r="C647" s="4">
        <v>57</v>
      </c>
    </row>
    <row r="648" spans="1:3" x14ac:dyDescent="0.3">
      <c r="A648" s="4">
        <v>63</v>
      </c>
      <c r="B648" s="4">
        <v>61</v>
      </c>
      <c r="C648" s="4">
        <v>60</v>
      </c>
    </row>
    <row r="649" spans="1:3" x14ac:dyDescent="0.3">
      <c r="A649" s="4">
        <v>67</v>
      </c>
      <c r="B649" s="4">
        <v>54</v>
      </c>
      <c r="C649" s="4">
        <v>63</v>
      </c>
    </row>
    <row r="650" spans="1:3" x14ac:dyDescent="0.3">
      <c r="A650" s="4">
        <v>54</v>
      </c>
      <c r="B650" s="4">
        <v>65</v>
      </c>
      <c r="C650" s="4">
        <v>65</v>
      </c>
    </row>
    <row r="651" spans="1:3" x14ac:dyDescent="0.3">
      <c r="A651" s="4">
        <v>61</v>
      </c>
      <c r="B651" s="4">
        <v>62</v>
      </c>
      <c r="C651" s="4">
        <v>61</v>
      </c>
    </row>
    <row r="652" spans="1:3" x14ac:dyDescent="0.3">
      <c r="A652" s="4">
        <v>54</v>
      </c>
      <c r="B652" s="4">
        <v>63</v>
      </c>
      <c r="C652" s="4">
        <v>67</v>
      </c>
    </row>
    <row r="653" spans="1:3" x14ac:dyDescent="0.3">
      <c r="A653" s="4">
        <v>66</v>
      </c>
      <c r="B653" s="4">
        <v>60</v>
      </c>
      <c r="C653" s="4">
        <v>57</v>
      </c>
    </row>
    <row r="654" spans="1:3" x14ac:dyDescent="0.3">
      <c r="A654" s="4">
        <v>54</v>
      </c>
      <c r="B654" s="4">
        <v>64</v>
      </c>
      <c r="C654" s="4">
        <v>65</v>
      </c>
    </row>
    <row r="655" spans="1:3" x14ac:dyDescent="0.3">
      <c r="A655" s="4">
        <v>71</v>
      </c>
      <c r="B655" s="4">
        <v>62</v>
      </c>
      <c r="C655" s="4">
        <v>50</v>
      </c>
    </row>
    <row r="656" spans="1:3" x14ac:dyDescent="0.3">
      <c r="A656" s="4">
        <v>58</v>
      </c>
      <c r="B656" s="4">
        <v>59</v>
      </c>
      <c r="C656" s="4">
        <v>66</v>
      </c>
    </row>
    <row r="657" spans="1:3" x14ac:dyDescent="0.3">
      <c r="A657" s="4">
        <v>67</v>
      </c>
      <c r="B657" s="4">
        <v>57</v>
      </c>
      <c r="C657" s="4">
        <v>59</v>
      </c>
    </row>
    <row r="658" spans="1:3" x14ac:dyDescent="0.3">
      <c r="A658" s="4">
        <v>69</v>
      </c>
      <c r="B658" s="4">
        <v>60</v>
      </c>
      <c r="C658" s="4">
        <v>54</v>
      </c>
    </row>
    <row r="659" spans="1:3" x14ac:dyDescent="0.3">
      <c r="A659" s="4">
        <v>55</v>
      </c>
      <c r="B659" s="4">
        <v>65</v>
      </c>
      <c r="C659" s="4">
        <v>62</v>
      </c>
    </row>
    <row r="660" spans="1:3" x14ac:dyDescent="0.3">
      <c r="A660" s="4">
        <v>55</v>
      </c>
      <c r="B660" s="4">
        <v>65</v>
      </c>
      <c r="C660" s="4">
        <v>62</v>
      </c>
    </row>
    <row r="661" spans="1:3" x14ac:dyDescent="0.3">
      <c r="A661" s="4">
        <v>59</v>
      </c>
      <c r="B661" s="4">
        <v>62</v>
      </c>
      <c r="C661" s="4">
        <v>61</v>
      </c>
    </row>
    <row r="662" spans="1:3" x14ac:dyDescent="0.3">
      <c r="A662" s="4">
        <v>53</v>
      </c>
      <c r="B662" s="4">
        <v>61</v>
      </c>
      <c r="C662" s="4">
        <v>68</v>
      </c>
    </row>
    <row r="663" spans="1:3" x14ac:dyDescent="0.3">
      <c r="A663" s="4">
        <v>60</v>
      </c>
      <c r="B663" s="4">
        <v>63</v>
      </c>
      <c r="C663" s="4">
        <v>59</v>
      </c>
    </row>
    <row r="664" spans="1:3" x14ac:dyDescent="0.3">
      <c r="A664" s="4" t="e">
        <v>#N/A</v>
      </c>
      <c r="B664" s="4">
        <v>90</v>
      </c>
      <c r="C664" s="4">
        <v>92</v>
      </c>
    </row>
    <row r="665" spans="1:3" x14ac:dyDescent="0.3">
      <c r="A665" s="4">
        <v>60</v>
      </c>
      <c r="B665" s="4">
        <v>62</v>
      </c>
      <c r="C665" s="4">
        <v>60</v>
      </c>
    </row>
    <row r="666" spans="1:3" x14ac:dyDescent="0.3">
      <c r="A666" s="4">
        <v>63</v>
      </c>
      <c r="B666" s="4">
        <v>55</v>
      </c>
      <c r="C666" s="4">
        <v>63</v>
      </c>
    </row>
    <row r="667" spans="1:3" x14ac:dyDescent="0.3">
      <c r="A667" s="4">
        <v>70</v>
      </c>
      <c r="B667" s="4">
        <v>55</v>
      </c>
      <c r="C667" s="4">
        <v>56</v>
      </c>
    </row>
    <row r="668" spans="1:3" x14ac:dyDescent="0.3">
      <c r="A668" s="4">
        <v>68</v>
      </c>
      <c r="B668" s="4">
        <v>60</v>
      </c>
      <c r="C668" s="4">
        <v>53</v>
      </c>
    </row>
    <row r="669" spans="1:3" x14ac:dyDescent="0.3">
      <c r="A669" s="4">
        <v>62</v>
      </c>
      <c r="B669" s="4">
        <v>63</v>
      </c>
      <c r="C669" s="4">
        <v>56</v>
      </c>
    </row>
    <row r="670" spans="1:3" x14ac:dyDescent="0.3">
      <c r="A670" s="4">
        <v>61</v>
      </c>
      <c r="B670" s="4">
        <v>58</v>
      </c>
      <c r="C670" s="4">
        <v>62</v>
      </c>
    </row>
    <row r="671" spans="1:3" x14ac:dyDescent="0.3">
      <c r="A671" s="4">
        <v>62</v>
      </c>
      <c r="B671" s="4">
        <v>64</v>
      </c>
      <c r="C671" s="4">
        <v>55</v>
      </c>
    </row>
    <row r="672" spans="1:3" x14ac:dyDescent="0.3">
      <c r="A672" s="4">
        <v>62</v>
      </c>
      <c r="B672" s="4">
        <v>57</v>
      </c>
      <c r="C672" s="4">
        <v>62</v>
      </c>
    </row>
    <row r="673" spans="1:3" x14ac:dyDescent="0.3">
      <c r="A673" s="4">
        <v>60</v>
      </c>
      <c r="B673" s="4">
        <v>60</v>
      </c>
      <c r="C673" s="4">
        <v>60</v>
      </c>
    </row>
    <row r="674" spans="1:3" x14ac:dyDescent="0.3">
      <c r="A674" s="4">
        <v>63</v>
      </c>
      <c r="B674" s="4">
        <v>60</v>
      </c>
      <c r="C674" s="4">
        <v>57</v>
      </c>
    </row>
    <row r="675" spans="1:3" x14ac:dyDescent="0.3">
      <c r="A675" s="4">
        <v>62</v>
      </c>
      <c r="B675" s="4">
        <v>61</v>
      </c>
      <c r="C675" s="4">
        <v>57</v>
      </c>
    </row>
    <row r="676" spans="1:3" x14ac:dyDescent="0.3">
      <c r="A676" s="4">
        <v>69</v>
      </c>
      <c r="B676" s="4">
        <v>58</v>
      </c>
      <c r="C676" s="4">
        <v>53</v>
      </c>
    </row>
    <row r="677" spans="1:3" x14ac:dyDescent="0.3">
      <c r="A677" s="4">
        <v>85</v>
      </c>
      <c r="B677" s="4">
        <v>95</v>
      </c>
      <c r="C677" s="4" t="e">
        <v>#N/A</v>
      </c>
    </row>
    <row r="678" spans="1:3" x14ac:dyDescent="0.3">
      <c r="A678" s="4">
        <v>50</v>
      </c>
      <c r="B678" s="4">
        <v>67</v>
      </c>
      <c r="C678" s="4">
        <v>63</v>
      </c>
    </row>
    <row r="679" spans="1:3" x14ac:dyDescent="0.3">
      <c r="A679" s="4">
        <v>59</v>
      </c>
      <c r="B679" s="4">
        <v>54</v>
      </c>
      <c r="C679" s="4">
        <v>67</v>
      </c>
    </row>
    <row r="680" spans="1:3" x14ac:dyDescent="0.3">
      <c r="A680" s="4">
        <v>50</v>
      </c>
      <c r="B680" s="4">
        <v>66</v>
      </c>
      <c r="C680" s="4">
        <v>64</v>
      </c>
    </row>
    <row r="681" spans="1:3" x14ac:dyDescent="0.3">
      <c r="A681" s="4">
        <v>50</v>
      </c>
      <c r="B681" s="4">
        <v>64</v>
      </c>
      <c r="C681" s="4">
        <v>66</v>
      </c>
    </row>
    <row r="682" spans="1:3" x14ac:dyDescent="0.3">
      <c r="A682" s="4">
        <v>58</v>
      </c>
      <c r="B682" s="4">
        <v>62</v>
      </c>
      <c r="C682" s="4">
        <v>59</v>
      </c>
    </row>
    <row r="683" spans="1:3" x14ac:dyDescent="0.3">
      <c r="A683" s="4">
        <v>57</v>
      </c>
      <c r="B683" s="4">
        <v>58</v>
      </c>
      <c r="C683" s="4">
        <v>64</v>
      </c>
    </row>
    <row r="684" spans="1:3" x14ac:dyDescent="0.3">
      <c r="A684" s="4">
        <v>51</v>
      </c>
      <c r="B684" s="4">
        <v>66</v>
      </c>
      <c r="C684" s="4">
        <v>62</v>
      </c>
    </row>
    <row r="685" spans="1:3" x14ac:dyDescent="0.3">
      <c r="A685" s="4">
        <v>48</v>
      </c>
      <c r="B685" s="4">
        <v>66</v>
      </c>
      <c r="C685" s="4">
        <v>65</v>
      </c>
    </row>
    <row r="686" spans="1:3" x14ac:dyDescent="0.3">
      <c r="A686" s="4">
        <v>52</v>
      </c>
      <c r="B686" s="4">
        <v>61</v>
      </c>
      <c r="C686" s="4">
        <v>66</v>
      </c>
    </row>
    <row r="687" spans="1:3" x14ac:dyDescent="0.3">
      <c r="A687" s="4">
        <v>69</v>
      </c>
      <c r="B687" s="4">
        <v>54</v>
      </c>
      <c r="C687" s="4">
        <v>55</v>
      </c>
    </row>
    <row r="688" spans="1:3" x14ac:dyDescent="0.3">
      <c r="A688" s="4">
        <v>62</v>
      </c>
      <c r="B688" s="4">
        <v>61</v>
      </c>
      <c r="C688" s="4">
        <v>55</v>
      </c>
    </row>
    <row r="689" spans="1:3" x14ac:dyDescent="0.3">
      <c r="A689" s="4">
        <v>63</v>
      </c>
      <c r="B689" s="4">
        <v>61</v>
      </c>
      <c r="C689" s="4">
        <v>54</v>
      </c>
    </row>
    <row r="690" spans="1:3" x14ac:dyDescent="0.3">
      <c r="A690" s="4">
        <v>52</v>
      </c>
      <c r="B690" s="4">
        <v>65</v>
      </c>
      <c r="C690" s="4">
        <v>61</v>
      </c>
    </row>
    <row r="691" spans="1:3" x14ac:dyDescent="0.3">
      <c r="A691" s="4">
        <v>61</v>
      </c>
      <c r="B691" s="4">
        <v>60</v>
      </c>
      <c r="C691" s="4">
        <v>57</v>
      </c>
    </row>
    <row r="692" spans="1:3" x14ac:dyDescent="0.3">
      <c r="A692" s="4">
        <v>56</v>
      </c>
      <c r="B692" s="4">
        <v>58</v>
      </c>
      <c r="C692" s="4">
        <v>64</v>
      </c>
    </row>
    <row r="693" spans="1:3" x14ac:dyDescent="0.3">
      <c r="A693" s="4">
        <v>59</v>
      </c>
      <c r="B693" s="4">
        <v>60</v>
      </c>
      <c r="C693" s="4">
        <v>58</v>
      </c>
    </row>
    <row r="694" spans="1:3" x14ac:dyDescent="0.3">
      <c r="A694" s="4">
        <v>65</v>
      </c>
      <c r="B694" s="4">
        <v>59</v>
      </c>
      <c r="C694" s="4">
        <v>53</v>
      </c>
    </row>
    <row r="695" spans="1:3" x14ac:dyDescent="0.3">
      <c r="A695" s="4">
        <v>70</v>
      </c>
      <c r="B695" s="4">
        <v>56</v>
      </c>
      <c r="C695" s="4">
        <v>51</v>
      </c>
    </row>
    <row r="696" spans="1:3" x14ac:dyDescent="0.3">
      <c r="A696" s="4">
        <v>54</v>
      </c>
      <c r="B696" s="4">
        <v>61</v>
      </c>
      <c r="C696" s="4">
        <v>62</v>
      </c>
    </row>
    <row r="697" spans="1:3" x14ac:dyDescent="0.3">
      <c r="A697" s="4">
        <v>56</v>
      </c>
      <c r="B697" s="4">
        <v>61</v>
      </c>
      <c r="C697" s="4">
        <v>60</v>
      </c>
    </row>
    <row r="698" spans="1:3" x14ac:dyDescent="0.3">
      <c r="A698" s="4">
        <v>54</v>
      </c>
      <c r="B698" s="4">
        <v>60</v>
      </c>
      <c r="C698" s="4">
        <v>63</v>
      </c>
    </row>
    <row r="699" spans="1:3" x14ac:dyDescent="0.3">
      <c r="A699" s="4">
        <v>66</v>
      </c>
      <c r="B699" s="4">
        <v>59</v>
      </c>
      <c r="C699" s="4">
        <v>52</v>
      </c>
    </row>
    <row r="700" spans="1:3" x14ac:dyDescent="0.3">
      <c r="A700" s="4">
        <v>67</v>
      </c>
      <c r="B700" s="4">
        <v>57</v>
      </c>
      <c r="C700" s="4">
        <v>53</v>
      </c>
    </row>
    <row r="701" spans="1:3" x14ac:dyDescent="0.3">
      <c r="A701" s="4">
        <v>53</v>
      </c>
      <c r="B701" s="4">
        <v>58</v>
      </c>
      <c r="C701" s="4">
        <v>65</v>
      </c>
    </row>
    <row r="702" spans="1:3" x14ac:dyDescent="0.3">
      <c r="A702" s="4">
        <v>65</v>
      </c>
      <c r="B702" s="4">
        <v>54</v>
      </c>
      <c r="C702" s="4">
        <v>57</v>
      </c>
    </row>
    <row r="703" spans="1:3" x14ac:dyDescent="0.3">
      <c r="A703" s="4">
        <v>59</v>
      </c>
      <c r="B703" s="4">
        <v>58</v>
      </c>
      <c r="C703" s="4">
        <v>59</v>
      </c>
    </row>
    <row r="704" spans="1:3" x14ac:dyDescent="0.3">
      <c r="A704" s="4">
        <v>63</v>
      </c>
      <c r="B704" s="4">
        <v>57</v>
      </c>
      <c r="C704" s="4">
        <v>56</v>
      </c>
    </row>
    <row r="705" spans="1:3" x14ac:dyDescent="0.3">
      <c r="A705" s="4">
        <v>46</v>
      </c>
      <c r="B705" s="4">
        <v>64</v>
      </c>
      <c r="C705" s="4">
        <v>66</v>
      </c>
    </row>
    <row r="706" spans="1:3" x14ac:dyDescent="0.3">
      <c r="A706" s="4">
        <v>53</v>
      </c>
      <c r="B706" s="4">
        <v>61</v>
      </c>
      <c r="C706" s="4">
        <v>62</v>
      </c>
    </row>
    <row r="707" spans="1:3" x14ac:dyDescent="0.3">
      <c r="A707" s="4">
        <v>68</v>
      </c>
      <c r="B707" s="4">
        <v>51</v>
      </c>
      <c r="C707" s="4">
        <v>57</v>
      </c>
    </row>
    <row r="708" spans="1:3" x14ac:dyDescent="0.3">
      <c r="A708" s="4">
        <v>61</v>
      </c>
      <c r="B708" s="4">
        <v>60</v>
      </c>
      <c r="C708" s="4">
        <v>55</v>
      </c>
    </row>
    <row r="709" spans="1:3" x14ac:dyDescent="0.3">
      <c r="A709" s="4">
        <v>52</v>
      </c>
      <c r="B709" s="4">
        <v>59</v>
      </c>
      <c r="C709" s="4">
        <v>65</v>
      </c>
    </row>
    <row r="710" spans="1:3" x14ac:dyDescent="0.3">
      <c r="A710" s="4">
        <v>58</v>
      </c>
      <c r="B710" s="4">
        <v>59</v>
      </c>
      <c r="C710" s="4">
        <v>58</v>
      </c>
    </row>
    <row r="711" spans="1:3" x14ac:dyDescent="0.3">
      <c r="A711" s="4">
        <v>51</v>
      </c>
      <c r="B711" s="4">
        <v>63</v>
      </c>
      <c r="C711" s="4">
        <v>61</v>
      </c>
    </row>
    <row r="712" spans="1:3" x14ac:dyDescent="0.3">
      <c r="A712" s="4">
        <v>66</v>
      </c>
      <c r="B712" s="4">
        <v>57</v>
      </c>
      <c r="C712" s="4">
        <v>52</v>
      </c>
    </row>
    <row r="713" spans="1:3" x14ac:dyDescent="0.3">
      <c r="A713" s="4">
        <v>54</v>
      </c>
      <c r="B713" s="4">
        <v>59</v>
      </c>
      <c r="C713" s="4">
        <v>62</v>
      </c>
    </row>
    <row r="714" spans="1:3" x14ac:dyDescent="0.3">
      <c r="A714" s="4">
        <v>58</v>
      </c>
      <c r="B714" s="4">
        <v>60</v>
      </c>
      <c r="C714" s="4">
        <v>57</v>
      </c>
    </row>
    <row r="715" spans="1:3" x14ac:dyDescent="0.3">
      <c r="A715" s="4">
        <v>68</v>
      </c>
      <c r="B715" s="4">
        <v>54</v>
      </c>
      <c r="C715" s="4">
        <v>53</v>
      </c>
    </row>
    <row r="716" spans="1:3" x14ac:dyDescent="0.3">
      <c r="A716" s="4">
        <v>47</v>
      </c>
      <c r="B716" s="4">
        <v>62</v>
      </c>
      <c r="C716" s="4">
        <v>66</v>
      </c>
    </row>
    <row r="717" spans="1:3" x14ac:dyDescent="0.3">
      <c r="A717" s="4">
        <v>49</v>
      </c>
      <c r="B717" s="4">
        <v>65</v>
      </c>
      <c r="C717" s="4">
        <v>61</v>
      </c>
    </row>
    <row r="718" spans="1:3" x14ac:dyDescent="0.3">
      <c r="A718" s="4">
        <v>61</v>
      </c>
      <c r="B718" s="4">
        <v>57</v>
      </c>
      <c r="C718" s="4">
        <v>56</v>
      </c>
    </row>
    <row r="719" spans="1:3" x14ac:dyDescent="0.3">
      <c r="A719" s="4">
        <v>64</v>
      </c>
      <c r="B719" s="4">
        <v>53</v>
      </c>
      <c r="C719" s="4">
        <v>57</v>
      </c>
    </row>
    <row r="720" spans="1:3" x14ac:dyDescent="0.3">
      <c r="A720" s="4">
        <v>54</v>
      </c>
      <c r="B720" s="4">
        <v>58</v>
      </c>
      <c r="C720" s="4">
        <v>61</v>
      </c>
    </row>
    <row r="721" spans="1:3" x14ac:dyDescent="0.3">
      <c r="A721" s="4">
        <v>50</v>
      </c>
      <c r="B721" s="4">
        <v>64</v>
      </c>
      <c r="C721" s="4">
        <v>59</v>
      </c>
    </row>
    <row r="722" spans="1:3" x14ac:dyDescent="0.3">
      <c r="A722" s="4">
        <v>61</v>
      </c>
      <c r="B722" s="4">
        <v>56</v>
      </c>
      <c r="C722" s="4">
        <v>56</v>
      </c>
    </row>
    <row r="723" spans="1:3" x14ac:dyDescent="0.3">
      <c r="A723" s="4">
        <v>88</v>
      </c>
      <c r="B723" s="4">
        <v>85</v>
      </c>
      <c r="C723" s="4" t="e">
        <v>#N/A</v>
      </c>
    </row>
    <row r="724" spans="1:3" x14ac:dyDescent="0.3">
      <c r="A724" s="4">
        <v>60</v>
      </c>
      <c r="B724" s="4">
        <v>59</v>
      </c>
      <c r="C724" s="4">
        <v>54</v>
      </c>
    </row>
    <row r="725" spans="1:3" x14ac:dyDescent="0.3">
      <c r="A725" s="4">
        <v>83</v>
      </c>
      <c r="B725" s="4" t="e">
        <v>#N/A</v>
      </c>
      <c r="C725" s="4">
        <v>90</v>
      </c>
    </row>
    <row r="726" spans="1:3" x14ac:dyDescent="0.3">
      <c r="A726" s="4">
        <v>55</v>
      </c>
      <c r="B726" s="4">
        <v>59</v>
      </c>
      <c r="C726" s="4">
        <v>59</v>
      </c>
    </row>
    <row r="727" spans="1:3" x14ac:dyDescent="0.3">
      <c r="A727" s="4">
        <v>52</v>
      </c>
      <c r="B727" s="4">
        <v>59</v>
      </c>
      <c r="C727" s="4">
        <v>62</v>
      </c>
    </row>
    <row r="728" spans="1:3" x14ac:dyDescent="0.3">
      <c r="A728" s="4">
        <v>64</v>
      </c>
      <c r="B728" s="4">
        <v>58</v>
      </c>
      <c r="C728" s="4">
        <v>51</v>
      </c>
    </row>
    <row r="729" spans="1:3" x14ac:dyDescent="0.3">
      <c r="A729" s="4">
        <v>54</v>
      </c>
      <c r="B729" s="4">
        <v>61</v>
      </c>
      <c r="C729" s="4">
        <v>58</v>
      </c>
    </row>
    <row r="730" spans="1:3" x14ac:dyDescent="0.3">
      <c r="A730" s="4">
        <v>94</v>
      </c>
      <c r="B730" s="4" t="e">
        <v>#N/A</v>
      </c>
      <c r="C730" s="4">
        <v>78</v>
      </c>
    </row>
    <row r="731" spans="1:3" x14ac:dyDescent="0.3">
      <c r="A731" s="4">
        <v>47</v>
      </c>
      <c r="B731" s="4">
        <v>58</v>
      </c>
      <c r="C731" s="4">
        <v>67</v>
      </c>
    </row>
    <row r="732" spans="1:3" x14ac:dyDescent="0.3">
      <c r="A732" s="4">
        <v>61</v>
      </c>
      <c r="B732" s="4">
        <v>56</v>
      </c>
      <c r="C732" s="4">
        <v>55</v>
      </c>
    </row>
    <row r="733" spans="1:3" x14ac:dyDescent="0.3">
      <c r="A733" s="4">
        <v>65</v>
      </c>
      <c r="B733" s="4">
        <v>58</v>
      </c>
      <c r="C733" s="4">
        <v>49</v>
      </c>
    </row>
    <row r="734" spans="1:3" x14ac:dyDescent="0.3">
      <c r="A734" s="4">
        <v>71</v>
      </c>
      <c r="B734" s="4">
        <v>49</v>
      </c>
      <c r="C734" s="4">
        <v>52</v>
      </c>
    </row>
    <row r="735" spans="1:3" x14ac:dyDescent="0.3">
      <c r="A735" s="4">
        <v>57</v>
      </c>
      <c r="B735" s="4">
        <v>61</v>
      </c>
      <c r="C735" s="4">
        <v>54</v>
      </c>
    </row>
    <row r="736" spans="1:3" x14ac:dyDescent="0.3">
      <c r="A736" s="4">
        <v>64</v>
      </c>
      <c r="B736" s="4">
        <v>56</v>
      </c>
      <c r="C736" s="4">
        <v>52</v>
      </c>
    </row>
    <row r="737" spans="1:3" x14ac:dyDescent="0.3">
      <c r="A737" s="4">
        <v>57</v>
      </c>
      <c r="B737" s="4">
        <v>58</v>
      </c>
      <c r="C737" s="4">
        <v>57</v>
      </c>
    </row>
    <row r="738" spans="1:3" x14ac:dyDescent="0.3">
      <c r="A738" s="4">
        <v>62</v>
      </c>
      <c r="B738" s="4">
        <v>55</v>
      </c>
      <c r="C738" s="4">
        <v>55</v>
      </c>
    </row>
    <row r="739" spans="1:3" x14ac:dyDescent="0.3">
      <c r="A739" s="4">
        <v>62</v>
      </c>
      <c r="B739" s="4">
        <v>56</v>
      </c>
      <c r="C739" s="4">
        <v>53</v>
      </c>
    </row>
    <row r="740" spans="1:3" x14ac:dyDescent="0.3">
      <c r="A740" s="4">
        <v>58</v>
      </c>
      <c r="B740" s="4">
        <v>61</v>
      </c>
      <c r="C740" s="4">
        <v>52</v>
      </c>
    </row>
    <row r="741" spans="1:3" x14ac:dyDescent="0.3">
      <c r="A741" s="4">
        <v>81</v>
      </c>
      <c r="B741" s="4" t="e">
        <v>#N/A</v>
      </c>
      <c r="C741" s="4">
        <v>90</v>
      </c>
    </row>
    <row r="742" spans="1:3" x14ac:dyDescent="0.3">
      <c r="A742" s="4">
        <v>53</v>
      </c>
      <c r="B742" s="4">
        <v>62</v>
      </c>
      <c r="C742" s="4">
        <v>56</v>
      </c>
    </row>
    <row r="743" spans="1:3" x14ac:dyDescent="0.3">
      <c r="A743" s="4">
        <v>62</v>
      </c>
      <c r="B743" s="4">
        <v>55</v>
      </c>
      <c r="C743" s="4">
        <v>54</v>
      </c>
    </row>
    <row r="744" spans="1:3" x14ac:dyDescent="0.3">
      <c r="A744" s="4">
        <v>87</v>
      </c>
      <c r="B744" s="4">
        <v>84</v>
      </c>
      <c r="C744" s="4" t="e">
        <v>#N/A</v>
      </c>
    </row>
    <row r="745" spans="1:3" x14ac:dyDescent="0.3">
      <c r="A745" s="4">
        <v>57</v>
      </c>
      <c r="B745" s="4">
        <v>56</v>
      </c>
      <c r="C745" s="4">
        <v>57</v>
      </c>
    </row>
    <row r="746" spans="1:3" x14ac:dyDescent="0.3">
      <c r="A746" s="4">
        <v>55</v>
      </c>
      <c r="B746" s="4">
        <v>61</v>
      </c>
      <c r="C746" s="4">
        <v>54</v>
      </c>
    </row>
    <row r="747" spans="1:3" x14ac:dyDescent="0.3">
      <c r="A747" s="4">
        <v>50</v>
      </c>
      <c r="B747" s="4">
        <v>60</v>
      </c>
      <c r="C747" s="4">
        <v>60</v>
      </c>
    </row>
    <row r="748" spans="1:3" x14ac:dyDescent="0.3">
      <c r="A748" s="4">
        <v>48</v>
      </c>
      <c r="B748" s="4">
        <v>62</v>
      </c>
      <c r="C748" s="4">
        <v>60</v>
      </c>
    </row>
    <row r="749" spans="1:3" x14ac:dyDescent="0.3">
      <c r="A749" s="4">
        <v>49</v>
      </c>
      <c r="B749" s="4">
        <v>65</v>
      </c>
      <c r="C749" s="4">
        <v>55</v>
      </c>
    </row>
    <row r="750" spans="1:3" x14ac:dyDescent="0.3">
      <c r="A750" s="4">
        <v>51</v>
      </c>
      <c r="B750" s="4">
        <v>60</v>
      </c>
      <c r="C750" s="4">
        <v>58</v>
      </c>
    </row>
    <row r="751" spans="1:3" x14ac:dyDescent="0.3">
      <c r="A751" s="4">
        <v>44</v>
      </c>
      <c r="B751" s="4">
        <v>63</v>
      </c>
      <c r="C751" s="4">
        <v>62</v>
      </c>
    </row>
    <row r="752" spans="1:3" x14ac:dyDescent="0.3">
      <c r="A752" s="4">
        <v>58</v>
      </c>
      <c r="B752" s="4">
        <v>57</v>
      </c>
      <c r="C752" s="4">
        <v>54</v>
      </c>
    </row>
    <row r="753" spans="1:3" x14ac:dyDescent="0.3">
      <c r="A753" s="4">
        <v>50</v>
      </c>
      <c r="B753" s="4">
        <v>60</v>
      </c>
      <c r="C753" s="4">
        <v>59</v>
      </c>
    </row>
    <row r="754" spans="1:3" x14ac:dyDescent="0.3">
      <c r="A754" s="4">
        <v>40</v>
      </c>
      <c r="B754" s="4">
        <v>65</v>
      </c>
      <c r="C754" s="4">
        <v>64</v>
      </c>
    </row>
    <row r="755" spans="1:3" x14ac:dyDescent="0.3">
      <c r="A755" s="4">
        <v>61</v>
      </c>
      <c r="B755" s="4">
        <v>55</v>
      </c>
      <c r="C755" s="4">
        <v>52</v>
      </c>
    </row>
    <row r="756" spans="1:3" x14ac:dyDescent="0.3">
      <c r="A756" s="4">
        <v>52</v>
      </c>
      <c r="B756" s="4">
        <v>58</v>
      </c>
      <c r="C756" s="4">
        <v>58</v>
      </c>
    </row>
    <row r="757" spans="1:3" x14ac:dyDescent="0.3">
      <c r="A757" s="4">
        <v>55</v>
      </c>
      <c r="B757" s="4">
        <v>59</v>
      </c>
      <c r="C757" s="4">
        <v>54</v>
      </c>
    </row>
    <row r="758" spans="1:3" x14ac:dyDescent="0.3">
      <c r="A758" s="4">
        <v>60</v>
      </c>
      <c r="B758" s="4">
        <v>57</v>
      </c>
      <c r="C758" s="4">
        <v>51</v>
      </c>
    </row>
    <row r="759" spans="1:3" x14ac:dyDescent="0.3">
      <c r="A759" s="4">
        <v>49</v>
      </c>
      <c r="B759" s="4">
        <v>63</v>
      </c>
      <c r="C759" s="4">
        <v>56</v>
      </c>
    </row>
    <row r="760" spans="1:3" x14ac:dyDescent="0.3">
      <c r="A760" s="4">
        <v>53</v>
      </c>
      <c r="B760" s="4">
        <v>58</v>
      </c>
      <c r="C760" s="4">
        <v>57</v>
      </c>
    </row>
    <row r="761" spans="1:3" x14ac:dyDescent="0.3">
      <c r="A761" s="4">
        <v>45</v>
      </c>
      <c r="B761" s="4">
        <v>59</v>
      </c>
      <c r="C761" s="4">
        <v>64</v>
      </c>
    </row>
    <row r="762" spans="1:3" x14ac:dyDescent="0.3">
      <c r="A762" s="4">
        <v>58</v>
      </c>
      <c r="B762" s="4">
        <v>57</v>
      </c>
      <c r="C762" s="4">
        <v>53</v>
      </c>
    </row>
    <row r="763" spans="1:3" x14ac:dyDescent="0.3">
      <c r="A763" s="4">
        <v>64</v>
      </c>
      <c r="B763" s="4">
        <v>54</v>
      </c>
      <c r="C763" s="4">
        <v>50</v>
      </c>
    </row>
    <row r="764" spans="1:3" x14ac:dyDescent="0.3">
      <c r="A764" s="4">
        <v>53</v>
      </c>
      <c r="B764" s="4">
        <v>62</v>
      </c>
      <c r="C764" s="4">
        <v>53</v>
      </c>
    </row>
    <row r="765" spans="1:3" x14ac:dyDescent="0.3">
      <c r="A765" s="4">
        <v>60</v>
      </c>
      <c r="B765" s="4">
        <v>51</v>
      </c>
      <c r="C765" s="4">
        <v>56</v>
      </c>
    </row>
    <row r="766" spans="1:3" x14ac:dyDescent="0.3">
      <c r="A766" s="4">
        <v>49</v>
      </c>
      <c r="B766" s="4">
        <v>58</v>
      </c>
      <c r="C766" s="4">
        <v>60</v>
      </c>
    </row>
    <row r="767" spans="1:3" x14ac:dyDescent="0.3">
      <c r="A767" s="4">
        <v>57</v>
      </c>
      <c r="B767" s="4">
        <v>54</v>
      </c>
      <c r="C767" s="4">
        <v>56</v>
      </c>
    </row>
    <row r="768" spans="1:3" x14ac:dyDescent="0.3">
      <c r="A768" s="4">
        <v>57</v>
      </c>
      <c r="B768" s="4">
        <v>56</v>
      </c>
      <c r="C768" s="4">
        <v>54</v>
      </c>
    </row>
    <row r="769" spans="1:3" x14ac:dyDescent="0.3">
      <c r="A769" s="4">
        <v>52</v>
      </c>
      <c r="B769" s="4">
        <v>59</v>
      </c>
      <c r="C769" s="4">
        <v>56</v>
      </c>
    </row>
    <row r="770" spans="1:3" x14ac:dyDescent="0.3">
      <c r="A770" s="4">
        <v>49</v>
      </c>
      <c r="B770" s="4">
        <v>58</v>
      </c>
      <c r="C770" s="4">
        <v>60</v>
      </c>
    </row>
    <row r="771" spans="1:3" x14ac:dyDescent="0.3">
      <c r="A771" s="4">
        <v>45</v>
      </c>
      <c r="B771" s="4">
        <v>63</v>
      </c>
      <c r="C771" s="4">
        <v>59</v>
      </c>
    </row>
    <row r="772" spans="1:3" x14ac:dyDescent="0.3">
      <c r="A772" s="4">
        <v>62</v>
      </c>
      <c r="B772" s="4">
        <v>55</v>
      </c>
      <c r="C772" s="4">
        <v>49</v>
      </c>
    </row>
    <row r="773" spans="1:3" x14ac:dyDescent="0.3">
      <c r="A773" s="4">
        <v>53</v>
      </c>
      <c r="B773" s="4">
        <v>58</v>
      </c>
      <c r="C773" s="4">
        <v>55</v>
      </c>
    </row>
    <row r="774" spans="1:3" x14ac:dyDescent="0.3">
      <c r="A774" s="4">
        <v>58</v>
      </c>
      <c r="B774" s="4">
        <v>55</v>
      </c>
      <c r="C774" s="4">
        <v>53</v>
      </c>
    </row>
    <row r="775" spans="1:3" x14ac:dyDescent="0.3">
      <c r="A775" s="4">
        <v>43</v>
      </c>
      <c r="B775" s="4">
        <v>62</v>
      </c>
      <c r="C775" s="4">
        <v>61</v>
      </c>
    </row>
    <row r="776" spans="1:3" x14ac:dyDescent="0.3">
      <c r="A776" s="4">
        <v>52</v>
      </c>
      <c r="B776" s="4">
        <v>57</v>
      </c>
      <c r="C776" s="4">
        <v>56</v>
      </c>
    </row>
    <row r="777" spans="1:3" x14ac:dyDescent="0.3">
      <c r="A777" s="4">
        <v>80</v>
      </c>
      <c r="B777" s="4">
        <v>85</v>
      </c>
      <c r="C777" s="4" t="e">
        <v>#N/A</v>
      </c>
    </row>
    <row r="778" spans="1:3" x14ac:dyDescent="0.3">
      <c r="A778" s="4">
        <v>55</v>
      </c>
      <c r="B778" s="4">
        <v>58</v>
      </c>
      <c r="C778" s="4">
        <v>52</v>
      </c>
    </row>
    <row r="779" spans="1:3" x14ac:dyDescent="0.3">
      <c r="A779" s="4">
        <v>58</v>
      </c>
      <c r="B779" s="4">
        <v>54</v>
      </c>
      <c r="C779" s="4">
        <v>52</v>
      </c>
    </row>
    <row r="780" spans="1:3" x14ac:dyDescent="0.3">
      <c r="A780" s="4">
        <v>42</v>
      </c>
      <c r="B780" s="4">
        <v>62</v>
      </c>
      <c r="C780" s="4">
        <v>60</v>
      </c>
    </row>
    <row r="781" spans="1:3" x14ac:dyDescent="0.3">
      <c r="A781" s="4">
        <v>61</v>
      </c>
      <c r="B781" s="4">
        <v>47</v>
      </c>
      <c r="C781" s="4">
        <v>56</v>
      </c>
    </row>
    <row r="782" spans="1:3" x14ac:dyDescent="0.3">
      <c r="A782" s="4">
        <v>61</v>
      </c>
      <c r="B782" s="4">
        <v>51</v>
      </c>
      <c r="C782" s="4">
        <v>52</v>
      </c>
    </row>
    <row r="783" spans="1:3" x14ac:dyDescent="0.3">
      <c r="A783" s="4">
        <v>52</v>
      </c>
      <c r="B783" s="4">
        <v>55</v>
      </c>
      <c r="C783" s="4">
        <v>57</v>
      </c>
    </row>
    <row r="784" spans="1:3" x14ac:dyDescent="0.3">
      <c r="A784" s="4">
        <v>59</v>
      </c>
      <c r="B784" s="4">
        <v>54</v>
      </c>
      <c r="C784" s="4">
        <v>51</v>
      </c>
    </row>
    <row r="785" spans="1:3" x14ac:dyDescent="0.3">
      <c r="A785" s="4">
        <v>59</v>
      </c>
      <c r="B785" s="4">
        <v>53</v>
      </c>
      <c r="C785" s="4">
        <v>52</v>
      </c>
    </row>
    <row r="786" spans="1:3" x14ac:dyDescent="0.3">
      <c r="A786" s="4">
        <v>58</v>
      </c>
      <c r="B786" s="4">
        <v>52</v>
      </c>
      <c r="C786" s="4">
        <v>54</v>
      </c>
    </row>
    <row r="787" spans="1:3" x14ac:dyDescent="0.3">
      <c r="A787" s="4">
        <v>51</v>
      </c>
      <c r="B787" s="4">
        <v>58</v>
      </c>
      <c r="C787" s="4">
        <v>54</v>
      </c>
    </row>
    <row r="788" spans="1:3" x14ac:dyDescent="0.3">
      <c r="A788" s="4">
        <v>56</v>
      </c>
      <c r="B788" s="4">
        <v>52</v>
      </c>
      <c r="C788" s="4">
        <v>55</v>
      </c>
    </row>
    <row r="789" spans="1:3" x14ac:dyDescent="0.3">
      <c r="A789" s="4">
        <v>54</v>
      </c>
      <c r="B789" s="4">
        <v>59</v>
      </c>
      <c r="C789" s="4">
        <v>50</v>
      </c>
    </row>
    <row r="790" spans="1:3" x14ac:dyDescent="0.3">
      <c r="A790" s="4">
        <v>53</v>
      </c>
      <c r="B790" s="4">
        <v>50</v>
      </c>
      <c r="C790" s="4">
        <v>60</v>
      </c>
    </row>
    <row r="791" spans="1:3" x14ac:dyDescent="0.3">
      <c r="A791" s="4">
        <v>55</v>
      </c>
      <c r="B791" s="4">
        <v>56</v>
      </c>
      <c r="C791" s="4">
        <v>51</v>
      </c>
    </row>
    <row r="792" spans="1:3" x14ac:dyDescent="0.3">
      <c r="A792" s="4">
        <v>56</v>
      </c>
      <c r="B792" s="4">
        <v>54</v>
      </c>
      <c r="C792" s="4">
        <v>52</v>
      </c>
    </row>
    <row r="793" spans="1:3" x14ac:dyDescent="0.3">
      <c r="A793" s="4">
        <v>82</v>
      </c>
      <c r="B793" s="4" t="e">
        <v>#N/A</v>
      </c>
      <c r="C793" s="4">
        <v>80</v>
      </c>
    </row>
    <row r="794" spans="1:3" x14ac:dyDescent="0.3">
      <c r="A794" s="4">
        <v>48</v>
      </c>
      <c r="B794" s="4">
        <v>56</v>
      </c>
      <c r="C794" s="4">
        <v>58</v>
      </c>
    </row>
    <row r="795" spans="1:3" x14ac:dyDescent="0.3">
      <c r="A795" s="4">
        <v>49</v>
      </c>
      <c r="B795" s="4">
        <v>58</v>
      </c>
      <c r="C795" s="4">
        <v>55</v>
      </c>
    </row>
    <row r="796" spans="1:3" x14ac:dyDescent="0.3">
      <c r="A796" s="4">
        <v>46</v>
      </c>
      <c r="B796" s="4">
        <v>61</v>
      </c>
      <c r="C796" s="4">
        <v>55</v>
      </c>
    </row>
    <row r="797" spans="1:3" x14ac:dyDescent="0.3">
      <c r="A797" s="4">
        <v>57</v>
      </c>
      <c r="B797" s="4">
        <v>51</v>
      </c>
      <c r="C797" s="4">
        <v>54</v>
      </c>
    </row>
    <row r="798" spans="1:3" x14ac:dyDescent="0.3">
      <c r="A798" s="4">
        <v>50</v>
      </c>
      <c r="B798" s="4">
        <v>53</v>
      </c>
      <c r="C798" s="4">
        <v>58</v>
      </c>
    </row>
    <row r="799" spans="1:3" x14ac:dyDescent="0.3">
      <c r="A799" s="4">
        <v>58</v>
      </c>
      <c r="B799" s="4">
        <v>55</v>
      </c>
      <c r="C799" s="4">
        <v>48</v>
      </c>
    </row>
    <row r="800" spans="1:3" x14ac:dyDescent="0.3">
      <c r="A800" s="4">
        <v>57</v>
      </c>
      <c r="B800" s="4">
        <v>50</v>
      </c>
      <c r="C800" s="4">
        <v>54</v>
      </c>
    </row>
    <row r="801" spans="1:3" x14ac:dyDescent="0.3">
      <c r="A801" s="4">
        <v>46</v>
      </c>
      <c r="B801" s="4">
        <v>58</v>
      </c>
      <c r="C801" s="4">
        <v>57</v>
      </c>
    </row>
    <row r="802" spans="1:3" x14ac:dyDescent="0.3">
      <c r="A802" s="4" t="e">
        <v>#N/A</v>
      </c>
      <c r="B802" s="4">
        <v>85</v>
      </c>
      <c r="C802" s="4">
        <v>76</v>
      </c>
    </row>
    <row r="803" spans="1:3" x14ac:dyDescent="0.3">
      <c r="A803" s="4">
        <v>58</v>
      </c>
      <c r="B803" s="4">
        <v>51</v>
      </c>
      <c r="C803" s="4">
        <v>52</v>
      </c>
    </row>
    <row r="804" spans="1:3" x14ac:dyDescent="0.3">
      <c r="A804" s="4">
        <v>43</v>
      </c>
      <c r="B804" s="4">
        <v>60</v>
      </c>
      <c r="C804" s="4">
        <v>58</v>
      </c>
    </row>
    <row r="805" spans="1:3" x14ac:dyDescent="0.3">
      <c r="A805" s="4">
        <v>42</v>
      </c>
      <c r="B805" s="4">
        <v>61</v>
      </c>
      <c r="C805" s="4">
        <v>58</v>
      </c>
    </row>
    <row r="806" spans="1:3" x14ac:dyDescent="0.3">
      <c r="A806" s="4">
        <v>84</v>
      </c>
      <c r="B806" s="4">
        <v>77</v>
      </c>
      <c r="C806" s="4" t="e">
        <v>#N/A</v>
      </c>
    </row>
    <row r="807" spans="1:3" x14ac:dyDescent="0.3">
      <c r="A807" s="4">
        <v>50</v>
      </c>
      <c r="B807" s="4">
        <v>56</v>
      </c>
      <c r="C807" s="4">
        <v>54</v>
      </c>
    </row>
    <row r="808" spans="1:3" x14ac:dyDescent="0.3">
      <c r="A808" s="4">
        <v>39</v>
      </c>
      <c r="B808" s="4">
        <v>64</v>
      </c>
      <c r="C808" s="4">
        <v>57</v>
      </c>
    </row>
    <row r="809" spans="1:3" x14ac:dyDescent="0.3">
      <c r="A809" s="4">
        <v>51</v>
      </c>
      <c r="B809" s="4">
        <v>56</v>
      </c>
      <c r="C809" s="4">
        <v>53</v>
      </c>
    </row>
    <row r="810" spans="1:3" x14ac:dyDescent="0.3">
      <c r="A810" s="4">
        <v>48</v>
      </c>
      <c r="B810" s="4">
        <v>58</v>
      </c>
      <c r="C810" s="4">
        <v>54</v>
      </c>
    </row>
    <row r="811" spans="1:3" x14ac:dyDescent="0.3">
      <c r="A811" s="4">
        <v>52</v>
      </c>
      <c r="B811" s="4">
        <v>57</v>
      </c>
      <c r="C811" s="4">
        <v>50</v>
      </c>
    </row>
    <row r="812" spans="1:3" x14ac:dyDescent="0.3">
      <c r="A812" s="4">
        <v>81</v>
      </c>
      <c r="B812" s="4" t="e">
        <v>#N/A</v>
      </c>
      <c r="C812" s="4">
        <v>78</v>
      </c>
    </row>
    <row r="813" spans="1:3" x14ac:dyDescent="0.3">
      <c r="A813" s="4">
        <v>46</v>
      </c>
      <c r="B813" s="4">
        <v>56</v>
      </c>
      <c r="C813" s="4">
        <v>57</v>
      </c>
    </row>
    <row r="814" spans="1:3" x14ac:dyDescent="0.3">
      <c r="A814" s="4">
        <v>46</v>
      </c>
      <c r="B814" s="4">
        <v>54</v>
      </c>
      <c r="C814" s="4">
        <v>58</v>
      </c>
    </row>
    <row r="815" spans="1:3" x14ac:dyDescent="0.3">
      <c r="A815" s="4">
        <v>54</v>
      </c>
      <c r="B815" s="4">
        <v>52</v>
      </c>
      <c r="C815" s="4">
        <v>52</v>
      </c>
    </row>
    <row r="816" spans="1:3" x14ac:dyDescent="0.3">
      <c r="A816" s="4">
        <v>47</v>
      </c>
      <c r="B816" s="4">
        <v>53</v>
      </c>
      <c r="C816" s="4">
        <v>58</v>
      </c>
    </row>
    <row r="817" spans="1:3" x14ac:dyDescent="0.3">
      <c r="A817" s="4">
        <v>49</v>
      </c>
      <c r="B817" s="4">
        <v>57</v>
      </c>
      <c r="C817" s="4">
        <v>52</v>
      </c>
    </row>
    <row r="818" spans="1:3" x14ac:dyDescent="0.3">
      <c r="A818" s="4">
        <v>63</v>
      </c>
      <c r="B818" s="4">
        <v>48</v>
      </c>
      <c r="C818" s="4">
        <v>47</v>
      </c>
    </row>
    <row r="819" spans="1:3" x14ac:dyDescent="0.3">
      <c r="A819" s="4">
        <v>48</v>
      </c>
      <c r="B819" s="4">
        <v>58</v>
      </c>
      <c r="C819" s="4">
        <v>52</v>
      </c>
    </row>
    <row r="820" spans="1:3" x14ac:dyDescent="0.3">
      <c r="A820" s="4">
        <v>69</v>
      </c>
      <c r="B820" s="4" t="e">
        <v>#N/A</v>
      </c>
      <c r="C820" s="4">
        <v>88</v>
      </c>
    </row>
    <row r="821" spans="1:3" x14ac:dyDescent="0.3">
      <c r="A821" s="4">
        <v>54</v>
      </c>
      <c r="B821" s="4">
        <v>52</v>
      </c>
      <c r="C821" s="4">
        <v>51</v>
      </c>
    </row>
    <row r="822" spans="1:3" x14ac:dyDescent="0.3">
      <c r="A822" s="4">
        <v>59</v>
      </c>
      <c r="B822" s="4">
        <v>52</v>
      </c>
      <c r="C822" s="4">
        <v>46</v>
      </c>
    </row>
    <row r="823" spans="1:3" x14ac:dyDescent="0.3">
      <c r="A823" s="4">
        <v>64</v>
      </c>
      <c r="B823" s="4">
        <v>50</v>
      </c>
      <c r="C823" s="4">
        <v>43</v>
      </c>
    </row>
    <row r="824" spans="1:3" x14ac:dyDescent="0.3">
      <c r="A824" s="4">
        <v>55</v>
      </c>
      <c r="B824" s="4">
        <v>55</v>
      </c>
      <c r="C824" s="4">
        <v>47</v>
      </c>
    </row>
    <row r="825" spans="1:3" x14ac:dyDescent="0.3">
      <c r="A825" s="4">
        <v>44</v>
      </c>
      <c r="B825" s="4">
        <v>61</v>
      </c>
      <c r="C825" s="4">
        <v>52</v>
      </c>
    </row>
    <row r="826" spans="1:3" x14ac:dyDescent="0.3">
      <c r="A826" s="4">
        <v>53</v>
      </c>
      <c r="B826" s="4">
        <v>55</v>
      </c>
      <c r="C826" s="4">
        <v>48</v>
      </c>
    </row>
    <row r="827" spans="1:3" x14ac:dyDescent="0.3">
      <c r="A827" s="4">
        <v>52</v>
      </c>
      <c r="B827" s="4">
        <v>55</v>
      </c>
      <c r="C827" s="4">
        <v>49</v>
      </c>
    </row>
    <row r="828" spans="1:3" x14ac:dyDescent="0.3">
      <c r="A828" s="4">
        <v>47</v>
      </c>
      <c r="B828" s="4">
        <v>59</v>
      </c>
      <c r="C828" s="4">
        <v>50</v>
      </c>
    </row>
    <row r="829" spans="1:3" x14ac:dyDescent="0.3">
      <c r="A829" s="4">
        <v>57</v>
      </c>
      <c r="B829" s="4">
        <v>48</v>
      </c>
      <c r="C829" s="4">
        <v>51</v>
      </c>
    </row>
    <row r="830" spans="1:3" x14ac:dyDescent="0.3">
      <c r="A830" s="4">
        <v>53</v>
      </c>
      <c r="B830" s="4">
        <v>51</v>
      </c>
      <c r="C830" s="4">
        <v>51</v>
      </c>
    </row>
    <row r="831" spans="1:3" x14ac:dyDescent="0.3">
      <c r="A831" s="4">
        <v>45</v>
      </c>
      <c r="B831" s="4">
        <v>56</v>
      </c>
      <c r="C831" s="4">
        <v>54</v>
      </c>
    </row>
    <row r="832" spans="1:3" x14ac:dyDescent="0.3">
      <c r="A832" s="4">
        <v>53</v>
      </c>
      <c r="B832" s="4">
        <v>54</v>
      </c>
      <c r="C832" s="4">
        <v>48</v>
      </c>
    </row>
    <row r="833" spans="1:3" x14ac:dyDescent="0.3">
      <c r="A833" s="4">
        <v>49</v>
      </c>
      <c r="B833" s="4">
        <v>52</v>
      </c>
      <c r="C833" s="4">
        <v>54</v>
      </c>
    </row>
    <row r="834" spans="1:3" x14ac:dyDescent="0.3">
      <c r="A834" s="4">
        <v>79</v>
      </c>
      <c r="B834" s="4">
        <v>76</v>
      </c>
      <c r="C834" s="4" t="e">
        <v>#N/A</v>
      </c>
    </row>
    <row r="835" spans="1:3" x14ac:dyDescent="0.3">
      <c r="A835" s="4">
        <v>53</v>
      </c>
      <c r="B835" s="4">
        <v>54</v>
      </c>
      <c r="C835" s="4">
        <v>48</v>
      </c>
    </row>
    <row r="836" spans="1:3" x14ac:dyDescent="0.3">
      <c r="A836" s="4">
        <v>61</v>
      </c>
      <c r="B836" s="4">
        <v>48</v>
      </c>
      <c r="C836" s="4">
        <v>46</v>
      </c>
    </row>
    <row r="837" spans="1:3" x14ac:dyDescent="0.3">
      <c r="A837" s="4">
        <v>53</v>
      </c>
      <c r="B837" s="4">
        <v>58</v>
      </c>
      <c r="C837" s="4">
        <v>44</v>
      </c>
    </row>
    <row r="838" spans="1:3" x14ac:dyDescent="0.3">
      <c r="A838" s="4">
        <v>49</v>
      </c>
      <c r="B838" s="4">
        <v>53</v>
      </c>
      <c r="C838" s="4">
        <v>53</v>
      </c>
    </row>
    <row r="839" spans="1:3" x14ac:dyDescent="0.3">
      <c r="A839" s="4">
        <v>48</v>
      </c>
      <c r="B839" s="4">
        <v>56</v>
      </c>
      <c r="C839" s="4">
        <v>51</v>
      </c>
    </row>
    <row r="840" spans="1:3" x14ac:dyDescent="0.3">
      <c r="A840" s="4">
        <v>48</v>
      </c>
      <c r="B840" s="4">
        <v>54</v>
      </c>
      <c r="C840" s="4">
        <v>53</v>
      </c>
    </row>
    <row r="841" spans="1:3" x14ac:dyDescent="0.3">
      <c r="A841" s="4">
        <v>54</v>
      </c>
      <c r="B841" s="4">
        <v>53</v>
      </c>
      <c r="C841" s="4">
        <v>47</v>
      </c>
    </row>
    <row r="842" spans="1:3" x14ac:dyDescent="0.3">
      <c r="A842" s="4">
        <v>49</v>
      </c>
      <c r="B842" s="4">
        <v>53</v>
      </c>
      <c r="C842" s="4">
        <v>52</v>
      </c>
    </row>
    <row r="843" spans="1:3" x14ac:dyDescent="0.3">
      <c r="A843" s="4">
        <v>52</v>
      </c>
      <c r="B843" s="4">
        <v>53</v>
      </c>
      <c r="C843" s="4">
        <v>49</v>
      </c>
    </row>
    <row r="844" spans="1:3" x14ac:dyDescent="0.3">
      <c r="A844" s="4" t="e">
        <v>#N/A</v>
      </c>
      <c r="B844" s="4">
        <v>77</v>
      </c>
      <c r="C844" s="4">
        <v>77</v>
      </c>
    </row>
    <row r="845" spans="1:3" x14ac:dyDescent="0.3">
      <c r="A845" s="4">
        <v>68</v>
      </c>
      <c r="B845" s="4">
        <v>86</v>
      </c>
      <c r="C845" s="4" t="e">
        <v>#N/A</v>
      </c>
    </row>
    <row r="846" spans="1:3" x14ac:dyDescent="0.3">
      <c r="A846" s="4">
        <v>54</v>
      </c>
      <c r="B846" s="4">
        <v>48</v>
      </c>
      <c r="C846" s="4">
        <v>52</v>
      </c>
    </row>
    <row r="847" spans="1:3" x14ac:dyDescent="0.3">
      <c r="A847" s="4">
        <v>53</v>
      </c>
      <c r="B847" s="4">
        <v>52</v>
      </c>
      <c r="C847" s="4">
        <v>49</v>
      </c>
    </row>
    <row r="848" spans="1:3" x14ac:dyDescent="0.3">
      <c r="A848" s="4">
        <v>47</v>
      </c>
      <c r="B848" s="4">
        <v>54</v>
      </c>
      <c r="C848" s="4">
        <v>53</v>
      </c>
    </row>
    <row r="849" spans="1:3" x14ac:dyDescent="0.3">
      <c r="A849" s="4">
        <v>45</v>
      </c>
      <c r="B849" s="4">
        <v>53</v>
      </c>
      <c r="C849" s="4">
        <v>55</v>
      </c>
    </row>
    <row r="850" spans="1:3" x14ac:dyDescent="0.3">
      <c r="A850" s="4">
        <v>59</v>
      </c>
      <c r="B850" s="4">
        <v>51</v>
      </c>
      <c r="C850" s="4">
        <v>43</v>
      </c>
    </row>
    <row r="851" spans="1:3" x14ac:dyDescent="0.3">
      <c r="A851" s="4">
        <v>54</v>
      </c>
      <c r="B851" s="4">
        <v>54</v>
      </c>
      <c r="C851" s="4">
        <v>45</v>
      </c>
    </row>
    <row r="852" spans="1:3" x14ac:dyDescent="0.3">
      <c r="A852" s="4">
        <v>40</v>
      </c>
      <c r="B852" s="4">
        <v>59</v>
      </c>
      <c r="C852" s="4">
        <v>54</v>
      </c>
    </row>
    <row r="853" spans="1:3" x14ac:dyDescent="0.3">
      <c r="A853" s="4">
        <v>58</v>
      </c>
      <c r="B853" s="4">
        <v>50</v>
      </c>
      <c r="C853" s="4">
        <v>45</v>
      </c>
    </row>
    <row r="854" spans="1:3" x14ac:dyDescent="0.3">
      <c r="A854" s="4">
        <v>40</v>
      </c>
      <c r="B854" s="4">
        <v>58</v>
      </c>
      <c r="C854" s="4">
        <v>54</v>
      </c>
    </row>
    <row r="855" spans="1:3" x14ac:dyDescent="0.3">
      <c r="A855" s="4">
        <v>49</v>
      </c>
      <c r="B855" s="4">
        <v>57</v>
      </c>
      <c r="C855" s="4">
        <v>46</v>
      </c>
    </row>
    <row r="856" spans="1:3" x14ac:dyDescent="0.3">
      <c r="A856" s="4">
        <v>49</v>
      </c>
      <c r="B856" s="4">
        <v>52</v>
      </c>
      <c r="C856" s="4">
        <v>51</v>
      </c>
    </row>
    <row r="857" spans="1:3" x14ac:dyDescent="0.3">
      <c r="A857" s="4">
        <v>44</v>
      </c>
      <c r="B857" s="4">
        <v>54</v>
      </c>
      <c r="C857" s="4">
        <v>53</v>
      </c>
    </row>
    <row r="858" spans="1:3" x14ac:dyDescent="0.3">
      <c r="A858" s="4">
        <v>50</v>
      </c>
      <c r="B858" s="4">
        <v>47</v>
      </c>
      <c r="C858" s="4">
        <v>54</v>
      </c>
    </row>
    <row r="859" spans="1:3" x14ac:dyDescent="0.3">
      <c r="A859" s="4">
        <v>60</v>
      </c>
      <c r="B859" s="4">
        <v>44</v>
      </c>
      <c r="C859" s="4">
        <v>47</v>
      </c>
    </row>
    <row r="860" spans="1:3" x14ac:dyDescent="0.3">
      <c r="A860" s="4">
        <v>51</v>
      </c>
      <c r="B860" s="4">
        <v>49</v>
      </c>
      <c r="C860" s="4">
        <v>51</v>
      </c>
    </row>
    <row r="861" spans="1:3" x14ac:dyDescent="0.3">
      <c r="A861" s="4">
        <v>42</v>
      </c>
      <c r="B861" s="4">
        <v>55</v>
      </c>
      <c r="C861" s="4">
        <v>54</v>
      </c>
    </row>
    <row r="862" spans="1:3" x14ac:dyDescent="0.3">
      <c r="A862" s="4">
        <v>70</v>
      </c>
      <c r="B862" s="4" t="e">
        <v>#N/A</v>
      </c>
      <c r="C862" s="4">
        <v>81</v>
      </c>
    </row>
    <row r="863" spans="1:3" x14ac:dyDescent="0.3">
      <c r="A863" s="4">
        <v>49</v>
      </c>
      <c r="B863" s="4">
        <v>51</v>
      </c>
      <c r="C863" s="4">
        <v>51</v>
      </c>
    </row>
    <row r="864" spans="1:3" x14ac:dyDescent="0.3">
      <c r="A864" s="4">
        <v>49</v>
      </c>
      <c r="B864" s="4">
        <v>50</v>
      </c>
      <c r="C864" s="4">
        <v>52</v>
      </c>
    </row>
    <row r="865" spans="1:3" x14ac:dyDescent="0.3">
      <c r="A865" s="4">
        <v>54</v>
      </c>
      <c r="B865" s="4">
        <v>49</v>
      </c>
      <c r="C865" s="4">
        <v>47</v>
      </c>
    </row>
    <row r="866" spans="1:3" x14ac:dyDescent="0.3">
      <c r="A866" s="4">
        <v>35</v>
      </c>
      <c r="B866" s="4">
        <v>55</v>
      </c>
      <c r="C866" s="4">
        <v>60</v>
      </c>
    </row>
    <row r="867" spans="1:3" x14ac:dyDescent="0.3">
      <c r="A867" s="4">
        <v>35</v>
      </c>
      <c r="B867" s="4">
        <v>61</v>
      </c>
      <c r="C867" s="4">
        <v>54</v>
      </c>
    </row>
    <row r="868" spans="1:3" x14ac:dyDescent="0.3">
      <c r="A868" s="4">
        <v>44</v>
      </c>
      <c r="B868" s="4">
        <v>51</v>
      </c>
      <c r="C868" s="4">
        <v>55</v>
      </c>
    </row>
    <row r="869" spans="1:3" x14ac:dyDescent="0.3">
      <c r="A869" s="4">
        <v>37</v>
      </c>
      <c r="B869" s="4">
        <v>57</v>
      </c>
      <c r="C869" s="4">
        <v>56</v>
      </c>
    </row>
    <row r="870" spans="1:3" x14ac:dyDescent="0.3">
      <c r="A870" s="4">
        <v>40</v>
      </c>
      <c r="B870" s="4">
        <v>59</v>
      </c>
      <c r="C870" s="4">
        <v>51</v>
      </c>
    </row>
    <row r="871" spans="1:3" x14ac:dyDescent="0.3">
      <c r="A871" s="4">
        <v>58</v>
      </c>
      <c r="B871" s="4">
        <v>49</v>
      </c>
      <c r="C871" s="4">
        <v>42</v>
      </c>
    </row>
    <row r="872" spans="1:3" x14ac:dyDescent="0.3">
      <c r="A872" s="4">
        <v>43</v>
      </c>
      <c r="B872" s="4">
        <v>53</v>
      </c>
      <c r="C872" s="4">
        <v>53</v>
      </c>
    </row>
    <row r="873" spans="1:3" x14ac:dyDescent="0.3">
      <c r="A873" s="4">
        <v>52</v>
      </c>
      <c r="B873" s="4">
        <v>48</v>
      </c>
      <c r="C873" s="4">
        <v>49</v>
      </c>
    </row>
    <row r="874" spans="1:3" x14ac:dyDescent="0.3">
      <c r="A874" s="4">
        <v>69</v>
      </c>
      <c r="B874" s="4">
        <v>80</v>
      </c>
      <c r="C874" s="4" t="e">
        <v>#N/A</v>
      </c>
    </row>
    <row r="875" spans="1:3" x14ac:dyDescent="0.3">
      <c r="A875" s="4">
        <v>47</v>
      </c>
      <c r="B875" s="4">
        <v>57</v>
      </c>
      <c r="C875" s="4">
        <v>44</v>
      </c>
    </row>
    <row r="876" spans="1:3" x14ac:dyDescent="0.3">
      <c r="A876" s="4">
        <v>38</v>
      </c>
      <c r="B876" s="4">
        <v>60</v>
      </c>
      <c r="C876" s="4">
        <v>50</v>
      </c>
    </row>
    <row r="877" spans="1:3" x14ac:dyDescent="0.3">
      <c r="A877" s="4">
        <v>43</v>
      </c>
      <c r="B877" s="4">
        <v>51</v>
      </c>
      <c r="C877" s="4">
        <v>54</v>
      </c>
    </row>
    <row r="878" spans="1:3" x14ac:dyDescent="0.3">
      <c r="A878" s="4">
        <v>40</v>
      </c>
      <c r="B878" s="4">
        <v>55</v>
      </c>
      <c r="C878" s="4">
        <v>53</v>
      </c>
    </row>
    <row r="879" spans="1:3" x14ac:dyDescent="0.3">
      <c r="A879" s="4">
        <v>57</v>
      </c>
      <c r="B879" s="4">
        <v>43</v>
      </c>
      <c r="C879" s="4">
        <v>47</v>
      </c>
    </row>
    <row r="880" spans="1:3" x14ac:dyDescent="0.3">
      <c r="A880" s="4">
        <v>50</v>
      </c>
      <c r="B880" s="4">
        <v>50</v>
      </c>
      <c r="C880" s="4">
        <v>47</v>
      </c>
    </row>
    <row r="881" spans="1:3" x14ac:dyDescent="0.3">
      <c r="A881" s="4">
        <v>53</v>
      </c>
      <c r="B881" s="4">
        <v>52</v>
      </c>
      <c r="C881" s="4">
        <v>42</v>
      </c>
    </row>
    <row r="882" spans="1:3" x14ac:dyDescent="0.3">
      <c r="A882" s="4">
        <v>51</v>
      </c>
      <c r="B882" s="4">
        <v>52</v>
      </c>
      <c r="C882" s="4">
        <v>44</v>
      </c>
    </row>
    <row r="883" spans="1:3" x14ac:dyDescent="0.3">
      <c r="A883" s="4">
        <v>41</v>
      </c>
      <c r="B883" s="4">
        <v>55</v>
      </c>
      <c r="C883" s="4">
        <v>51</v>
      </c>
    </row>
    <row r="884" spans="1:3" x14ac:dyDescent="0.3">
      <c r="A884" s="4">
        <v>52</v>
      </c>
      <c r="B884" s="4">
        <v>49</v>
      </c>
      <c r="C884" s="4">
        <v>46</v>
      </c>
    </row>
    <row r="885" spans="1:3" x14ac:dyDescent="0.3">
      <c r="A885" s="4">
        <v>47</v>
      </c>
      <c r="B885" s="4">
        <v>49</v>
      </c>
      <c r="C885" s="4">
        <v>50</v>
      </c>
    </row>
    <row r="886" spans="1:3" x14ac:dyDescent="0.3">
      <c r="A886" s="4">
        <v>51</v>
      </c>
      <c r="B886" s="4">
        <v>54</v>
      </c>
      <c r="C886" s="4">
        <v>41</v>
      </c>
    </row>
    <row r="887" spans="1:3" x14ac:dyDescent="0.3">
      <c r="A887" s="4">
        <v>72</v>
      </c>
      <c r="B887" s="4" t="e">
        <v>#N/A</v>
      </c>
      <c r="C887" s="4">
        <v>74</v>
      </c>
    </row>
    <row r="888" spans="1:3" x14ac:dyDescent="0.3">
      <c r="A888" s="4">
        <v>45</v>
      </c>
      <c r="B888" s="4">
        <v>52</v>
      </c>
      <c r="C888" s="4">
        <v>49</v>
      </c>
    </row>
    <row r="889" spans="1:3" x14ac:dyDescent="0.3">
      <c r="A889" s="4" t="e">
        <v>#N/A</v>
      </c>
      <c r="B889" s="4">
        <v>73</v>
      </c>
      <c r="C889" s="4">
        <v>73</v>
      </c>
    </row>
    <row r="890" spans="1:3" x14ac:dyDescent="0.3">
      <c r="A890" s="4">
        <v>55</v>
      </c>
      <c r="B890" s="4">
        <v>47</v>
      </c>
      <c r="C890" s="4">
        <v>44</v>
      </c>
    </row>
    <row r="891" spans="1:3" x14ac:dyDescent="0.3">
      <c r="A891" s="4">
        <v>77</v>
      </c>
      <c r="B891" s="4" t="e">
        <v>#N/A</v>
      </c>
      <c r="C891" s="4">
        <v>68</v>
      </c>
    </row>
    <row r="892" spans="1:3" x14ac:dyDescent="0.3">
      <c r="A892" s="4">
        <v>48</v>
      </c>
      <c r="B892" s="4">
        <v>52</v>
      </c>
      <c r="C892" s="4">
        <v>45</v>
      </c>
    </row>
    <row r="893" spans="1:3" x14ac:dyDescent="0.3">
      <c r="A893" s="4">
        <v>44</v>
      </c>
      <c r="B893" s="4">
        <v>50</v>
      </c>
      <c r="C893" s="4">
        <v>51</v>
      </c>
    </row>
    <row r="894" spans="1:3" x14ac:dyDescent="0.3">
      <c r="A894" s="4">
        <v>42</v>
      </c>
      <c r="B894" s="4">
        <v>52</v>
      </c>
      <c r="C894" s="4">
        <v>51</v>
      </c>
    </row>
    <row r="895" spans="1:3" x14ac:dyDescent="0.3">
      <c r="A895" s="4">
        <v>70</v>
      </c>
      <c r="B895" s="4">
        <v>75</v>
      </c>
      <c r="C895" s="4" t="e">
        <v>#N/A</v>
      </c>
    </row>
    <row r="896" spans="1:3" x14ac:dyDescent="0.3">
      <c r="A896" s="4">
        <v>55</v>
      </c>
      <c r="B896" s="4">
        <v>46</v>
      </c>
      <c r="C896" s="4">
        <v>44</v>
      </c>
    </row>
    <row r="897" spans="1:3" x14ac:dyDescent="0.3">
      <c r="A897" s="4">
        <v>73</v>
      </c>
      <c r="B897" s="4" t="e">
        <v>#N/A</v>
      </c>
      <c r="C897" s="4">
        <v>72</v>
      </c>
    </row>
    <row r="898" spans="1:3" x14ac:dyDescent="0.3">
      <c r="A898" s="4">
        <v>63</v>
      </c>
      <c r="B898" s="4" t="e">
        <v>#N/A</v>
      </c>
      <c r="C898" s="4">
        <v>81</v>
      </c>
    </row>
    <row r="899" spans="1:3" x14ac:dyDescent="0.3">
      <c r="A899" s="4">
        <v>41</v>
      </c>
      <c r="B899" s="4">
        <v>52</v>
      </c>
      <c r="C899" s="4">
        <v>51</v>
      </c>
    </row>
    <row r="900" spans="1:3" x14ac:dyDescent="0.3">
      <c r="A900" s="4">
        <v>77</v>
      </c>
      <c r="B900" s="4">
        <v>67</v>
      </c>
      <c r="C900" s="4" t="e">
        <v>#N/A</v>
      </c>
    </row>
    <row r="901" spans="1:3" x14ac:dyDescent="0.3">
      <c r="A901" s="4">
        <v>55</v>
      </c>
      <c r="B901" s="4">
        <v>46</v>
      </c>
      <c r="C901" s="4">
        <v>43</v>
      </c>
    </row>
    <row r="902" spans="1:3" x14ac:dyDescent="0.3">
      <c r="A902" s="4">
        <v>61</v>
      </c>
      <c r="B902" s="4">
        <v>42</v>
      </c>
      <c r="C902" s="4">
        <v>41</v>
      </c>
    </row>
    <row r="903" spans="1:3" x14ac:dyDescent="0.3">
      <c r="A903" s="4">
        <v>55</v>
      </c>
      <c r="B903" s="4">
        <v>41</v>
      </c>
      <c r="C903" s="4">
        <v>48</v>
      </c>
    </row>
    <row r="904" spans="1:3" x14ac:dyDescent="0.3">
      <c r="A904" s="4">
        <v>49</v>
      </c>
      <c r="B904" s="4">
        <v>51</v>
      </c>
      <c r="C904" s="4">
        <v>43</v>
      </c>
    </row>
    <row r="905" spans="1:3" x14ac:dyDescent="0.3">
      <c r="A905" s="4">
        <v>44</v>
      </c>
      <c r="B905" s="4">
        <v>51</v>
      </c>
      <c r="C905" s="4">
        <v>48</v>
      </c>
    </row>
    <row r="906" spans="1:3" x14ac:dyDescent="0.3">
      <c r="A906" s="4">
        <v>66</v>
      </c>
      <c r="B906" s="4">
        <v>77</v>
      </c>
      <c r="C906" s="4" t="e">
        <v>#N/A</v>
      </c>
    </row>
    <row r="907" spans="1:3" x14ac:dyDescent="0.3">
      <c r="A907" s="4">
        <v>65</v>
      </c>
      <c r="B907" s="4" t="e">
        <v>#N/A</v>
      </c>
      <c r="C907" s="4">
        <v>77</v>
      </c>
    </row>
    <row r="908" spans="1:3" x14ac:dyDescent="0.3">
      <c r="A908" s="4">
        <v>59</v>
      </c>
      <c r="B908" s="4">
        <v>41</v>
      </c>
      <c r="C908" s="4">
        <v>42</v>
      </c>
    </row>
    <row r="909" spans="1:3" x14ac:dyDescent="0.3">
      <c r="A909" s="4">
        <v>45</v>
      </c>
      <c r="B909" s="4">
        <v>47</v>
      </c>
      <c r="C909" s="4">
        <v>49</v>
      </c>
    </row>
    <row r="910" spans="1:3" x14ac:dyDescent="0.3">
      <c r="A910" s="4">
        <v>41</v>
      </c>
      <c r="B910" s="4">
        <v>51</v>
      </c>
      <c r="C910" s="4">
        <v>48</v>
      </c>
    </row>
    <row r="911" spans="1:3" x14ac:dyDescent="0.3">
      <c r="A911" s="4">
        <v>37</v>
      </c>
      <c r="B911" s="4">
        <v>56</v>
      </c>
      <c r="C911" s="4">
        <v>47</v>
      </c>
    </row>
    <row r="912" spans="1:3" x14ac:dyDescent="0.3">
      <c r="A912" s="4">
        <v>50</v>
      </c>
      <c r="B912" s="4">
        <v>48</v>
      </c>
      <c r="C912" s="4">
        <v>42</v>
      </c>
    </row>
    <row r="913" spans="1:3" x14ac:dyDescent="0.3">
      <c r="A913" s="4" t="e">
        <v>#N/A</v>
      </c>
      <c r="B913" s="4">
        <v>72</v>
      </c>
      <c r="C913" s="4">
        <v>68</v>
      </c>
    </row>
    <row r="914" spans="1:3" x14ac:dyDescent="0.3">
      <c r="A914" s="4">
        <v>70</v>
      </c>
      <c r="B914" s="4" t="e">
        <v>#N/A</v>
      </c>
      <c r="C914" s="4">
        <v>70</v>
      </c>
    </row>
    <row r="915" spans="1:3" x14ac:dyDescent="0.3">
      <c r="A915" s="4">
        <v>50</v>
      </c>
      <c r="B915" s="4">
        <v>42</v>
      </c>
      <c r="C915" s="4">
        <v>48</v>
      </c>
    </row>
    <row r="916" spans="1:3" x14ac:dyDescent="0.3">
      <c r="A916" s="4">
        <v>53</v>
      </c>
      <c r="B916" s="4">
        <v>44</v>
      </c>
      <c r="C916" s="4">
        <v>42</v>
      </c>
    </row>
    <row r="917" spans="1:3" x14ac:dyDescent="0.3">
      <c r="A917" s="4">
        <v>49</v>
      </c>
      <c r="B917" s="4">
        <v>49</v>
      </c>
      <c r="C917" s="4">
        <v>41</v>
      </c>
    </row>
    <row r="918" spans="1:3" x14ac:dyDescent="0.3">
      <c r="A918" s="4">
        <v>49</v>
      </c>
      <c r="B918" s="4">
        <v>45</v>
      </c>
      <c r="C918" s="4">
        <v>45</v>
      </c>
    </row>
    <row r="919" spans="1:3" x14ac:dyDescent="0.3">
      <c r="A919" s="4">
        <v>53</v>
      </c>
      <c r="B919" s="4">
        <v>43</v>
      </c>
      <c r="C919" s="4">
        <v>43</v>
      </c>
    </row>
    <row r="920" spans="1:3" x14ac:dyDescent="0.3">
      <c r="A920" s="4">
        <v>75</v>
      </c>
      <c r="B920" s="4" t="e">
        <v>#N/A</v>
      </c>
      <c r="C920" s="4">
        <v>64</v>
      </c>
    </row>
    <row r="921" spans="1:3" x14ac:dyDescent="0.3">
      <c r="A921" s="4" t="e">
        <v>#N/A</v>
      </c>
      <c r="B921" s="4">
        <v>71</v>
      </c>
      <c r="C921" s="4">
        <v>68</v>
      </c>
    </row>
    <row r="922" spans="1:3" x14ac:dyDescent="0.3">
      <c r="A922" s="4">
        <v>43</v>
      </c>
      <c r="B922" s="4">
        <v>45</v>
      </c>
      <c r="C922" s="4">
        <v>50</v>
      </c>
    </row>
    <row r="923" spans="1:3" x14ac:dyDescent="0.3">
      <c r="A923" s="4">
        <v>40</v>
      </c>
      <c r="B923" s="4">
        <v>48</v>
      </c>
      <c r="C923" s="4">
        <v>50</v>
      </c>
    </row>
    <row r="924" spans="1:3" x14ac:dyDescent="0.3">
      <c r="A924" s="4">
        <v>53</v>
      </c>
      <c r="B924" s="4">
        <v>45</v>
      </c>
      <c r="C924" s="4">
        <v>40</v>
      </c>
    </row>
    <row r="925" spans="1:3" x14ac:dyDescent="0.3">
      <c r="A925" s="4">
        <v>39</v>
      </c>
      <c r="B925" s="4">
        <v>52</v>
      </c>
      <c r="C925" s="4">
        <v>46</v>
      </c>
    </row>
    <row r="926" spans="1:3" x14ac:dyDescent="0.3">
      <c r="A926" s="4" t="e">
        <v>#N/A</v>
      </c>
      <c r="B926" s="4">
        <v>64</v>
      </c>
      <c r="C926" s="4">
        <v>72</v>
      </c>
    </row>
    <row r="927" spans="1:3" x14ac:dyDescent="0.3">
      <c r="A927" s="4">
        <v>40</v>
      </c>
      <c r="B927" s="4">
        <v>46</v>
      </c>
      <c r="C927" s="4">
        <v>50</v>
      </c>
    </row>
    <row r="928" spans="1:3" x14ac:dyDescent="0.3">
      <c r="A928" s="4">
        <v>48</v>
      </c>
      <c r="B928" s="4">
        <v>43</v>
      </c>
      <c r="C928" s="4">
        <v>45</v>
      </c>
    </row>
    <row r="929" spans="1:3" x14ac:dyDescent="0.3">
      <c r="A929" s="4">
        <v>40</v>
      </c>
      <c r="B929" s="4">
        <v>52</v>
      </c>
      <c r="C929" s="4">
        <v>43</v>
      </c>
    </row>
    <row r="930" spans="1:3" x14ac:dyDescent="0.3">
      <c r="A930" s="4">
        <v>65</v>
      </c>
      <c r="B930" s="4">
        <v>70</v>
      </c>
      <c r="C930" s="4" t="e">
        <v>#N/A</v>
      </c>
    </row>
    <row r="931" spans="1:3" x14ac:dyDescent="0.3">
      <c r="A931" s="4">
        <v>47</v>
      </c>
      <c r="B931" s="4">
        <v>46</v>
      </c>
      <c r="C931" s="4">
        <v>42</v>
      </c>
    </row>
    <row r="932" spans="1:3" x14ac:dyDescent="0.3">
      <c r="A932" s="4">
        <v>46</v>
      </c>
      <c r="B932" s="4">
        <v>42</v>
      </c>
      <c r="C932" s="4">
        <v>46</v>
      </c>
    </row>
    <row r="933" spans="1:3" x14ac:dyDescent="0.3">
      <c r="A933" s="4">
        <v>48</v>
      </c>
      <c r="B933" s="4">
        <v>45</v>
      </c>
      <c r="C933" s="4">
        <v>41</v>
      </c>
    </row>
    <row r="934" spans="1:3" x14ac:dyDescent="0.3">
      <c r="A934" s="4">
        <v>35</v>
      </c>
      <c r="B934" s="4">
        <v>53</v>
      </c>
      <c r="C934" s="4">
        <v>46</v>
      </c>
    </row>
    <row r="935" spans="1:3" x14ac:dyDescent="0.3">
      <c r="A935" s="4">
        <v>44</v>
      </c>
      <c r="B935" s="4">
        <v>45</v>
      </c>
      <c r="C935" s="4">
        <v>45</v>
      </c>
    </row>
    <row r="936" spans="1:3" x14ac:dyDescent="0.3">
      <c r="A936" s="4">
        <v>61</v>
      </c>
      <c r="B936" s="4">
        <v>72</v>
      </c>
      <c r="C936" s="4" t="e">
        <v>#N/A</v>
      </c>
    </row>
    <row r="937" spans="1:3" x14ac:dyDescent="0.3">
      <c r="A937" s="4">
        <v>46</v>
      </c>
      <c r="B937" s="4">
        <v>43</v>
      </c>
      <c r="C937" s="4">
        <v>44</v>
      </c>
    </row>
    <row r="938" spans="1:3" x14ac:dyDescent="0.3">
      <c r="A938" s="4">
        <v>38</v>
      </c>
      <c r="B938" s="4">
        <v>49</v>
      </c>
      <c r="C938" s="4">
        <v>45</v>
      </c>
    </row>
    <row r="939" spans="1:3" x14ac:dyDescent="0.3">
      <c r="A939" s="4">
        <v>68</v>
      </c>
      <c r="B939" s="4">
        <v>64</v>
      </c>
      <c r="C939" s="4" t="e">
        <v>#N/A</v>
      </c>
    </row>
    <row r="940" spans="1:3" x14ac:dyDescent="0.3">
      <c r="A940" s="4">
        <v>36</v>
      </c>
      <c r="B940" s="4">
        <v>53</v>
      </c>
      <c r="C940" s="4">
        <v>43</v>
      </c>
    </row>
    <row r="941" spans="1:3" x14ac:dyDescent="0.3">
      <c r="A941" s="4">
        <v>46</v>
      </c>
      <c r="B941" s="4">
        <v>43</v>
      </c>
      <c r="C941" s="4">
        <v>42</v>
      </c>
    </row>
    <row r="942" spans="1:3" x14ac:dyDescent="0.3">
      <c r="A942" s="4">
        <v>47</v>
      </c>
      <c r="B942" s="4">
        <v>43</v>
      </c>
      <c r="C942" s="4">
        <v>41</v>
      </c>
    </row>
    <row r="943" spans="1:3" x14ac:dyDescent="0.3">
      <c r="A943" s="4">
        <v>53</v>
      </c>
      <c r="B943" s="4">
        <v>37</v>
      </c>
      <c r="C943" s="4">
        <v>40</v>
      </c>
    </row>
    <row r="944" spans="1:3" x14ac:dyDescent="0.3">
      <c r="A944" s="4">
        <v>46</v>
      </c>
      <c r="B944" s="4">
        <v>41</v>
      </c>
      <c r="C944" s="4">
        <v>43</v>
      </c>
    </row>
    <row r="945" spans="1:3" x14ac:dyDescent="0.3">
      <c r="A945" s="4">
        <v>41</v>
      </c>
      <c r="B945" s="4">
        <v>46</v>
      </c>
      <c r="C945" s="4">
        <v>43</v>
      </c>
    </row>
    <row r="946" spans="1:3" x14ac:dyDescent="0.3">
      <c r="A946" s="4">
        <v>46</v>
      </c>
      <c r="B946" s="4">
        <v>43</v>
      </c>
      <c r="C946" s="4">
        <v>41</v>
      </c>
    </row>
    <row r="947" spans="1:3" x14ac:dyDescent="0.3">
      <c r="A947" s="4" t="e">
        <v>#N/A</v>
      </c>
      <c r="B947" s="4">
        <v>62</v>
      </c>
      <c r="C947" s="4">
        <v>68</v>
      </c>
    </row>
    <row r="948" spans="1:3" x14ac:dyDescent="0.3">
      <c r="A948" s="4">
        <v>66</v>
      </c>
      <c r="B948" s="4" t="e">
        <v>#N/A</v>
      </c>
      <c r="C948" s="4">
        <v>64</v>
      </c>
    </row>
    <row r="949" spans="1:3" x14ac:dyDescent="0.3">
      <c r="A949" s="4">
        <v>37</v>
      </c>
      <c r="B949" s="4">
        <v>46</v>
      </c>
      <c r="C949" s="4">
        <v>46</v>
      </c>
    </row>
    <row r="950" spans="1:3" x14ac:dyDescent="0.3">
      <c r="A950" s="4">
        <v>53</v>
      </c>
      <c r="B950" s="4">
        <v>39</v>
      </c>
      <c r="C950" s="4">
        <v>37</v>
      </c>
    </row>
    <row r="951" spans="1:3" x14ac:dyDescent="0.3">
      <c r="A951" s="4">
        <v>67</v>
      </c>
      <c r="B951" s="4" t="e">
        <v>#N/A</v>
      </c>
      <c r="C951" s="4">
        <v>60</v>
      </c>
    </row>
    <row r="952" spans="1:3" x14ac:dyDescent="0.3">
      <c r="A952" s="4" t="e">
        <v>#N/A</v>
      </c>
      <c r="B952" s="4">
        <v>66</v>
      </c>
      <c r="C952" s="4">
        <v>61</v>
      </c>
    </row>
    <row r="953" spans="1:3" x14ac:dyDescent="0.3">
      <c r="A953" s="4">
        <v>32</v>
      </c>
      <c r="B953" s="4">
        <v>51</v>
      </c>
      <c r="C953" s="4">
        <v>44</v>
      </c>
    </row>
    <row r="954" spans="1:3" x14ac:dyDescent="0.3">
      <c r="A954" s="4">
        <v>41</v>
      </c>
      <c r="B954" s="4">
        <v>45</v>
      </c>
      <c r="C954" s="4">
        <v>40</v>
      </c>
    </row>
    <row r="955" spans="1:3" x14ac:dyDescent="0.3">
      <c r="A955" s="4" t="e">
        <v>#N/A</v>
      </c>
      <c r="B955" s="4">
        <v>65</v>
      </c>
      <c r="C955" s="4">
        <v>61</v>
      </c>
    </row>
    <row r="956" spans="1:3" x14ac:dyDescent="0.3">
      <c r="A956" s="4">
        <v>58</v>
      </c>
      <c r="B956" s="4">
        <v>67</v>
      </c>
      <c r="C956" s="4" t="e">
        <v>#N/A</v>
      </c>
    </row>
    <row r="957" spans="1:3" x14ac:dyDescent="0.3">
      <c r="A957" s="4">
        <v>59</v>
      </c>
      <c r="B957" s="4">
        <v>66</v>
      </c>
      <c r="C957" s="4" t="e">
        <v>#N/A</v>
      </c>
    </row>
    <row r="958" spans="1:3" x14ac:dyDescent="0.3">
      <c r="A958" s="4" t="e">
        <v>#N/A</v>
      </c>
      <c r="B958" s="4">
        <v>66</v>
      </c>
      <c r="C958" s="4">
        <v>59</v>
      </c>
    </row>
    <row r="959" spans="1:3" x14ac:dyDescent="0.3">
      <c r="A959" s="4">
        <v>38</v>
      </c>
      <c r="B959" s="4">
        <v>43</v>
      </c>
      <c r="C959" s="4">
        <v>43</v>
      </c>
    </row>
    <row r="960" spans="1:3" x14ac:dyDescent="0.3">
      <c r="A960" s="4">
        <v>44</v>
      </c>
      <c r="B960" s="4">
        <v>41</v>
      </c>
      <c r="C960" s="4">
        <v>38</v>
      </c>
    </row>
    <row r="961" spans="1:3" x14ac:dyDescent="0.3">
      <c r="A961" s="4">
        <v>51</v>
      </c>
      <c r="B961" s="4">
        <v>72</v>
      </c>
      <c r="C961" s="4" t="e">
        <v>#N/A</v>
      </c>
    </row>
    <row r="962" spans="1:3" x14ac:dyDescent="0.3">
      <c r="A962" s="4">
        <v>62</v>
      </c>
      <c r="B962" s="4">
        <v>61</v>
      </c>
      <c r="C962" s="4" t="e">
        <v>#N/A</v>
      </c>
    </row>
    <row r="963" spans="1:3" x14ac:dyDescent="0.3">
      <c r="A963" s="4">
        <v>34</v>
      </c>
      <c r="B963" s="4">
        <v>48</v>
      </c>
      <c r="C963" s="4">
        <v>41</v>
      </c>
    </row>
    <row r="964" spans="1:3" x14ac:dyDescent="0.3">
      <c r="A964" s="4">
        <v>40</v>
      </c>
      <c r="B964" s="4">
        <v>43</v>
      </c>
      <c r="C964" s="4">
        <v>39</v>
      </c>
    </row>
    <row r="965" spans="1:3" x14ac:dyDescent="0.3">
      <c r="A965" s="4">
        <v>35</v>
      </c>
      <c r="B965" s="4">
        <v>44</v>
      </c>
      <c r="C965" s="4">
        <v>43</v>
      </c>
    </row>
    <row r="966" spans="1:3" x14ac:dyDescent="0.3">
      <c r="A966" s="4">
        <v>40</v>
      </c>
      <c r="B966" s="4">
        <v>42</v>
      </c>
      <c r="C966" s="4">
        <v>38</v>
      </c>
    </row>
    <row r="967" spans="1:3" x14ac:dyDescent="0.3">
      <c r="A967" s="4">
        <v>37</v>
      </c>
      <c r="B967" s="4">
        <v>45</v>
      </c>
      <c r="C967" s="4">
        <v>38</v>
      </c>
    </row>
    <row r="968" spans="1:3" x14ac:dyDescent="0.3">
      <c r="A968" s="4">
        <v>45</v>
      </c>
      <c r="B968" s="4">
        <v>37</v>
      </c>
      <c r="C968" s="4">
        <v>37</v>
      </c>
    </row>
    <row r="969" spans="1:3" x14ac:dyDescent="0.3">
      <c r="A969" s="4">
        <v>47</v>
      </c>
      <c r="B969" s="4">
        <v>37</v>
      </c>
      <c r="C969" s="4">
        <v>35</v>
      </c>
    </row>
    <row r="970" spans="1:3" x14ac:dyDescent="0.3">
      <c r="A970" s="4">
        <v>39</v>
      </c>
      <c r="B970" s="4">
        <v>42</v>
      </c>
      <c r="C970" s="4">
        <v>38</v>
      </c>
    </row>
    <row r="971" spans="1:3" x14ac:dyDescent="0.3">
      <c r="A971" s="4">
        <v>51</v>
      </c>
      <c r="B971" s="4">
        <v>31</v>
      </c>
      <c r="C971" s="4">
        <v>36</v>
      </c>
    </row>
    <row r="972" spans="1:3" x14ac:dyDescent="0.3">
      <c r="A972" s="4" t="e">
        <v>#N/A</v>
      </c>
      <c r="B972" s="4">
        <v>60</v>
      </c>
      <c r="C972" s="4">
        <v>58</v>
      </c>
    </row>
    <row r="973" spans="1:3" x14ac:dyDescent="0.3">
      <c r="A973" s="4">
        <v>33</v>
      </c>
      <c r="B973" s="4">
        <v>41</v>
      </c>
      <c r="C973" s="4">
        <v>43</v>
      </c>
    </row>
    <row r="974" spans="1:3" x14ac:dyDescent="0.3">
      <c r="A974" s="4">
        <v>29</v>
      </c>
      <c r="B974" s="4">
        <v>41</v>
      </c>
      <c r="C974" s="4">
        <v>47</v>
      </c>
    </row>
    <row r="975" spans="1:3" x14ac:dyDescent="0.3">
      <c r="A975" s="4">
        <v>59</v>
      </c>
      <c r="B975" s="4">
        <v>58</v>
      </c>
      <c r="C975" s="4" t="e">
        <v>#N/A</v>
      </c>
    </row>
    <row r="976" spans="1:3" x14ac:dyDescent="0.3">
      <c r="A976" s="4">
        <v>46</v>
      </c>
      <c r="B976" s="4">
        <v>34</v>
      </c>
      <c r="C976" s="4">
        <v>36</v>
      </c>
    </row>
    <row r="977" spans="1:3" x14ac:dyDescent="0.3">
      <c r="A977" s="4">
        <v>42</v>
      </c>
      <c r="B977" s="4">
        <v>39</v>
      </c>
      <c r="C977" s="4">
        <v>34</v>
      </c>
    </row>
    <row r="978" spans="1:3" x14ac:dyDescent="0.3">
      <c r="A978" s="4">
        <v>34</v>
      </c>
      <c r="B978" s="4">
        <v>42</v>
      </c>
      <c r="C978" s="4">
        <v>39</v>
      </c>
    </row>
    <row r="979" spans="1:3" x14ac:dyDescent="0.3">
      <c r="A979" s="4" t="e">
        <v>#N/A</v>
      </c>
      <c r="B979" s="4">
        <v>58</v>
      </c>
      <c r="C979" s="4">
        <v>56</v>
      </c>
    </row>
    <row r="980" spans="1:3" x14ac:dyDescent="0.3">
      <c r="A980" s="4">
        <v>41</v>
      </c>
      <c r="B980" s="4">
        <v>39</v>
      </c>
      <c r="C980" s="4">
        <v>34</v>
      </c>
    </row>
    <row r="981" spans="1:3" x14ac:dyDescent="0.3">
      <c r="A981" s="4">
        <v>29</v>
      </c>
      <c r="B981" s="4">
        <v>40</v>
      </c>
      <c r="C981" s="4">
        <v>44</v>
      </c>
    </row>
    <row r="982" spans="1:3" x14ac:dyDescent="0.3">
      <c r="A982" s="4">
        <v>39</v>
      </c>
      <c r="B982" s="4">
        <v>39</v>
      </c>
      <c r="C982" s="4">
        <v>34</v>
      </c>
    </row>
    <row r="983" spans="1:3" x14ac:dyDescent="0.3">
      <c r="A983" s="4">
        <v>42</v>
      </c>
      <c r="B983" s="4" t="e">
        <v>#N/A</v>
      </c>
      <c r="C983" s="4">
        <v>69</v>
      </c>
    </row>
    <row r="984" spans="1:3" x14ac:dyDescent="0.3">
      <c r="A984" s="4" t="e">
        <v>#N/A</v>
      </c>
      <c r="B984" s="4">
        <v>56</v>
      </c>
      <c r="C984" s="4">
        <v>55</v>
      </c>
    </row>
    <row r="985" spans="1:3" x14ac:dyDescent="0.3">
      <c r="A985" s="4" t="e">
        <v>#N/A</v>
      </c>
      <c r="B985" s="4">
        <v>53</v>
      </c>
      <c r="C985" s="4">
        <v>55</v>
      </c>
    </row>
    <row r="986" spans="1:3" x14ac:dyDescent="0.3">
      <c r="A986" s="4" t="e">
        <v>#N/A</v>
      </c>
      <c r="B986" s="4">
        <v>51</v>
      </c>
      <c r="C986" s="4">
        <v>54</v>
      </c>
    </row>
    <row r="987" spans="1:3" x14ac:dyDescent="0.3">
      <c r="A987" s="4">
        <v>32</v>
      </c>
      <c r="B987" s="4">
        <v>39</v>
      </c>
      <c r="C987" s="4">
        <v>33</v>
      </c>
    </row>
    <row r="988" spans="1:3" x14ac:dyDescent="0.3">
      <c r="A988" s="4">
        <v>32</v>
      </c>
      <c r="B988" s="4">
        <v>34</v>
      </c>
      <c r="C988" s="4">
        <v>38</v>
      </c>
    </row>
    <row r="989" spans="1:3" x14ac:dyDescent="0.3">
      <c r="A989" s="4">
        <v>23</v>
      </c>
      <c r="B989" s="4">
        <v>44</v>
      </c>
      <c r="C989" s="4">
        <v>36</v>
      </c>
    </row>
    <row r="990" spans="1:3" x14ac:dyDescent="0.3">
      <c r="A990" s="4">
        <v>44</v>
      </c>
      <c r="B990" s="4" t="e">
        <v>#N/A</v>
      </c>
      <c r="C990" s="4">
        <v>58</v>
      </c>
    </row>
    <row r="991" spans="1:3" x14ac:dyDescent="0.3">
      <c r="A991" s="4" t="e">
        <v>#N/A</v>
      </c>
      <c r="B991" s="4">
        <v>48</v>
      </c>
      <c r="C991" s="4">
        <v>53</v>
      </c>
    </row>
    <row r="992" spans="1:3" x14ac:dyDescent="0.3">
      <c r="A992" s="4" t="e">
        <v>#N/A</v>
      </c>
      <c r="B992" s="4">
        <v>49</v>
      </c>
      <c r="C992" s="4">
        <v>52</v>
      </c>
    </row>
    <row r="993" spans="1:3" x14ac:dyDescent="0.3">
      <c r="A993" s="4">
        <v>55</v>
      </c>
      <c r="B993" s="4">
        <v>46</v>
      </c>
      <c r="C993" s="4" t="e">
        <v>#N/A</v>
      </c>
    </row>
    <row r="994" spans="1:3" x14ac:dyDescent="0.3">
      <c r="A994" s="4">
        <v>27</v>
      </c>
      <c r="B994" s="4">
        <v>34</v>
      </c>
      <c r="C994" s="4">
        <v>36</v>
      </c>
    </row>
    <row r="995" spans="1:3" x14ac:dyDescent="0.3">
      <c r="A995" s="4" t="e">
        <v>#N/A</v>
      </c>
      <c r="B995" s="4">
        <v>51</v>
      </c>
      <c r="C995" s="4">
        <v>46</v>
      </c>
    </row>
    <row r="996" spans="1:3" x14ac:dyDescent="0.3">
      <c r="A996" s="4">
        <v>47</v>
      </c>
      <c r="B996" s="4" t="e">
        <v>#N/A</v>
      </c>
      <c r="C996" s="4">
        <v>49</v>
      </c>
    </row>
    <row r="997" spans="1:3" x14ac:dyDescent="0.3">
      <c r="A997" s="4">
        <v>22</v>
      </c>
      <c r="B997" s="4">
        <v>39</v>
      </c>
      <c r="C997" s="4">
        <v>33</v>
      </c>
    </row>
    <row r="998" spans="1:3" x14ac:dyDescent="0.3">
      <c r="A998" s="4">
        <v>27</v>
      </c>
      <c r="B998" s="4">
        <v>34</v>
      </c>
      <c r="C998" s="4">
        <v>32</v>
      </c>
    </row>
    <row r="999" spans="1:3" x14ac:dyDescent="0.3">
      <c r="A999" s="4">
        <v>36</v>
      </c>
      <c r="B999" s="4">
        <v>29</v>
      </c>
      <c r="C999" s="4">
        <v>27</v>
      </c>
    </row>
    <row r="1000" spans="1:3" x14ac:dyDescent="0.3">
      <c r="A1000" s="4">
        <v>45</v>
      </c>
      <c r="B1000" s="4" t="e">
        <v>#N/A</v>
      </c>
      <c r="C1000" s="4">
        <v>46</v>
      </c>
    </row>
    <row r="1001" spans="1:3" x14ac:dyDescent="0.3">
      <c r="A1001" s="4">
        <v>35</v>
      </c>
      <c r="B1001" s="4">
        <v>28</v>
      </c>
      <c r="C1001" s="4">
        <v>27</v>
      </c>
    </row>
    <row r="1002" spans="1:3" x14ac:dyDescent="0.3">
      <c r="A1002" s="4">
        <v>24</v>
      </c>
      <c r="B1002" s="4">
        <v>38</v>
      </c>
      <c r="C1002" s="4">
        <v>27</v>
      </c>
    </row>
    <row r="1003" spans="1:3" x14ac:dyDescent="0.3">
      <c r="A1003" s="4">
        <v>19</v>
      </c>
      <c r="B1003" s="4">
        <v>38</v>
      </c>
      <c r="C1003" s="4">
        <v>32</v>
      </c>
    </row>
    <row r="1004" spans="1:3" x14ac:dyDescent="0.3">
      <c r="A1004" s="4">
        <v>29</v>
      </c>
      <c r="B1004" s="4">
        <v>29</v>
      </c>
      <c r="C1004" s="4">
        <v>30</v>
      </c>
    </row>
    <row r="1005" spans="1:3" x14ac:dyDescent="0.3">
      <c r="A1005" s="4" t="e">
        <v>#N/A</v>
      </c>
      <c r="B1005" s="4">
        <v>42</v>
      </c>
      <c r="C1005" s="4">
        <v>41</v>
      </c>
    </row>
    <row r="1006" spans="1:3" x14ac:dyDescent="0.3">
      <c r="A1006" s="4">
        <v>18</v>
      </c>
      <c r="B1006" s="4">
        <v>32</v>
      </c>
      <c r="C1006" s="4">
        <v>28</v>
      </c>
    </row>
    <row r="1007" spans="1:3" x14ac:dyDescent="0.3">
      <c r="A1007" s="4">
        <v>30</v>
      </c>
      <c r="B1007" s="4">
        <v>26</v>
      </c>
      <c r="C1007" s="4">
        <v>22</v>
      </c>
    </row>
    <row r="1008" spans="1:3" x14ac:dyDescent="0.3">
      <c r="A1008" s="4">
        <v>34</v>
      </c>
      <c r="B1008" s="4" t="e">
        <v>#N/A</v>
      </c>
      <c r="C1008" s="4">
        <v>41</v>
      </c>
    </row>
    <row r="1009" spans="1:3" x14ac:dyDescent="0.3">
      <c r="A1009" s="4">
        <v>28</v>
      </c>
      <c r="B1009" s="4">
        <v>23</v>
      </c>
      <c r="C1009" s="4">
        <v>19</v>
      </c>
    </row>
    <row r="1010" spans="1:3" x14ac:dyDescent="0.3">
      <c r="A1010" s="4" t="e">
        <v>#N/A</v>
      </c>
      <c r="B1010" s="4" t="e">
        <v>#N/A</v>
      </c>
      <c r="C1010" s="4">
        <v>70</v>
      </c>
    </row>
    <row r="1011" spans="1:3" x14ac:dyDescent="0.3">
      <c r="A1011" s="4" t="e">
        <v>#N/A</v>
      </c>
      <c r="B1011" s="4">
        <v>31</v>
      </c>
      <c r="C1011" s="4">
        <v>38</v>
      </c>
    </row>
    <row r="1012" spans="1:3" x14ac:dyDescent="0.3">
      <c r="A1012" s="4">
        <v>30</v>
      </c>
      <c r="B1012" s="4">
        <v>24</v>
      </c>
      <c r="C1012" s="4">
        <v>15</v>
      </c>
    </row>
    <row r="1013" spans="1:3" x14ac:dyDescent="0.3">
      <c r="A1013" s="4">
        <v>8</v>
      </c>
      <c r="B1013" s="4">
        <v>24</v>
      </c>
      <c r="C1013" s="4">
        <v>23</v>
      </c>
    </row>
    <row r="1014" spans="1:3" x14ac:dyDescent="0.3">
      <c r="A1014" s="4">
        <v>0</v>
      </c>
      <c r="B1014" s="4">
        <v>17</v>
      </c>
      <c r="C1014" s="4">
        <v>10</v>
      </c>
    </row>
    <row r="1015" spans="1:3" x14ac:dyDescent="0.3">
      <c r="A1015"/>
      <c r="B1015"/>
      <c r="C1015"/>
    </row>
    <row r="1016" spans="1:3" x14ac:dyDescent="0.3">
      <c r="A1016"/>
      <c r="B1016"/>
      <c r="C1016"/>
    </row>
    <row r="1017" spans="1:3" x14ac:dyDescent="0.3">
      <c r="A1017"/>
      <c r="B1017"/>
      <c r="C1017"/>
    </row>
    <row r="1018" spans="1:3" x14ac:dyDescent="0.3">
      <c r="A1018"/>
      <c r="B1018"/>
      <c r="C1018"/>
    </row>
    <row r="1019" spans="1:3" x14ac:dyDescent="0.3">
      <c r="A1019"/>
      <c r="B1019"/>
      <c r="C1019"/>
    </row>
    <row r="1020" spans="1:3" x14ac:dyDescent="0.3">
      <c r="A1020"/>
      <c r="B1020"/>
      <c r="C1020"/>
    </row>
    <row r="1021" spans="1:3" x14ac:dyDescent="0.3">
      <c r="A1021"/>
      <c r="B1021"/>
      <c r="C1021"/>
    </row>
    <row r="1022" spans="1:3" x14ac:dyDescent="0.3">
      <c r="A1022"/>
      <c r="B1022"/>
      <c r="C1022"/>
    </row>
    <row r="1023" spans="1:3" x14ac:dyDescent="0.3">
      <c r="A1023"/>
      <c r="B1023"/>
      <c r="C1023"/>
    </row>
    <row r="1024" spans="1:3" x14ac:dyDescent="0.3">
      <c r="A1024"/>
      <c r="B1024"/>
      <c r="C1024"/>
    </row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B64B8-3942-48D6-A809-EB242D22EDA6}">
  <dimension ref="A1:D29"/>
  <sheetViews>
    <sheetView topLeftCell="A16" workbookViewId="0">
      <selection activeCell="R32" sqref="R32"/>
    </sheetView>
  </sheetViews>
  <sheetFormatPr defaultRowHeight="14.4" x14ac:dyDescent="0.3"/>
  <cols>
    <col min="1" max="1" width="17" bestFit="1" customWidth="1"/>
    <col min="2" max="2" width="16.33203125" bestFit="1" customWidth="1"/>
    <col min="3" max="3" width="7.109375" bestFit="1" customWidth="1"/>
    <col min="4" max="4" width="11.33203125" bestFit="1" customWidth="1"/>
  </cols>
  <sheetData>
    <row r="1" spans="1:4" x14ac:dyDescent="0.3">
      <c r="A1" s="7" t="s">
        <v>176</v>
      </c>
      <c r="B1" s="7" t="s">
        <v>164</v>
      </c>
    </row>
    <row r="2" spans="1:4" x14ac:dyDescent="0.3">
      <c r="A2" s="7" t="s">
        <v>109</v>
      </c>
      <c r="B2" t="s">
        <v>158</v>
      </c>
      <c r="C2" t="s">
        <v>159</v>
      </c>
      <c r="D2" t="s">
        <v>110</v>
      </c>
    </row>
    <row r="3" spans="1:4" x14ac:dyDescent="0.3">
      <c r="A3" s="8" t="s">
        <v>15</v>
      </c>
      <c r="B3" s="14">
        <v>5.2486187845303865E-2</v>
      </c>
      <c r="C3" s="14">
        <v>0.9475138121546961</v>
      </c>
      <c r="D3" s="14">
        <v>1</v>
      </c>
    </row>
    <row r="4" spans="1:4" x14ac:dyDescent="0.3">
      <c r="A4" s="8" t="s">
        <v>12</v>
      </c>
      <c r="B4" s="14">
        <v>0.13056835637480799</v>
      </c>
      <c r="C4" s="14">
        <v>0.86943164362519199</v>
      </c>
      <c r="D4" s="14">
        <v>1</v>
      </c>
    </row>
    <row r="5" spans="1:4" x14ac:dyDescent="0.3">
      <c r="A5" s="8" t="s">
        <v>110</v>
      </c>
      <c r="B5" s="14">
        <v>0.10266535044422508</v>
      </c>
      <c r="C5" s="14">
        <v>0.89733464955577491</v>
      </c>
      <c r="D5" s="14">
        <v>1</v>
      </c>
    </row>
    <row r="21" spans="1:4" x14ac:dyDescent="0.3">
      <c r="A21" s="7" t="s">
        <v>176</v>
      </c>
      <c r="B21" s="7" t="s">
        <v>164</v>
      </c>
    </row>
    <row r="22" spans="1:4" x14ac:dyDescent="0.3">
      <c r="A22" s="7" t="s">
        <v>109</v>
      </c>
      <c r="B22" t="s">
        <v>158</v>
      </c>
      <c r="C22" t="s">
        <v>159</v>
      </c>
      <c r="D22" t="s">
        <v>110</v>
      </c>
    </row>
    <row r="23" spans="1:4" x14ac:dyDescent="0.3">
      <c r="A23" s="8" t="s">
        <v>15</v>
      </c>
      <c r="B23" s="14">
        <v>5.2486187845303865E-2</v>
      </c>
      <c r="C23" s="14">
        <v>0.9475138121546961</v>
      </c>
      <c r="D23" s="14">
        <v>1</v>
      </c>
    </row>
    <row r="24" spans="1:4" x14ac:dyDescent="0.3">
      <c r="A24" s="20" t="s">
        <v>8</v>
      </c>
      <c r="B24" s="14">
        <v>3.2258064516129031E-2</v>
      </c>
      <c r="C24" s="14">
        <v>0.967741935483871</v>
      </c>
      <c r="D24" s="14">
        <v>1</v>
      </c>
    </row>
    <row r="25" spans="1:4" x14ac:dyDescent="0.3">
      <c r="A25" s="20" t="s">
        <v>17</v>
      </c>
      <c r="B25" s="14">
        <v>7.3863636363636367E-2</v>
      </c>
      <c r="C25" s="14">
        <v>0.92613636363636365</v>
      </c>
      <c r="D25" s="14">
        <v>1</v>
      </c>
    </row>
    <row r="26" spans="1:4" x14ac:dyDescent="0.3">
      <c r="A26" s="8" t="s">
        <v>12</v>
      </c>
      <c r="B26" s="14">
        <v>0.13056835637480799</v>
      </c>
      <c r="C26" s="14">
        <v>0.86943164362519199</v>
      </c>
      <c r="D26" s="14">
        <v>1</v>
      </c>
    </row>
    <row r="27" spans="1:4" x14ac:dyDescent="0.3">
      <c r="A27" s="20" t="s">
        <v>8</v>
      </c>
      <c r="B27" s="14">
        <v>0.10089020771513353</v>
      </c>
      <c r="C27" s="14">
        <v>0.89910979228486643</v>
      </c>
      <c r="D27" s="14">
        <v>1</v>
      </c>
    </row>
    <row r="28" spans="1:4" x14ac:dyDescent="0.3">
      <c r="A28" s="20" t="s">
        <v>17</v>
      </c>
      <c r="B28" s="14">
        <v>0.16242038216560509</v>
      </c>
      <c r="C28" s="14">
        <v>0.83757961783439494</v>
      </c>
      <c r="D28" s="14">
        <v>1</v>
      </c>
    </row>
    <row r="29" spans="1:4" x14ac:dyDescent="0.3">
      <c r="A29" s="8" t="s">
        <v>110</v>
      </c>
      <c r="B29" s="14">
        <v>0.10266535044422508</v>
      </c>
      <c r="C29" s="14">
        <v>0.89733464955577491</v>
      </c>
      <c r="D29" s="14">
        <v>1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17C6-D139-4123-8435-34886ECA1CF3}">
  <dimension ref="A1:I3040"/>
  <sheetViews>
    <sheetView topLeftCell="A7" workbookViewId="0">
      <selection activeCell="O27" sqref="O27"/>
    </sheetView>
  </sheetViews>
  <sheetFormatPr defaultRowHeight="14.4" x14ac:dyDescent="0.3"/>
  <cols>
    <col min="1" max="1" width="9.5546875" customWidth="1"/>
    <col min="2" max="2" width="10.109375" customWidth="1"/>
    <col min="6" max="6" width="16.109375" bestFit="1" customWidth="1"/>
    <col min="7" max="7" width="15.5546875" bestFit="1" customWidth="1"/>
    <col min="8" max="8" width="7" bestFit="1" customWidth="1"/>
    <col min="9" max="9" width="10.88671875" bestFit="1" customWidth="1"/>
  </cols>
  <sheetData>
    <row r="1" spans="1:9" x14ac:dyDescent="0.3">
      <c r="A1" t="s">
        <v>175</v>
      </c>
      <c r="B1" t="s">
        <v>123</v>
      </c>
    </row>
    <row r="2" spans="1:9" x14ac:dyDescent="0.3">
      <c r="A2" t="s">
        <v>112</v>
      </c>
      <c r="B2" t="s">
        <v>159</v>
      </c>
    </row>
    <row r="3" spans="1:9" x14ac:dyDescent="0.3">
      <c r="A3" t="s">
        <v>112</v>
      </c>
      <c r="B3" t="s">
        <v>159</v>
      </c>
      <c r="F3" s="7" t="s">
        <v>176</v>
      </c>
      <c r="G3" s="7" t="s">
        <v>164</v>
      </c>
    </row>
    <row r="4" spans="1:9" x14ac:dyDescent="0.3">
      <c r="A4" t="s">
        <v>112</v>
      </c>
      <c r="B4" t="s">
        <v>159</v>
      </c>
      <c r="F4" s="7" t="s">
        <v>109</v>
      </c>
      <c r="G4" t="s">
        <v>158</v>
      </c>
      <c r="H4" t="s">
        <v>159</v>
      </c>
      <c r="I4" t="s">
        <v>110</v>
      </c>
    </row>
    <row r="5" spans="1:9" x14ac:dyDescent="0.3">
      <c r="A5" t="s">
        <v>112</v>
      </c>
      <c r="B5" t="s">
        <v>159</v>
      </c>
      <c r="F5" s="8" t="s">
        <v>112</v>
      </c>
      <c r="G5" s="14">
        <v>0.13228035538005922</v>
      </c>
      <c r="H5" s="14">
        <v>0.86771964461994078</v>
      </c>
      <c r="I5" s="14">
        <v>1</v>
      </c>
    </row>
    <row r="6" spans="1:9" x14ac:dyDescent="0.3">
      <c r="A6" t="s">
        <v>112</v>
      </c>
      <c r="B6" t="s">
        <v>159</v>
      </c>
      <c r="F6" s="8" t="s">
        <v>113</v>
      </c>
      <c r="G6" s="14">
        <v>8.7857847976307996E-2</v>
      </c>
      <c r="H6" s="14">
        <v>0.91214215202369198</v>
      </c>
      <c r="I6" s="14">
        <v>1</v>
      </c>
    </row>
    <row r="7" spans="1:9" x14ac:dyDescent="0.3">
      <c r="A7" t="s">
        <v>112</v>
      </c>
      <c r="B7" t="s">
        <v>159</v>
      </c>
      <c r="F7" s="8" t="s">
        <v>114</v>
      </c>
      <c r="G7" s="14">
        <v>0.1125370187561698</v>
      </c>
      <c r="H7" s="14">
        <v>0.88746298124383016</v>
      </c>
      <c r="I7" s="14">
        <v>1</v>
      </c>
    </row>
    <row r="8" spans="1:9" x14ac:dyDescent="0.3">
      <c r="A8" t="s">
        <v>112</v>
      </c>
      <c r="B8" t="s">
        <v>159</v>
      </c>
      <c r="F8" s="8" t="s">
        <v>110</v>
      </c>
      <c r="G8" s="14">
        <v>0.11089174070417901</v>
      </c>
      <c r="H8" s="14">
        <v>0.88910825929582105</v>
      </c>
      <c r="I8" s="14">
        <v>1</v>
      </c>
    </row>
    <row r="9" spans="1:9" x14ac:dyDescent="0.3">
      <c r="A9" t="s">
        <v>112</v>
      </c>
      <c r="B9" t="s">
        <v>159</v>
      </c>
    </row>
    <row r="10" spans="1:9" x14ac:dyDescent="0.3">
      <c r="A10" t="s">
        <v>112</v>
      </c>
      <c r="B10" t="s">
        <v>159</v>
      </c>
    </row>
    <row r="11" spans="1:9" x14ac:dyDescent="0.3">
      <c r="A11" t="s">
        <v>112</v>
      </c>
      <c r="B11" t="s">
        <v>159</v>
      </c>
    </row>
    <row r="12" spans="1:9" x14ac:dyDescent="0.3">
      <c r="A12" t="s">
        <v>112</v>
      </c>
      <c r="B12" t="s">
        <v>159</v>
      </c>
    </row>
    <row r="13" spans="1:9" x14ac:dyDescent="0.3">
      <c r="A13" t="s">
        <v>112</v>
      </c>
      <c r="B13" t="s">
        <v>159</v>
      </c>
    </row>
    <row r="14" spans="1:9" x14ac:dyDescent="0.3">
      <c r="A14" t="s">
        <v>112</v>
      </c>
      <c r="B14" t="s">
        <v>159</v>
      </c>
    </row>
    <row r="15" spans="1:9" x14ac:dyDescent="0.3">
      <c r="A15" t="s">
        <v>112</v>
      </c>
      <c r="B15" t="s">
        <v>159</v>
      </c>
    </row>
    <row r="16" spans="1:9" x14ac:dyDescent="0.3">
      <c r="A16" t="s">
        <v>112</v>
      </c>
      <c r="B16" t="s">
        <v>159</v>
      </c>
    </row>
    <row r="17" spans="1:2" x14ac:dyDescent="0.3">
      <c r="A17" t="s">
        <v>112</v>
      </c>
      <c r="B17" t="s">
        <v>159</v>
      </c>
    </row>
    <row r="18" spans="1:2" x14ac:dyDescent="0.3">
      <c r="A18" t="s">
        <v>112</v>
      </c>
      <c r="B18" t="s">
        <v>159</v>
      </c>
    </row>
    <row r="19" spans="1:2" x14ac:dyDescent="0.3">
      <c r="A19" t="s">
        <v>112</v>
      </c>
      <c r="B19" t="s">
        <v>159</v>
      </c>
    </row>
    <row r="20" spans="1:2" x14ac:dyDescent="0.3">
      <c r="A20" t="s">
        <v>112</v>
      </c>
      <c r="B20" t="s">
        <v>159</v>
      </c>
    </row>
    <row r="21" spans="1:2" x14ac:dyDescent="0.3">
      <c r="A21" t="s">
        <v>112</v>
      </c>
      <c r="B21" t="s">
        <v>159</v>
      </c>
    </row>
    <row r="22" spans="1:2" x14ac:dyDescent="0.3">
      <c r="A22" t="s">
        <v>112</v>
      </c>
      <c r="B22" t="s">
        <v>159</v>
      </c>
    </row>
    <row r="23" spans="1:2" x14ac:dyDescent="0.3">
      <c r="A23" t="s">
        <v>112</v>
      </c>
      <c r="B23" t="s">
        <v>159</v>
      </c>
    </row>
    <row r="24" spans="1:2" x14ac:dyDescent="0.3">
      <c r="A24" t="s">
        <v>112</v>
      </c>
      <c r="B24" t="s">
        <v>159</v>
      </c>
    </row>
    <row r="25" spans="1:2" x14ac:dyDescent="0.3">
      <c r="A25" t="s">
        <v>112</v>
      </c>
      <c r="B25" t="s">
        <v>159</v>
      </c>
    </row>
    <row r="26" spans="1:2" x14ac:dyDescent="0.3">
      <c r="A26" t="s">
        <v>112</v>
      </c>
      <c r="B26" t="s">
        <v>159</v>
      </c>
    </row>
    <row r="27" spans="1:2" x14ac:dyDescent="0.3">
      <c r="A27" t="s">
        <v>112</v>
      </c>
      <c r="B27" t="s">
        <v>159</v>
      </c>
    </row>
    <row r="28" spans="1:2" x14ac:dyDescent="0.3">
      <c r="A28" t="s">
        <v>112</v>
      </c>
      <c r="B28" t="s">
        <v>159</v>
      </c>
    </row>
    <row r="29" spans="1:2" x14ac:dyDescent="0.3">
      <c r="A29" t="s">
        <v>112</v>
      </c>
      <c r="B29" t="s">
        <v>159</v>
      </c>
    </row>
    <row r="30" spans="1:2" x14ac:dyDescent="0.3">
      <c r="A30" t="s">
        <v>112</v>
      </c>
      <c r="B30" t="s">
        <v>159</v>
      </c>
    </row>
    <row r="31" spans="1:2" x14ac:dyDescent="0.3">
      <c r="A31" t="s">
        <v>112</v>
      </c>
      <c r="B31" t="s">
        <v>159</v>
      </c>
    </row>
    <row r="32" spans="1:2" x14ac:dyDescent="0.3">
      <c r="A32" t="s">
        <v>112</v>
      </c>
      <c r="B32" t="s">
        <v>159</v>
      </c>
    </row>
    <row r="33" spans="1:2" x14ac:dyDescent="0.3">
      <c r="A33" t="s">
        <v>112</v>
      </c>
      <c r="B33" t="s">
        <v>159</v>
      </c>
    </row>
    <row r="34" spans="1:2" x14ac:dyDescent="0.3">
      <c r="A34" t="s">
        <v>112</v>
      </c>
      <c r="B34" t="s">
        <v>159</v>
      </c>
    </row>
    <row r="35" spans="1:2" x14ac:dyDescent="0.3">
      <c r="A35" t="s">
        <v>112</v>
      </c>
      <c r="B35" t="s">
        <v>159</v>
      </c>
    </row>
    <row r="36" spans="1:2" x14ac:dyDescent="0.3">
      <c r="A36" t="s">
        <v>112</v>
      </c>
      <c r="B36" t="s">
        <v>159</v>
      </c>
    </row>
    <row r="37" spans="1:2" x14ac:dyDescent="0.3">
      <c r="A37" t="s">
        <v>112</v>
      </c>
      <c r="B37" t="s">
        <v>159</v>
      </c>
    </row>
    <row r="38" spans="1:2" x14ac:dyDescent="0.3">
      <c r="A38" t="s">
        <v>112</v>
      </c>
      <c r="B38" t="s">
        <v>159</v>
      </c>
    </row>
    <row r="39" spans="1:2" x14ac:dyDescent="0.3">
      <c r="A39" t="s">
        <v>112</v>
      </c>
      <c r="B39" t="s">
        <v>159</v>
      </c>
    </row>
    <row r="40" spans="1:2" x14ac:dyDescent="0.3">
      <c r="A40" t="s">
        <v>112</v>
      </c>
      <c r="B40" t="s">
        <v>159</v>
      </c>
    </row>
    <row r="41" spans="1:2" x14ac:dyDescent="0.3">
      <c r="A41" t="s">
        <v>112</v>
      </c>
      <c r="B41" t="s">
        <v>159</v>
      </c>
    </row>
    <row r="42" spans="1:2" x14ac:dyDescent="0.3">
      <c r="A42" t="s">
        <v>112</v>
      </c>
      <c r="B42" t="s">
        <v>159</v>
      </c>
    </row>
    <row r="43" spans="1:2" x14ac:dyDescent="0.3">
      <c r="A43" t="s">
        <v>112</v>
      </c>
      <c r="B43" t="s">
        <v>159</v>
      </c>
    </row>
    <row r="44" spans="1:2" x14ac:dyDescent="0.3">
      <c r="A44" t="s">
        <v>112</v>
      </c>
      <c r="B44" t="s">
        <v>159</v>
      </c>
    </row>
    <row r="45" spans="1:2" x14ac:dyDescent="0.3">
      <c r="A45" t="s">
        <v>112</v>
      </c>
      <c r="B45" t="s">
        <v>159</v>
      </c>
    </row>
    <row r="46" spans="1:2" x14ac:dyDescent="0.3">
      <c r="A46" t="s">
        <v>112</v>
      </c>
      <c r="B46" t="s">
        <v>159</v>
      </c>
    </row>
    <row r="47" spans="1:2" x14ac:dyDescent="0.3">
      <c r="A47" t="s">
        <v>112</v>
      </c>
      <c r="B47" t="s">
        <v>159</v>
      </c>
    </row>
    <row r="48" spans="1:2" x14ac:dyDescent="0.3">
      <c r="A48" t="s">
        <v>112</v>
      </c>
      <c r="B48" t="s">
        <v>159</v>
      </c>
    </row>
    <row r="49" spans="1:2" x14ac:dyDescent="0.3">
      <c r="A49" t="s">
        <v>112</v>
      </c>
      <c r="B49" t="s">
        <v>159</v>
      </c>
    </row>
    <row r="50" spans="1:2" x14ac:dyDescent="0.3">
      <c r="A50" t="s">
        <v>112</v>
      </c>
      <c r="B50" t="s">
        <v>159</v>
      </c>
    </row>
    <row r="51" spans="1:2" x14ac:dyDescent="0.3">
      <c r="A51" t="s">
        <v>112</v>
      </c>
      <c r="B51" t="s">
        <v>159</v>
      </c>
    </row>
    <row r="52" spans="1:2" x14ac:dyDescent="0.3">
      <c r="A52" t="s">
        <v>112</v>
      </c>
      <c r="B52" t="s">
        <v>159</v>
      </c>
    </row>
    <row r="53" spans="1:2" x14ac:dyDescent="0.3">
      <c r="A53" t="s">
        <v>112</v>
      </c>
      <c r="B53" t="s">
        <v>159</v>
      </c>
    </row>
    <row r="54" spans="1:2" x14ac:dyDescent="0.3">
      <c r="A54" t="s">
        <v>112</v>
      </c>
      <c r="B54" t="s">
        <v>159</v>
      </c>
    </row>
    <row r="55" spans="1:2" x14ac:dyDescent="0.3">
      <c r="A55" t="s">
        <v>112</v>
      </c>
      <c r="B55" t="s">
        <v>159</v>
      </c>
    </row>
    <row r="56" spans="1:2" x14ac:dyDescent="0.3">
      <c r="A56" t="s">
        <v>112</v>
      </c>
      <c r="B56" t="s">
        <v>159</v>
      </c>
    </row>
    <row r="57" spans="1:2" x14ac:dyDescent="0.3">
      <c r="A57" t="s">
        <v>112</v>
      </c>
      <c r="B57" t="s">
        <v>159</v>
      </c>
    </row>
    <row r="58" spans="1:2" x14ac:dyDescent="0.3">
      <c r="A58" t="s">
        <v>112</v>
      </c>
      <c r="B58" t="s">
        <v>159</v>
      </c>
    </row>
    <row r="59" spans="1:2" x14ac:dyDescent="0.3">
      <c r="A59" t="s">
        <v>112</v>
      </c>
      <c r="B59" t="s">
        <v>159</v>
      </c>
    </row>
    <row r="60" spans="1:2" x14ac:dyDescent="0.3">
      <c r="A60" t="s">
        <v>112</v>
      </c>
      <c r="B60" t="s">
        <v>159</v>
      </c>
    </row>
    <row r="61" spans="1:2" x14ac:dyDescent="0.3">
      <c r="A61" t="s">
        <v>112</v>
      </c>
      <c r="B61" t="s">
        <v>159</v>
      </c>
    </row>
    <row r="62" spans="1:2" x14ac:dyDescent="0.3">
      <c r="A62" t="s">
        <v>112</v>
      </c>
      <c r="B62" t="s">
        <v>159</v>
      </c>
    </row>
    <row r="63" spans="1:2" x14ac:dyDescent="0.3">
      <c r="A63" t="s">
        <v>112</v>
      </c>
      <c r="B63" t="s">
        <v>159</v>
      </c>
    </row>
    <row r="64" spans="1:2" x14ac:dyDescent="0.3">
      <c r="A64" t="s">
        <v>112</v>
      </c>
      <c r="B64" t="s">
        <v>159</v>
      </c>
    </row>
    <row r="65" spans="1:2" x14ac:dyDescent="0.3">
      <c r="A65" t="s">
        <v>112</v>
      </c>
      <c r="B65" t="s">
        <v>159</v>
      </c>
    </row>
    <row r="66" spans="1:2" x14ac:dyDescent="0.3">
      <c r="A66" t="s">
        <v>112</v>
      </c>
      <c r="B66" t="s">
        <v>159</v>
      </c>
    </row>
    <row r="67" spans="1:2" x14ac:dyDescent="0.3">
      <c r="A67" t="s">
        <v>112</v>
      </c>
      <c r="B67" t="s">
        <v>159</v>
      </c>
    </row>
    <row r="68" spans="1:2" x14ac:dyDescent="0.3">
      <c r="A68" t="s">
        <v>112</v>
      </c>
      <c r="B68" t="s">
        <v>159</v>
      </c>
    </row>
    <row r="69" spans="1:2" x14ac:dyDescent="0.3">
      <c r="A69" t="s">
        <v>112</v>
      </c>
      <c r="B69" t="s">
        <v>159</v>
      </c>
    </row>
    <row r="70" spans="1:2" x14ac:dyDescent="0.3">
      <c r="A70" t="s">
        <v>112</v>
      </c>
      <c r="B70" t="s">
        <v>159</v>
      </c>
    </row>
    <row r="71" spans="1:2" x14ac:dyDescent="0.3">
      <c r="A71" t="s">
        <v>112</v>
      </c>
      <c r="B71" t="s">
        <v>159</v>
      </c>
    </row>
    <row r="72" spans="1:2" x14ac:dyDescent="0.3">
      <c r="A72" t="s">
        <v>112</v>
      </c>
      <c r="B72" t="s">
        <v>159</v>
      </c>
    </row>
    <row r="73" spans="1:2" x14ac:dyDescent="0.3">
      <c r="A73" t="s">
        <v>112</v>
      </c>
      <c r="B73" t="s">
        <v>159</v>
      </c>
    </row>
    <row r="74" spans="1:2" x14ac:dyDescent="0.3">
      <c r="A74" t="s">
        <v>112</v>
      </c>
      <c r="B74" t="s">
        <v>159</v>
      </c>
    </row>
    <row r="75" spans="1:2" x14ac:dyDescent="0.3">
      <c r="A75" t="s">
        <v>112</v>
      </c>
      <c r="B75" t="s">
        <v>159</v>
      </c>
    </row>
    <row r="76" spans="1:2" x14ac:dyDescent="0.3">
      <c r="A76" t="s">
        <v>112</v>
      </c>
      <c r="B76" t="s">
        <v>159</v>
      </c>
    </row>
    <row r="77" spans="1:2" x14ac:dyDescent="0.3">
      <c r="A77" t="s">
        <v>112</v>
      </c>
      <c r="B77" t="s">
        <v>159</v>
      </c>
    </row>
    <row r="78" spans="1:2" x14ac:dyDescent="0.3">
      <c r="A78" t="s">
        <v>112</v>
      </c>
      <c r="B78" t="s">
        <v>159</v>
      </c>
    </row>
    <row r="79" spans="1:2" x14ac:dyDescent="0.3">
      <c r="A79" t="s">
        <v>112</v>
      </c>
      <c r="B79" t="s">
        <v>159</v>
      </c>
    </row>
    <row r="80" spans="1:2" x14ac:dyDescent="0.3">
      <c r="A80" t="s">
        <v>112</v>
      </c>
      <c r="B80" t="s">
        <v>159</v>
      </c>
    </row>
    <row r="81" spans="1:2" x14ac:dyDescent="0.3">
      <c r="A81" t="s">
        <v>112</v>
      </c>
      <c r="B81" t="s">
        <v>159</v>
      </c>
    </row>
    <row r="82" spans="1:2" x14ac:dyDescent="0.3">
      <c r="A82" t="s">
        <v>112</v>
      </c>
      <c r="B82" t="s">
        <v>159</v>
      </c>
    </row>
    <row r="83" spans="1:2" x14ac:dyDescent="0.3">
      <c r="A83" t="s">
        <v>112</v>
      </c>
      <c r="B83" t="s">
        <v>159</v>
      </c>
    </row>
    <row r="84" spans="1:2" x14ac:dyDescent="0.3">
      <c r="A84" t="s">
        <v>112</v>
      </c>
      <c r="B84" t="s">
        <v>159</v>
      </c>
    </row>
    <row r="85" spans="1:2" x14ac:dyDescent="0.3">
      <c r="A85" t="s">
        <v>112</v>
      </c>
      <c r="B85" t="s">
        <v>159</v>
      </c>
    </row>
    <row r="86" spans="1:2" x14ac:dyDescent="0.3">
      <c r="A86" t="s">
        <v>112</v>
      </c>
      <c r="B86" t="s">
        <v>159</v>
      </c>
    </row>
    <row r="87" spans="1:2" x14ac:dyDescent="0.3">
      <c r="A87" t="s">
        <v>112</v>
      </c>
      <c r="B87" t="s">
        <v>159</v>
      </c>
    </row>
    <row r="88" spans="1:2" x14ac:dyDescent="0.3">
      <c r="A88" t="s">
        <v>112</v>
      </c>
      <c r="B88" t="s">
        <v>159</v>
      </c>
    </row>
    <row r="89" spans="1:2" x14ac:dyDescent="0.3">
      <c r="A89" t="s">
        <v>112</v>
      </c>
      <c r="B89" t="s">
        <v>159</v>
      </c>
    </row>
    <row r="90" spans="1:2" x14ac:dyDescent="0.3">
      <c r="A90" t="s">
        <v>112</v>
      </c>
      <c r="B90" t="s">
        <v>159</v>
      </c>
    </row>
    <row r="91" spans="1:2" x14ac:dyDescent="0.3">
      <c r="A91" t="s">
        <v>112</v>
      </c>
      <c r="B91" t="s">
        <v>159</v>
      </c>
    </row>
    <row r="92" spans="1:2" x14ac:dyDescent="0.3">
      <c r="A92" t="s">
        <v>112</v>
      </c>
      <c r="B92" t="s">
        <v>159</v>
      </c>
    </row>
    <row r="93" spans="1:2" x14ac:dyDescent="0.3">
      <c r="A93" t="s">
        <v>112</v>
      </c>
      <c r="B93" t="s">
        <v>159</v>
      </c>
    </row>
    <row r="94" spans="1:2" x14ac:dyDescent="0.3">
      <c r="A94" t="s">
        <v>112</v>
      </c>
      <c r="B94" t="s">
        <v>159</v>
      </c>
    </row>
    <row r="95" spans="1:2" x14ac:dyDescent="0.3">
      <c r="A95" t="s">
        <v>112</v>
      </c>
      <c r="B95" t="s">
        <v>159</v>
      </c>
    </row>
    <row r="96" spans="1:2" x14ac:dyDescent="0.3">
      <c r="A96" t="s">
        <v>112</v>
      </c>
      <c r="B96" t="s">
        <v>159</v>
      </c>
    </row>
    <row r="97" spans="1:2" x14ac:dyDescent="0.3">
      <c r="A97" t="s">
        <v>112</v>
      </c>
      <c r="B97" t="s">
        <v>159</v>
      </c>
    </row>
    <row r="98" spans="1:2" x14ac:dyDescent="0.3">
      <c r="A98" t="s">
        <v>112</v>
      </c>
      <c r="B98" t="s">
        <v>159</v>
      </c>
    </row>
    <row r="99" spans="1:2" x14ac:dyDescent="0.3">
      <c r="A99" t="s">
        <v>112</v>
      </c>
      <c r="B99" t="s">
        <v>159</v>
      </c>
    </row>
    <row r="100" spans="1:2" x14ac:dyDescent="0.3">
      <c r="A100" t="s">
        <v>112</v>
      </c>
      <c r="B100" t="s">
        <v>159</v>
      </c>
    </row>
    <row r="101" spans="1:2" x14ac:dyDescent="0.3">
      <c r="A101" t="s">
        <v>112</v>
      </c>
      <c r="B101" t="s">
        <v>159</v>
      </c>
    </row>
    <row r="102" spans="1:2" x14ac:dyDescent="0.3">
      <c r="A102" t="s">
        <v>112</v>
      </c>
      <c r="B102" t="s">
        <v>159</v>
      </c>
    </row>
    <row r="103" spans="1:2" x14ac:dyDescent="0.3">
      <c r="A103" t="s">
        <v>112</v>
      </c>
      <c r="B103" t="s">
        <v>159</v>
      </c>
    </row>
    <row r="104" spans="1:2" x14ac:dyDescent="0.3">
      <c r="A104" t="s">
        <v>112</v>
      </c>
      <c r="B104" t="s">
        <v>159</v>
      </c>
    </row>
    <row r="105" spans="1:2" x14ac:dyDescent="0.3">
      <c r="A105" t="s">
        <v>112</v>
      </c>
      <c r="B105" t="s">
        <v>159</v>
      </c>
    </row>
    <row r="106" spans="1:2" x14ac:dyDescent="0.3">
      <c r="A106" t="s">
        <v>112</v>
      </c>
      <c r="B106" t="s">
        <v>159</v>
      </c>
    </row>
    <row r="107" spans="1:2" x14ac:dyDescent="0.3">
      <c r="A107" t="s">
        <v>112</v>
      </c>
      <c r="B107" t="s">
        <v>159</v>
      </c>
    </row>
    <row r="108" spans="1:2" x14ac:dyDescent="0.3">
      <c r="A108" t="s">
        <v>112</v>
      </c>
      <c r="B108" t="s">
        <v>159</v>
      </c>
    </row>
    <row r="109" spans="1:2" x14ac:dyDescent="0.3">
      <c r="A109" t="s">
        <v>112</v>
      </c>
      <c r="B109" t="s">
        <v>159</v>
      </c>
    </row>
    <row r="110" spans="1:2" x14ac:dyDescent="0.3">
      <c r="A110" t="s">
        <v>112</v>
      </c>
      <c r="B110" t="s">
        <v>159</v>
      </c>
    </row>
    <row r="111" spans="1:2" x14ac:dyDescent="0.3">
      <c r="A111" t="s">
        <v>112</v>
      </c>
      <c r="B111" t="s">
        <v>159</v>
      </c>
    </row>
    <row r="112" spans="1:2" x14ac:dyDescent="0.3">
      <c r="A112" t="s">
        <v>112</v>
      </c>
      <c r="B112" t="s">
        <v>159</v>
      </c>
    </row>
    <row r="113" spans="1:2" x14ac:dyDescent="0.3">
      <c r="A113" t="s">
        <v>112</v>
      </c>
      <c r="B113" t="s">
        <v>159</v>
      </c>
    </row>
    <row r="114" spans="1:2" x14ac:dyDescent="0.3">
      <c r="A114" t="s">
        <v>112</v>
      </c>
      <c r="B114" t="s">
        <v>159</v>
      </c>
    </row>
    <row r="115" spans="1:2" x14ac:dyDescent="0.3">
      <c r="A115" t="s">
        <v>112</v>
      </c>
      <c r="B115" t="s">
        <v>159</v>
      </c>
    </row>
    <row r="116" spans="1:2" x14ac:dyDescent="0.3">
      <c r="A116" t="s">
        <v>112</v>
      </c>
      <c r="B116" t="s">
        <v>159</v>
      </c>
    </row>
    <row r="117" spans="1:2" x14ac:dyDescent="0.3">
      <c r="A117" t="s">
        <v>112</v>
      </c>
      <c r="B117" t="s">
        <v>159</v>
      </c>
    </row>
    <row r="118" spans="1:2" x14ac:dyDescent="0.3">
      <c r="A118" t="s">
        <v>112</v>
      </c>
      <c r="B118" t="s">
        <v>159</v>
      </c>
    </row>
    <row r="119" spans="1:2" x14ac:dyDescent="0.3">
      <c r="A119" t="s">
        <v>112</v>
      </c>
      <c r="B119" t="s">
        <v>159</v>
      </c>
    </row>
    <row r="120" spans="1:2" x14ac:dyDescent="0.3">
      <c r="A120" t="s">
        <v>112</v>
      </c>
      <c r="B120" t="s">
        <v>159</v>
      </c>
    </row>
    <row r="121" spans="1:2" x14ac:dyDescent="0.3">
      <c r="A121" t="s">
        <v>112</v>
      </c>
      <c r="B121" t="s">
        <v>159</v>
      </c>
    </row>
    <row r="122" spans="1:2" x14ac:dyDescent="0.3">
      <c r="A122" t="s">
        <v>112</v>
      </c>
      <c r="B122" t="s">
        <v>159</v>
      </c>
    </row>
    <row r="123" spans="1:2" x14ac:dyDescent="0.3">
      <c r="A123" t="s">
        <v>112</v>
      </c>
      <c r="B123" t="s">
        <v>159</v>
      </c>
    </row>
    <row r="124" spans="1:2" x14ac:dyDescent="0.3">
      <c r="A124" t="s">
        <v>112</v>
      </c>
      <c r="B124" t="s">
        <v>159</v>
      </c>
    </row>
    <row r="125" spans="1:2" x14ac:dyDescent="0.3">
      <c r="A125" t="s">
        <v>112</v>
      </c>
      <c r="B125" t="s">
        <v>159</v>
      </c>
    </row>
    <row r="126" spans="1:2" x14ac:dyDescent="0.3">
      <c r="A126" t="s">
        <v>112</v>
      </c>
      <c r="B126" t="s">
        <v>159</v>
      </c>
    </row>
    <row r="127" spans="1:2" x14ac:dyDescent="0.3">
      <c r="A127" t="s">
        <v>112</v>
      </c>
      <c r="B127" t="s">
        <v>159</v>
      </c>
    </row>
    <row r="128" spans="1:2" x14ac:dyDescent="0.3">
      <c r="A128" t="s">
        <v>112</v>
      </c>
      <c r="B128" t="s">
        <v>159</v>
      </c>
    </row>
    <row r="129" spans="1:2" x14ac:dyDescent="0.3">
      <c r="A129" t="s">
        <v>112</v>
      </c>
      <c r="B129" t="s">
        <v>159</v>
      </c>
    </row>
    <row r="130" spans="1:2" x14ac:dyDescent="0.3">
      <c r="A130" t="s">
        <v>112</v>
      </c>
      <c r="B130" t="s">
        <v>159</v>
      </c>
    </row>
    <row r="131" spans="1:2" x14ac:dyDescent="0.3">
      <c r="A131" t="s">
        <v>112</v>
      </c>
      <c r="B131" t="s">
        <v>159</v>
      </c>
    </row>
    <row r="132" spans="1:2" x14ac:dyDescent="0.3">
      <c r="A132" t="s">
        <v>112</v>
      </c>
      <c r="B132" t="s">
        <v>159</v>
      </c>
    </row>
    <row r="133" spans="1:2" x14ac:dyDescent="0.3">
      <c r="A133" t="s">
        <v>112</v>
      </c>
      <c r="B133" t="s">
        <v>159</v>
      </c>
    </row>
    <row r="134" spans="1:2" x14ac:dyDescent="0.3">
      <c r="A134" t="s">
        <v>112</v>
      </c>
      <c r="B134" t="s">
        <v>159</v>
      </c>
    </row>
    <row r="135" spans="1:2" x14ac:dyDescent="0.3">
      <c r="A135" t="s">
        <v>112</v>
      </c>
      <c r="B135" t="s">
        <v>159</v>
      </c>
    </row>
    <row r="136" spans="1:2" x14ac:dyDescent="0.3">
      <c r="A136" t="s">
        <v>112</v>
      </c>
      <c r="B136" t="s">
        <v>159</v>
      </c>
    </row>
    <row r="137" spans="1:2" x14ac:dyDescent="0.3">
      <c r="A137" t="s">
        <v>112</v>
      </c>
      <c r="B137" t="s">
        <v>159</v>
      </c>
    </row>
    <row r="138" spans="1:2" x14ac:dyDescent="0.3">
      <c r="A138" t="s">
        <v>112</v>
      </c>
      <c r="B138" t="s">
        <v>159</v>
      </c>
    </row>
    <row r="139" spans="1:2" x14ac:dyDescent="0.3">
      <c r="A139" t="s">
        <v>112</v>
      </c>
      <c r="B139" t="s">
        <v>159</v>
      </c>
    </row>
    <row r="140" spans="1:2" x14ac:dyDescent="0.3">
      <c r="A140" t="s">
        <v>112</v>
      </c>
      <c r="B140" t="s">
        <v>159</v>
      </c>
    </row>
    <row r="141" spans="1:2" x14ac:dyDescent="0.3">
      <c r="A141" t="s">
        <v>112</v>
      </c>
      <c r="B141" t="s">
        <v>159</v>
      </c>
    </row>
    <row r="142" spans="1:2" x14ac:dyDescent="0.3">
      <c r="A142" t="s">
        <v>112</v>
      </c>
      <c r="B142" t="s">
        <v>159</v>
      </c>
    </row>
    <row r="143" spans="1:2" x14ac:dyDescent="0.3">
      <c r="A143" t="s">
        <v>112</v>
      </c>
      <c r="B143" t="s">
        <v>159</v>
      </c>
    </row>
    <row r="144" spans="1:2" x14ac:dyDescent="0.3">
      <c r="A144" t="s">
        <v>112</v>
      </c>
      <c r="B144" t="s">
        <v>159</v>
      </c>
    </row>
    <row r="145" spans="1:2" x14ac:dyDescent="0.3">
      <c r="A145" t="s">
        <v>112</v>
      </c>
      <c r="B145" t="s">
        <v>159</v>
      </c>
    </row>
    <row r="146" spans="1:2" x14ac:dyDescent="0.3">
      <c r="A146" t="s">
        <v>112</v>
      </c>
      <c r="B146" t="s">
        <v>159</v>
      </c>
    </row>
    <row r="147" spans="1:2" x14ac:dyDescent="0.3">
      <c r="A147" t="s">
        <v>112</v>
      </c>
      <c r="B147" t="s">
        <v>159</v>
      </c>
    </row>
    <row r="148" spans="1:2" x14ac:dyDescent="0.3">
      <c r="A148" t="s">
        <v>112</v>
      </c>
      <c r="B148" t="s">
        <v>159</v>
      </c>
    </row>
    <row r="149" spans="1:2" x14ac:dyDescent="0.3">
      <c r="A149" t="s">
        <v>112</v>
      </c>
      <c r="B149" t="s">
        <v>159</v>
      </c>
    </row>
    <row r="150" spans="1:2" x14ac:dyDescent="0.3">
      <c r="A150" t="s">
        <v>112</v>
      </c>
      <c r="B150" t="s">
        <v>159</v>
      </c>
    </row>
    <row r="151" spans="1:2" x14ac:dyDescent="0.3">
      <c r="A151" t="s">
        <v>112</v>
      </c>
      <c r="B151" t="s">
        <v>159</v>
      </c>
    </row>
    <row r="152" spans="1:2" x14ac:dyDescent="0.3">
      <c r="A152" t="s">
        <v>112</v>
      </c>
      <c r="B152" t="s">
        <v>159</v>
      </c>
    </row>
    <row r="153" spans="1:2" x14ac:dyDescent="0.3">
      <c r="A153" t="s">
        <v>112</v>
      </c>
      <c r="B153" t="s">
        <v>159</v>
      </c>
    </row>
    <row r="154" spans="1:2" x14ac:dyDescent="0.3">
      <c r="A154" t="s">
        <v>112</v>
      </c>
      <c r="B154" t="s">
        <v>159</v>
      </c>
    </row>
    <row r="155" spans="1:2" x14ac:dyDescent="0.3">
      <c r="A155" t="s">
        <v>112</v>
      </c>
      <c r="B155" t="s">
        <v>159</v>
      </c>
    </row>
    <row r="156" spans="1:2" x14ac:dyDescent="0.3">
      <c r="A156" t="s">
        <v>112</v>
      </c>
      <c r="B156" t="s">
        <v>159</v>
      </c>
    </row>
    <row r="157" spans="1:2" x14ac:dyDescent="0.3">
      <c r="A157" t="s">
        <v>112</v>
      </c>
      <c r="B157" t="s">
        <v>159</v>
      </c>
    </row>
    <row r="158" spans="1:2" x14ac:dyDescent="0.3">
      <c r="A158" t="s">
        <v>112</v>
      </c>
      <c r="B158" t="s">
        <v>159</v>
      </c>
    </row>
    <row r="159" spans="1:2" x14ac:dyDescent="0.3">
      <c r="A159" t="s">
        <v>112</v>
      </c>
      <c r="B159" t="s">
        <v>159</v>
      </c>
    </row>
    <row r="160" spans="1:2" x14ac:dyDescent="0.3">
      <c r="A160" t="s">
        <v>112</v>
      </c>
      <c r="B160" t="s">
        <v>159</v>
      </c>
    </row>
    <row r="161" spans="1:2" x14ac:dyDescent="0.3">
      <c r="A161" t="s">
        <v>112</v>
      </c>
      <c r="B161" t="s">
        <v>159</v>
      </c>
    </row>
    <row r="162" spans="1:2" x14ac:dyDescent="0.3">
      <c r="A162" t="s">
        <v>112</v>
      </c>
      <c r="B162" t="s">
        <v>159</v>
      </c>
    </row>
    <row r="163" spans="1:2" x14ac:dyDescent="0.3">
      <c r="A163" t="s">
        <v>112</v>
      </c>
      <c r="B163" t="s">
        <v>159</v>
      </c>
    </row>
    <row r="164" spans="1:2" x14ac:dyDescent="0.3">
      <c r="A164" t="s">
        <v>112</v>
      </c>
      <c r="B164" t="s">
        <v>159</v>
      </c>
    </row>
    <row r="165" spans="1:2" x14ac:dyDescent="0.3">
      <c r="A165" t="s">
        <v>112</v>
      </c>
      <c r="B165" t="s">
        <v>159</v>
      </c>
    </row>
    <row r="166" spans="1:2" x14ac:dyDescent="0.3">
      <c r="A166" t="s">
        <v>112</v>
      </c>
      <c r="B166" t="s">
        <v>159</v>
      </c>
    </row>
    <row r="167" spans="1:2" x14ac:dyDescent="0.3">
      <c r="A167" t="s">
        <v>112</v>
      </c>
      <c r="B167" t="s">
        <v>159</v>
      </c>
    </row>
    <row r="168" spans="1:2" x14ac:dyDescent="0.3">
      <c r="A168" t="s">
        <v>112</v>
      </c>
      <c r="B168" t="s">
        <v>159</v>
      </c>
    </row>
    <row r="169" spans="1:2" x14ac:dyDescent="0.3">
      <c r="A169" t="s">
        <v>112</v>
      </c>
      <c r="B169" t="s">
        <v>159</v>
      </c>
    </row>
    <row r="170" spans="1:2" x14ac:dyDescent="0.3">
      <c r="A170" t="s">
        <v>112</v>
      </c>
      <c r="B170" t="s">
        <v>159</v>
      </c>
    </row>
    <row r="171" spans="1:2" x14ac:dyDescent="0.3">
      <c r="A171" t="s">
        <v>112</v>
      </c>
      <c r="B171" t="s">
        <v>159</v>
      </c>
    </row>
    <row r="172" spans="1:2" x14ac:dyDescent="0.3">
      <c r="A172" t="s">
        <v>112</v>
      </c>
      <c r="B172" t="s">
        <v>159</v>
      </c>
    </row>
    <row r="173" spans="1:2" x14ac:dyDescent="0.3">
      <c r="A173" t="s">
        <v>112</v>
      </c>
      <c r="B173" t="s">
        <v>159</v>
      </c>
    </row>
    <row r="174" spans="1:2" x14ac:dyDescent="0.3">
      <c r="A174" t="s">
        <v>112</v>
      </c>
      <c r="B174" t="s">
        <v>159</v>
      </c>
    </row>
    <row r="175" spans="1:2" x14ac:dyDescent="0.3">
      <c r="A175" t="s">
        <v>112</v>
      </c>
      <c r="B175" t="s">
        <v>159</v>
      </c>
    </row>
    <row r="176" spans="1:2" x14ac:dyDescent="0.3">
      <c r="A176" t="s">
        <v>112</v>
      </c>
      <c r="B176" t="s">
        <v>159</v>
      </c>
    </row>
    <row r="177" spans="1:2" x14ac:dyDescent="0.3">
      <c r="A177" t="s">
        <v>112</v>
      </c>
      <c r="B177" t="s">
        <v>159</v>
      </c>
    </row>
    <row r="178" spans="1:2" x14ac:dyDescent="0.3">
      <c r="A178" t="s">
        <v>112</v>
      </c>
      <c r="B178" t="s">
        <v>159</v>
      </c>
    </row>
    <row r="179" spans="1:2" x14ac:dyDescent="0.3">
      <c r="A179" t="s">
        <v>112</v>
      </c>
      <c r="B179" t="s">
        <v>159</v>
      </c>
    </row>
    <row r="180" spans="1:2" x14ac:dyDescent="0.3">
      <c r="A180" t="s">
        <v>112</v>
      </c>
      <c r="B180" t="s">
        <v>159</v>
      </c>
    </row>
    <row r="181" spans="1:2" x14ac:dyDescent="0.3">
      <c r="A181" t="s">
        <v>112</v>
      </c>
      <c r="B181" t="s">
        <v>159</v>
      </c>
    </row>
    <row r="182" spans="1:2" x14ac:dyDescent="0.3">
      <c r="A182" t="s">
        <v>112</v>
      </c>
      <c r="B182" t="s">
        <v>159</v>
      </c>
    </row>
    <row r="183" spans="1:2" x14ac:dyDescent="0.3">
      <c r="A183" t="s">
        <v>112</v>
      </c>
      <c r="B183" t="s">
        <v>159</v>
      </c>
    </row>
    <row r="184" spans="1:2" x14ac:dyDescent="0.3">
      <c r="A184" t="s">
        <v>112</v>
      </c>
      <c r="B184" t="s">
        <v>159</v>
      </c>
    </row>
    <row r="185" spans="1:2" x14ac:dyDescent="0.3">
      <c r="A185" t="s">
        <v>112</v>
      </c>
      <c r="B185" t="s">
        <v>159</v>
      </c>
    </row>
    <row r="186" spans="1:2" x14ac:dyDescent="0.3">
      <c r="A186" t="s">
        <v>112</v>
      </c>
      <c r="B186" t="s">
        <v>159</v>
      </c>
    </row>
    <row r="187" spans="1:2" x14ac:dyDescent="0.3">
      <c r="A187" t="s">
        <v>112</v>
      </c>
      <c r="B187" t="s">
        <v>159</v>
      </c>
    </row>
    <row r="188" spans="1:2" x14ac:dyDescent="0.3">
      <c r="A188" t="s">
        <v>112</v>
      </c>
      <c r="B188" t="s">
        <v>159</v>
      </c>
    </row>
    <row r="189" spans="1:2" x14ac:dyDescent="0.3">
      <c r="A189" t="s">
        <v>112</v>
      </c>
      <c r="B189" t="s">
        <v>159</v>
      </c>
    </row>
    <row r="190" spans="1:2" x14ac:dyDescent="0.3">
      <c r="A190" t="s">
        <v>112</v>
      </c>
      <c r="B190" t="s">
        <v>159</v>
      </c>
    </row>
    <row r="191" spans="1:2" x14ac:dyDescent="0.3">
      <c r="A191" t="s">
        <v>112</v>
      </c>
      <c r="B191" t="s">
        <v>159</v>
      </c>
    </row>
    <row r="192" spans="1:2" x14ac:dyDescent="0.3">
      <c r="A192" t="s">
        <v>112</v>
      </c>
      <c r="B192" t="s">
        <v>159</v>
      </c>
    </row>
    <row r="193" spans="1:2" x14ac:dyDescent="0.3">
      <c r="A193" t="s">
        <v>112</v>
      </c>
      <c r="B193" t="s">
        <v>159</v>
      </c>
    </row>
    <row r="194" spans="1:2" x14ac:dyDescent="0.3">
      <c r="A194" t="s">
        <v>112</v>
      </c>
      <c r="B194" t="s">
        <v>159</v>
      </c>
    </row>
    <row r="195" spans="1:2" x14ac:dyDescent="0.3">
      <c r="A195" t="s">
        <v>112</v>
      </c>
      <c r="B195" t="s">
        <v>159</v>
      </c>
    </row>
    <row r="196" spans="1:2" x14ac:dyDescent="0.3">
      <c r="A196" t="s">
        <v>112</v>
      </c>
      <c r="B196" t="s">
        <v>159</v>
      </c>
    </row>
    <row r="197" spans="1:2" x14ac:dyDescent="0.3">
      <c r="A197" t="s">
        <v>112</v>
      </c>
      <c r="B197" t="s">
        <v>159</v>
      </c>
    </row>
    <row r="198" spans="1:2" x14ac:dyDescent="0.3">
      <c r="A198" t="s">
        <v>112</v>
      </c>
      <c r="B198" t="s">
        <v>159</v>
      </c>
    </row>
    <row r="199" spans="1:2" x14ac:dyDescent="0.3">
      <c r="A199" t="s">
        <v>112</v>
      </c>
      <c r="B199" t="s">
        <v>159</v>
      </c>
    </row>
    <row r="200" spans="1:2" x14ac:dyDescent="0.3">
      <c r="A200" t="s">
        <v>112</v>
      </c>
      <c r="B200" t="s">
        <v>159</v>
      </c>
    </row>
    <row r="201" spans="1:2" x14ac:dyDescent="0.3">
      <c r="A201" t="s">
        <v>112</v>
      </c>
      <c r="B201" t="s">
        <v>159</v>
      </c>
    </row>
    <row r="202" spans="1:2" x14ac:dyDescent="0.3">
      <c r="A202" t="s">
        <v>112</v>
      </c>
      <c r="B202" t="s">
        <v>159</v>
      </c>
    </row>
    <row r="203" spans="1:2" x14ac:dyDescent="0.3">
      <c r="A203" t="s">
        <v>112</v>
      </c>
      <c r="B203" t="s">
        <v>159</v>
      </c>
    </row>
    <row r="204" spans="1:2" x14ac:dyDescent="0.3">
      <c r="A204" t="s">
        <v>112</v>
      </c>
      <c r="B204" t="s">
        <v>159</v>
      </c>
    </row>
    <row r="205" spans="1:2" x14ac:dyDescent="0.3">
      <c r="A205" t="s">
        <v>112</v>
      </c>
      <c r="B205" t="s">
        <v>159</v>
      </c>
    </row>
    <row r="206" spans="1:2" x14ac:dyDescent="0.3">
      <c r="A206" t="s">
        <v>112</v>
      </c>
      <c r="B206" t="s">
        <v>159</v>
      </c>
    </row>
    <row r="207" spans="1:2" x14ac:dyDescent="0.3">
      <c r="A207" t="s">
        <v>112</v>
      </c>
      <c r="B207" t="s">
        <v>159</v>
      </c>
    </row>
    <row r="208" spans="1:2" x14ac:dyDescent="0.3">
      <c r="A208" t="s">
        <v>112</v>
      </c>
      <c r="B208" t="s">
        <v>159</v>
      </c>
    </row>
    <row r="209" spans="1:2" x14ac:dyDescent="0.3">
      <c r="A209" t="s">
        <v>112</v>
      </c>
      <c r="B209" t="s">
        <v>159</v>
      </c>
    </row>
    <row r="210" spans="1:2" x14ac:dyDescent="0.3">
      <c r="A210" t="s">
        <v>112</v>
      </c>
      <c r="B210" t="s">
        <v>159</v>
      </c>
    </row>
    <row r="211" spans="1:2" x14ac:dyDescent="0.3">
      <c r="A211" t="s">
        <v>112</v>
      </c>
      <c r="B211" t="s">
        <v>159</v>
      </c>
    </row>
    <row r="212" spans="1:2" x14ac:dyDescent="0.3">
      <c r="A212" t="s">
        <v>112</v>
      </c>
      <c r="B212" t="s">
        <v>159</v>
      </c>
    </row>
    <row r="213" spans="1:2" x14ac:dyDescent="0.3">
      <c r="A213" t="s">
        <v>112</v>
      </c>
      <c r="B213" t="s">
        <v>159</v>
      </c>
    </row>
    <row r="214" spans="1:2" x14ac:dyDescent="0.3">
      <c r="A214" t="s">
        <v>112</v>
      </c>
      <c r="B214" t="s">
        <v>159</v>
      </c>
    </row>
    <row r="215" spans="1:2" x14ac:dyDescent="0.3">
      <c r="A215" t="s">
        <v>112</v>
      </c>
      <c r="B215" t="s">
        <v>159</v>
      </c>
    </row>
    <row r="216" spans="1:2" x14ac:dyDescent="0.3">
      <c r="A216" t="s">
        <v>112</v>
      </c>
      <c r="B216" t="s">
        <v>159</v>
      </c>
    </row>
    <row r="217" spans="1:2" x14ac:dyDescent="0.3">
      <c r="A217" t="s">
        <v>112</v>
      </c>
      <c r="B217" t="s">
        <v>159</v>
      </c>
    </row>
    <row r="218" spans="1:2" x14ac:dyDescent="0.3">
      <c r="A218" t="s">
        <v>112</v>
      </c>
      <c r="B218" t="s">
        <v>159</v>
      </c>
    </row>
    <row r="219" spans="1:2" x14ac:dyDescent="0.3">
      <c r="A219" t="s">
        <v>112</v>
      </c>
      <c r="B219" t="s">
        <v>159</v>
      </c>
    </row>
    <row r="220" spans="1:2" x14ac:dyDescent="0.3">
      <c r="A220" t="s">
        <v>112</v>
      </c>
      <c r="B220" t="s">
        <v>159</v>
      </c>
    </row>
    <row r="221" spans="1:2" x14ac:dyDescent="0.3">
      <c r="A221" t="s">
        <v>112</v>
      </c>
      <c r="B221" t="s">
        <v>159</v>
      </c>
    </row>
    <row r="222" spans="1:2" x14ac:dyDescent="0.3">
      <c r="A222" t="s">
        <v>112</v>
      </c>
      <c r="B222" t="s">
        <v>159</v>
      </c>
    </row>
    <row r="223" spans="1:2" x14ac:dyDescent="0.3">
      <c r="A223" t="s">
        <v>112</v>
      </c>
      <c r="B223" t="s">
        <v>159</v>
      </c>
    </row>
    <row r="224" spans="1:2" x14ac:dyDescent="0.3">
      <c r="A224" t="s">
        <v>112</v>
      </c>
      <c r="B224" t="s">
        <v>159</v>
      </c>
    </row>
    <row r="225" spans="1:2" x14ac:dyDescent="0.3">
      <c r="A225" t="s">
        <v>112</v>
      </c>
      <c r="B225" t="s">
        <v>159</v>
      </c>
    </row>
    <row r="226" spans="1:2" x14ac:dyDescent="0.3">
      <c r="A226" t="s">
        <v>112</v>
      </c>
      <c r="B226" t="s">
        <v>159</v>
      </c>
    </row>
    <row r="227" spans="1:2" x14ac:dyDescent="0.3">
      <c r="A227" t="s">
        <v>112</v>
      </c>
      <c r="B227" t="s">
        <v>159</v>
      </c>
    </row>
    <row r="228" spans="1:2" x14ac:dyDescent="0.3">
      <c r="A228" t="s">
        <v>112</v>
      </c>
      <c r="B228" t="s">
        <v>159</v>
      </c>
    </row>
    <row r="229" spans="1:2" x14ac:dyDescent="0.3">
      <c r="A229" t="s">
        <v>112</v>
      </c>
      <c r="B229" t="s">
        <v>159</v>
      </c>
    </row>
    <row r="230" spans="1:2" x14ac:dyDescent="0.3">
      <c r="A230" t="s">
        <v>112</v>
      </c>
      <c r="B230" t="s">
        <v>159</v>
      </c>
    </row>
    <row r="231" spans="1:2" x14ac:dyDescent="0.3">
      <c r="A231" t="s">
        <v>112</v>
      </c>
      <c r="B231" t="s">
        <v>159</v>
      </c>
    </row>
    <row r="232" spans="1:2" x14ac:dyDescent="0.3">
      <c r="A232" t="s">
        <v>112</v>
      </c>
      <c r="B232" t="s">
        <v>159</v>
      </c>
    </row>
    <row r="233" spans="1:2" x14ac:dyDescent="0.3">
      <c r="A233" t="s">
        <v>112</v>
      </c>
      <c r="B233" t="s">
        <v>159</v>
      </c>
    </row>
    <row r="234" spans="1:2" x14ac:dyDescent="0.3">
      <c r="A234" t="s">
        <v>112</v>
      </c>
      <c r="B234" t="s">
        <v>159</v>
      </c>
    </row>
    <row r="235" spans="1:2" x14ac:dyDescent="0.3">
      <c r="A235" t="s">
        <v>112</v>
      </c>
      <c r="B235" t="s">
        <v>159</v>
      </c>
    </row>
    <row r="236" spans="1:2" x14ac:dyDescent="0.3">
      <c r="A236" t="s">
        <v>112</v>
      </c>
      <c r="B236" t="s">
        <v>159</v>
      </c>
    </row>
    <row r="237" spans="1:2" x14ac:dyDescent="0.3">
      <c r="A237" t="s">
        <v>112</v>
      </c>
      <c r="B237" t="s">
        <v>159</v>
      </c>
    </row>
    <row r="238" spans="1:2" x14ac:dyDescent="0.3">
      <c r="A238" t="s">
        <v>112</v>
      </c>
      <c r="B238" t="s">
        <v>159</v>
      </c>
    </row>
    <row r="239" spans="1:2" x14ac:dyDescent="0.3">
      <c r="A239" t="s">
        <v>112</v>
      </c>
      <c r="B239" t="s">
        <v>159</v>
      </c>
    </row>
    <row r="240" spans="1:2" x14ac:dyDescent="0.3">
      <c r="A240" t="s">
        <v>112</v>
      </c>
      <c r="B240" t="s">
        <v>159</v>
      </c>
    </row>
    <row r="241" spans="1:2" x14ac:dyDescent="0.3">
      <c r="A241" t="s">
        <v>112</v>
      </c>
      <c r="B241" t="s">
        <v>159</v>
      </c>
    </row>
    <row r="242" spans="1:2" x14ac:dyDescent="0.3">
      <c r="A242" t="s">
        <v>112</v>
      </c>
      <c r="B242" t="s">
        <v>159</v>
      </c>
    </row>
    <row r="243" spans="1:2" x14ac:dyDescent="0.3">
      <c r="A243" t="s">
        <v>112</v>
      </c>
      <c r="B243" t="s">
        <v>159</v>
      </c>
    </row>
    <row r="244" spans="1:2" x14ac:dyDescent="0.3">
      <c r="A244" t="s">
        <v>112</v>
      </c>
      <c r="B244" t="s">
        <v>159</v>
      </c>
    </row>
    <row r="245" spans="1:2" x14ac:dyDescent="0.3">
      <c r="A245" t="s">
        <v>112</v>
      </c>
      <c r="B245" t="s">
        <v>159</v>
      </c>
    </row>
    <row r="246" spans="1:2" x14ac:dyDescent="0.3">
      <c r="A246" t="s">
        <v>112</v>
      </c>
      <c r="B246" t="s">
        <v>159</v>
      </c>
    </row>
    <row r="247" spans="1:2" x14ac:dyDescent="0.3">
      <c r="A247" t="s">
        <v>112</v>
      </c>
      <c r="B247" t="s">
        <v>159</v>
      </c>
    </row>
    <row r="248" spans="1:2" x14ac:dyDescent="0.3">
      <c r="A248" t="s">
        <v>112</v>
      </c>
      <c r="B248" t="s">
        <v>159</v>
      </c>
    </row>
    <row r="249" spans="1:2" x14ac:dyDescent="0.3">
      <c r="A249" t="s">
        <v>112</v>
      </c>
      <c r="B249" t="s">
        <v>159</v>
      </c>
    </row>
    <row r="250" spans="1:2" x14ac:dyDescent="0.3">
      <c r="A250" t="s">
        <v>112</v>
      </c>
      <c r="B250" t="s">
        <v>159</v>
      </c>
    </row>
    <row r="251" spans="1:2" x14ac:dyDescent="0.3">
      <c r="A251" t="s">
        <v>112</v>
      </c>
      <c r="B251" t="s">
        <v>159</v>
      </c>
    </row>
    <row r="252" spans="1:2" x14ac:dyDescent="0.3">
      <c r="A252" t="s">
        <v>112</v>
      </c>
      <c r="B252" t="s">
        <v>159</v>
      </c>
    </row>
    <row r="253" spans="1:2" x14ac:dyDescent="0.3">
      <c r="A253" t="s">
        <v>112</v>
      </c>
      <c r="B253" t="s">
        <v>159</v>
      </c>
    </row>
    <row r="254" spans="1:2" x14ac:dyDescent="0.3">
      <c r="A254" t="s">
        <v>112</v>
      </c>
      <c r="B254" t="s">
        <v>159</v>
      </c>
    </row>
    <row r="255" spans="1:2" x14ac:dyDescent="0.3">
      <c r="A255" t="s">
        <v>112</v>
      </c>
      <c r="B255" t="s">
        <v>159</v>
      </c>
    </row>
    <row r="256" spans="1:2" x14ac:dyDescent="0.3">
      <c r="A256" t="s">
        <v>112</v>
      </c>
      <c r="B256" t="s">
        <v>159</v>
      </c>
    </row>
    <row r="257" spans="1:2" x14ac:dyDescent="0.3">
      <c r="A257" t="s">
        <v>112</v>
      </c>
      <c r="B257" t="s">
        <v>159</v>
      </c>
    </row>
    <row r="258" spans="1:2" x14ac:dyDescent="0.3">
      <c r="A258" t="s">
        <v>112</v>
      </c>
      <c r="B258" t="s">
        <v>159</v>
      </c>
    </row>
    <row r="259" spans="1:2" x14ac:dyDescent="0.3">
      <c r="A259" t="s">
        <v>112</v>
      </c>
      <c r="B259" t="s">
        <v>159</v>
      </c>
    </row>
    <row r="260" spans="1:2" x14ac:dyDescent="0.3">
      <c r="A260" t="s">
        <v>112</v>
      </c>
      <c r="B260" t="s">
        <v>159</v>
      </c>
    </row>
    <row r="261" spans="1:2" x14ac:dyDescent="0.3">
      <c r="A261" t="s">
        <v>112</v>
      </c>
      <c r="B261" t="s">
        <v>159</v>
      </c>
    </row>
    <row r="262" spans="1:2" x14ac:dyDescent="0.3">
      <c r="A262" t="s">
        <v>112</v>
      </c>
      <c r="B262" t="s">
        <v>159</v>
      </c>
    </row>
    <row r="263" spans="1:2" x14ac:dyDescent="0.3">
      <c r="A263" t="s">
        <v>112</v>
      </c>
      <c r="B263" t="s">
        <v>159</v>
      </c>
    </row>
    <row r="264" spans="1:2" x14ac:dyDescent="0.3">
      <c r="A264" t="s">
        <v>112</v>
      </c>
      <c r="B264" t="s">
        <v>159</v>
      </c>
    </row>
    <row r="265" spans="1:2" x14ac:dyDescent="0.3">
      <c r="A265" t="s">
        <v>112</v>
      </c>
      <c r="B265" t="s">
        <v>159</v>
      </c>
    </row>
    <row r="266" spans="1:2" x14ac:dyDescent="0.3">
      <c r="A266" t="s">
        <v>112</v>
      </c>
      <c r="B266" t="s">
        <v>159</v>
      </c>
    </row>
    <row r="267" spans="1:2" x14ac:dyDescent="0.3">
      <c r="A267" t="s">
        <v>112</v>
      </c>
      <c r="B267" t="s">
        <v>159</v>
      </c>
    </row>
    <row r="268" spans="1:2" x14ac:dyDescent="0.3">
      <c r="A268" t="s">
        <v>112</v>
      </c>
      <c r="B268" t="s">
        <v>159</v>
      </c>
    </row>
    <row r="269" spans="1:2" x14ac:dyDescent="0.3">
      <c r="A269" t="s">
        <v>112</v>
      </c>
      <c r="B269" t="s">
        <v>159</v>
      </c>
    </row>
    <row r="270" spans="1:2" x14ac:dyDescent="0.3">
      <c r="A270" t="s">
        <v>112</v>
      </c>
      <c r="B270" t="s">
        <v>159</v>
      </c>
    </row>
    <row r="271" spans="1:2" x14ac:dyDescent="0.3">
      <c r="A271" t="s">
        <v>112</v>
      </c>
      <c r="B271" t="s">
        <v>159</v>
      </c>
    </row>
    <row r="272" spans="1:2" x14ac:dyDescent="0.3">
      <c r="A272" t="s">
        <v>112</v>
      </c>
      <c r="B272" t="s">
        <v>159</v>
      </c>
    </row>
    <row r="273" spans="1:2" x14ac:dyDescent="0.3">
      <c r="A273" t="s">
        <v>112</v>
      </c>
      <c r="B273" t="s">
        <v>159</v>
      </c>
    </row>
    <row r="274" spans="1:2" x14ac:dyDescent="0.3">
      <c r="A274" t="s">
        <v>112</v>
      </c>
      <c r="B274" t="s">
        <v>159</v>
      </c>
    </row>
    <row r="275" spans="1:2" x14ac:dyDescent="0.3">
      <c r="A275" t="s">
        <v>112</v>
      </c>
      <c r="B275" t="s">
        <v>159</v>
      </c>
    </row>
    <row r="276" spans="1:2" x14ac:dyDescent="0.3">
      <c r="A276" t="s">
        <v>112</v>
      </c>
      <c r="B276" t="s">
        <v>159</v>
      </c>
    </row>
    <row r="277" spans="1:2" x14ac:dyDescent="0.3">
      <c r="A277" t="s">
        <v>112</v>
      </c>
      <c r="B277" t="s">
        <v>159</v>
      </c>
    </row>
    <row r="278" spans="1:2" x14ac:dyDescent="0.3">
      <c r="A278" t="s">
        <v>112</v>
      </c>
      <c r="B278" t="s">
        <v>159</v>
      </c>
    </row>
    <row r="279" spans="1:2" x14ac:dyDescent="0.3">
      <c r="A279" t="s">
        <v>112</v>
      </c>
      <c r="B279" t="s">
        <v>159</v>
      </c>
    </row>
    <row r="280" spans="1:2" x14ac:dyDescent="0.3">
      <c r="A280" t="s">
        <v>112</v>
      </c>
      <c r="B280" t="s">
        <v>159</v>
      </c>
    </row>
    <row r="281" spans="1:2" x14ac:dyDescent="0.3">
      <c r="A281" t="s">
        <v>112</v>
      </c>
      <c r="B281" t="s">
        <v>159</v>
      </c>
    </row>
    <row r="282" spans="1:2" x14ac:dyDescent="0.3">
      <c r="A282" t="s">
        <v>112</v>
      </c>
      <c r="B282" t="s">
        <v>159</v>
      </c>
    </row>
    <row r="283" spans="1:2" x14ac:dyDescent="0.3">
      <c r="A283" t="s">
        <v>112</v>
      </c>
      <c r="B283" t="s">
        <v>159</v>
      </c>
    </row>
    <row r="284" spans="1:2" x14ac:dyDescent="0.3">
      <c r="A284" t="s">
        <v>112</v>
      </c>
      <c r="B284" t="s">
        <v>159</v>
      </c>
    </row>
    <row r="285" spans="1:2" x14ac:dyDescent="0.3">
      <c r="A285" t="s">
        <v>112</v>
      </c>
      <c r="B285" t="s">
        <v>159</v>
      </c>
    </row>
    <row r="286" spans="1:2" x14ac:dyDescent="0.3">
      <c r="A286" t="s">
        <v>112</v>
      </c>
      <c r="B286" t="s">
        <v>159</v>
      </c>
    </row>
    <row r="287" spans="1:2" x14ac:dyDescent="0.3">
      <c r="A287" t="s">
        <v>112</v>
      </c>
      <c r="B287" t="s">
        <v>159</v>
      </c>
    </row>
    <row r="288" spans="1:2" x14ac:dyDescent="0.3">
      <c r="A288" t="s">
        <v>112</v>
      </c>
      <c r="B288" t="s">
        <v>159</v>
      </c>
    </row>
    <row r="289" spans="1:2" x14ac:dyDescent="0.3">
      <c r="A289" t="s">
        <v>112</v>
      </c>
      <c r="B289" t="s">
        <v>159</v>
      </c>
    </row>
    <row r="290" spans="1:2" x14ac:dyDescent="0.3">
      <c r="A290" t="s">
        <v>112</v>
      </c>
      <c r="B290" t="s">
        <v>159</v>
      </c>
    </row>
    <row r="291" spans="1:2" x14ac:dyDescent="0.3">
      <c r="A291" t="s">
        <v>112</v>
      </c>
      <c r="B291" t="s">
        <v>159</v>
      </c>
    </row>
    <row r="292" spans="1:2" x14ac:dyDescent="0.3">
      <c r="A292" t="s">
        <v>112</v>
      </c>
      <c r="B292" t="s">
        <v>159</v>
      </c>
    </row>
    <row r="293" spans="1:2" x14ac:dyDescent="0.3">
      <c r="A293" t="s">
        <v>112</v>
      </c>
      <c r="B293" t="s">
        <v>159</v>
      </c>
    </row>
    <row r="294" spans="1:2" x14ac:dyDescent="0.3">
      <c r="A294" t="s">
        <v>112</v>
      </c>
      <c r="B294" t="s">
        <v>159</v>
      </c>
    </row>
    <row r="295" spans="1:2" x14ac:dyDescent="0.3">
      <c r="A295" t="s">
        <v>112</v>
      </c>
      <c r="B295" t="s">
        <v>159</v>
      </c>
    </row>
    <row r="296" spans="1:2" x14ac:dyDescent="0.3">
      <c r="A296" t="s">
        <v>112</v>
      </c>
      <c r="B296" t="s">
        <v>159</v>
      </c>
    </row>
    <row r="297" spans="1:2" x14ac:dyDescent="0.3">
      <c r="A297" t="s">
        <v>112</v>
      </c>
      <c r="B297" t="s">
        <v>159</v>
      </c>
    </row>
    <row r="298" spans="1:2" x14ac:dyDescent="0.3">
      <c r="A298" t="s">
        <v>112</v>
      </c>
      <c r="B298" t="s">
        <v>159</v>
      </c>
    </row>
    <row r="299" spans="1:2" x14ac:dyDescent="0.3">
      <c r="A299" t="s">
        <v>112</v>
      </c>
      <c r="B299" t="s">
        <v>159</v>
      </c>
    </row>
    <row r="300" spans="1:2" x14ac:dyDescent="0.3">
      <c r="A300" t="s">
        <v>112</v>
      </c>
      <c r="B300" t="s">
        <v>159</v>
      </c>
    </row>
    <row r="301" spans="1:2" x14ac:dyDescent="0.3">
      <c r="A301" t="s">
        <v>112</v>
      </c>
      <c r="B301" t="s">
        <v>159</v>
      </c>
    </row>
    <row r="302" spans="1:2" x14ac:dyDescent="0.3">
      <c r="A302" t="s">
        <v>112</v>
      </c>
      <c r="B302" t="s">
        <v>159</v>
      </c>
    </row>
    <row r="303" spans="1:2" x14ac:dyDescent="0.3">
      <c r="A303" t="s">
        <v>112</v>
      </c>
      <c r="B303" t="s">
        <v>159</v>
      </c>
    </row>
    <row r="304" spans="1:2" x14ac:dyDescent="0.3">
      <c r="A304" t="s">
        <v>112</v>
      </c>
      <c r="B304" t="s">
        <v>159</v>
      </c>
    </row>
    <row r="305" spans="1:2" x14ac:dyDescent="0.3">
      <c r="A305" t="s">
        <v>112</v>
      </c>
      <c r="B305" t="s">
        <v>159</v>
      </c>
    </row>
    <row r="306" spans="1:2" x14ac:dyDescent="0.3">
      <c r="A306" t="s">
        <v>112</v>
      </c>
      <c r="B306" t="s">
        <v>159</v>
      </c>
    </row>
    <row r="307" spans="1:2" x14ac:dyDescent="0.3">
      <c r="A307" t="s">
        <v>112</v>
      </c>
      <c r="B307" t="s">
        <v>159</v>
      </c>
    </row>
    <row r="308" spans="1:2" x14ac:dyDescent="0.3">
      <c r="A308" t="s">
        <v>112</v>
      </c>
      <c r="B308" t="s">
        <v>159</v>
      </c>
    </row>
    <row r="309" spans="1:2" x14ac:dyDescent="0.3">
      <c r="A309" t="s">
        <v>112</v>
      </c>
      <c r="B309" t="s">
        <v>159</v>
      </c>
    </row>
    <row r="310" spans="1:2" x14ac:dyDescent="0.3">
      <c r="A310" t="s">
        <v>112</v>
      </c>
      <c r="B310" t="s">
        <v>159</v>
      </c>
    </row>
    <row r="311" spans="1:2" x14ac:dyDescent="0.3">
      <c r="A311" t="s">
        <v>112</v>
      </c>
      <c r="B311" t="s">
        <v>159</v>
      </c>
    </row>
    <row r="312" spans="1:2" x14ac:dyDescent="0.3">
      <c r="A312" t="s">
        <v>112</v>
      </c>
      <c r="B312" t="s">
        <v>159</v>
      </c>
    </row>
    <row r="313" spans="1:2" x14ac:dyDescent="0.3">
      <c r="A313" t="s">
        <v>112</v>
      </c>
      <c r="B313" t="s">
        <v>159</v>
      </c>
    </row>
    <row r="314" spans="1:2" x14ac:dyDescent="0.3">
      <c r="A314" t="s">
        <v>112</v>
      </c>
      <c r="B314" t="s">
        <v>159</v>
      </c>
    </row>
    <row r="315" spans="1:2" x14ac:dyDescent="0.3">
      <c r="A315" t="s">
        <v>112</v>
      </c>
      <c r="B315" t="s">
        <v>159</v>
      </c>
    </row>
    <row r="316" spans="1:2" x14ac:dyDescent="0.3">
      <c r="A316" t="s">
        <v>112</v>
      </c>
      <c r="B316" t="s">
        <v>159</v>
      </c>
    </row>
    <row r="317" spans="1:2" x14ac:dyDescent="0.3">
      <c r="A317" t="s">
        <v>112</v>
      </c>
      <c r="B317" t="s">
        <v>159</v>
      </c>
    </row>
    <row r="318" spans="1:2" x14ac:dyDescent="0.3">
      <c r="A318" t="s">
        <v>112</v>
      </c>
      <c r="B318" t="s">
        <v>159</v>
      </c>
    </row>
    <row r="319" spans="1:2" x14ac:dyDescent="0.3">
      <c r="A319" t="s">
        <v>112</v>
      </c>
      <c r="B319" t="s">
        <v>159</v>
      </c>
    </row>
    <row r="320" spans="1:2" x14ac:dyDescent="0.3">
      <c r="A320" t="s">
        <v>112</v>
      </c>
      <c r="B320" t="s">
        <v>159</v>
      </c>
    </row>
    <row r="321" spans="1:2" x14ac:dyDescent="0.3">
      <c r="A321" t="s">
        <v>112</v>
      </c>
      <c r="B321" t="s">
        <v>159</v>
      </c>
    </row>
    <row r="322" spans="1:2" x14ac:dyDescent="0.3">
      <c r="A322" t="s">
        <v>112</v>
      </c>
      <c r="B322" t="s">
        <v>159</v>
      </c>
    </row>
    <row r="323" spans="1:2" x14ac:dyDescent="0.3">
      <c r="A323" t="s">
        <v>112</v>
      </c>
      <c r="B323" t="s">
        <v>159</v>
      </c>
    </row>
    <row r="324" spans="1:2" x14ac:dyDescent="0.3">
      <c r="A324" t="s">
        <v>112</v>
      </c>
      <c r="B324" t="s">
        <v>159</v>
      </c>
    </row>
    <row r="325" spans="1:2" x14ac:dyDescent="0.3">
      <c r="A325" t="s">
        <v>112</v>
      </c>
      <c r="B325" t="s">
        <v>159</v>
      </c>
    </row>
    <row r="326" spans="1:2" x14ac:dyDescent="0.3">
      <c r="A326" t="s">
        <v>112</v>
      </c>
      <c r="B326" t="s">
        <v>159</v>
      </c>
    </row>
    <row r="327" spans="1:2" x14ac:dyDescent="0.3">
      <c r="A327" t="s">
        <v>112</v>
      </c>
      <c r="B327" t="s">
        <v>159</v>
      </c>
    </row>
    <row r="328" spans="1:2" x14ac:dyDescent="0.3">
      <c r="A328" t="s">
        <v>112</v>
      </c>
      <c r="B328" t="s">
        <v>159</v>
      </c>
    </row>
    <row r="329" spans="1:2" x14ac:dyDescent="0.3">
      <c r="A329" t="s">
        <v>112</v>
      </c>
      <c r="B329" t="s">
        <v>159</v>
      </c>
    </row>
    <row r="330" spans="1:2" x14ac:dyDescent="0.3">
      <c r="A330" t="s">
        <v>112</v>
      </c>
      <c r="B330" t="s">
        <v>159</v>
      </c>
    </row>
    <row r="331" spans="1:2" x14ac:dyDescent="0.3">
      <c r="A331" t="s">
        <v>112</v>
      </c>
      <c r="B331" t="s">
        <v>159</v>
      </c>
    </row>
    <row r="332" spans="1:2" x14ac:dyDescent="0.3">
      <c r="A332" t="s">
        <v>112</v>
      </c>
      <c r="B332" t="s">
        <v>159</v>
      </c>
    </row>
    <row r="333" spans="1:2" x14ac:dyDescent="0.3">
      <c r="A333" t="s">
        <v>112</v>
      </c>
      <c r="B333" t="s">
        <v>159</v>
      </c>
    </row>
    <row r="334" spans="1:2" x14ac:dyDescent="0.3">
      <c r="A334" t="s">
        <v>112</v>
      </c>
      <c r="B334" t="s">
        <v>159</v>
      </c>
    </row>
    <row r="335" spans="1:2" x14ac:dyDescent="0.3">
      <c r="A335" t="s">
        <v>112</v>
      </c>
      <c r="B335" t="s">
        <v>159</v>
      </c>
    </row>
    <row r="336" spans="1:2" x14ac:dyDescent="0.3">
      <c r="A336" t="s">
        <v>112</v>
      </c>
      <c r="B336" t="s">
        <v>159</v>
      </c>
    </row>
    <row r="337" spans="1:2" x14ac:dyDescent="0.3">
      <c r="A337" t="s">
        <v>112</v>
      </c>
      <c r="B337" t="s">
        <v>159</v>
      </c>
    </row>
    <row r="338" spans="1:2" x14ac:dyDescent="0.3">
      <c r="A338" t="s">
        <v>112</v>
      </c>
      <c r="B338" t="s">
        <v>159</v>
      </c>
    </row>
    <row r="339" spans="1:2" x14ac:dyDescent="0.3">
      <c r="A339" t="s">
        <v>112</v>
      </c>
      <c r="B339" t="s">
        <v>159</v>
      </c>
    </row>
    <row r="340" spans="1:2" x14ac:dyDescent="0.3">
      <c r="A340" t="s">
        <v>112</v>
      </c>
      <c r="B340" t="s">
        <v>159</v>
      </c>
    </row>
    <row r="341" spans="1:2" x14ac:dyDescent="0.3">
      <c r="A341" t="s">
        <v>112</v>
      </c>
      <c r="B341" t="s">
        <v>159</v>
      </c>
    </row>
    <row r="342" spans="1:2" x14ac:dyDescent="0.3">
      <c r="A342" t="s">
        <v>112</v>
      </c>
      <c r="B342" t="s">
        <v>159</v>
      </c>
    </row>
    <row r="343" spans="1:2" x14ac:dyDescent="0.3">
      <c r="A343" t="s">
        <v>112</v>
      </c>
      <c r="B343" t="s">
        <v>159</v>
      </c>
    </row>
    <row r="344" spans="1:2" x14ac:dyDescent="0.3">
      <c r="A344" t="s">
        <v>112</v>
      </c>
      <c r="B344" t="s">
        <v>159</v>
      </c>
    </row>
    <row r="345" spans="1:2" x14ac:dyDescent="0.3">
      <c r="A345" t="s">
        <v>112</v>
      </c>
      <c r="B345" t="s">
        <v>159</v>
      </c>
    </row>
    <row r="346" spans="1:2" x14ac:dyDescent="0.3">
      <c r="A346" t="s">
        <v>112</v>
      </c>
      <c r="B346" t="s">
        <v>159</v>
      </c>
    </row>
    <row r="347" spans="1:2" x14ac:dyDescent="0.3">
      <c r="A347" t="s">
        <v>112</v>
      </c>
      <c r="B347" t="s">
        <v>159</v>
      </c>
    </row>
    <row r="348" spans="1:2" x14ac:dyDescent="0.3">
      <c r="A348" t="s">
        <v>112</v>
      </c>
      <c r="B348" t="s">
        <v>159</v>
      </c>
    </row>
    <row r="349" spans="1:2" x14ac:dyDescent="0.3">
      <c r="A349" t="s">
        <v>112</v>
      </c>
      <c r="B349" t="s">
        <v>159</v>
      </c>
    </row>
    <row r="350" spans="1:2" x14ac:dyDescent="0.3">
      <c r="A350" t="s">
        <v>112</v>
      </c>
      <c r="B350" t="s">
        <v>159</v>
      </c>
    </row>
    <row r="351" spans="1:2" x14ac:dyDescent="0.3">
      <c r="A351" t="s">
        <v>112</v>
      </c>
      <c r="B351" t="s">
        <v>159</v>
      </c>
    </row>
    <row r="352" spans="1:2" x14ac:dyDescent="0.3">
      <c r="A352" t="s">
        <v>112</v>
      </c>
      <c r="B352" t="s">
        <v>159</v>
      </c>
    </row>
    <row r="353" spans="1:2" x14ac:dyDescent="0.3">
      <c r="A353" t="s">
        <v>112</v>
      </c>
      <c r="B353" t="s">
        <v>159</v>
      </c>
    </row>
    <row r="354" spans="1:2" x14ac:dyDescent="0.3">
      <c r="A354" t="s">
        <v>112</v>
      </c>
      <c r="B354" t="s">
        <v>159</v>
      </c>
    </row>
    <row r="355" spans="1:2" x14ac:dyDescent="0.3">
      <c r="A355" t="s">
        <v>112</v>
      </c>
      <c r="B355" t="s">
        <v>159</v>
      </c>
    </row>
    <row r="356" spans="1:2" x14ac:dyDescent="0.3">
      <c r="A356" t="s">
        <v>112</v>
      </c>
      <c r="B356" t="s">
        <v>159</v>
      </c>
    </row>
    <row r="357" spans="1:2" x14ac:dyDescent="0.3">
      <c r="A357" t="s">
        <v>112</v>
      </c>
      <c r="B357" t="s">
        <v>159</v>
      </c>
    </row>
    <row r="358" spans="1:2" x14ac:dyDescent="0.3">
      <c r="A358" t="s">
        <v>112</v>
      </c>
      <c r="B358" t="s">
        <v>159</v>
      </c>
    </row>
    <row r="359" spans="1:2" x14ac:dyDescent="0.3">
      <c r="A359" t="s">
        <v>112</v>
      </c>
      <c r="B359" t="s">
        <v>159</v>
      </c>
    </row>
    <row r="360" spans="1:2" x14ac:dyDescent="0.3">
      <c r="A360" t="s">
        <v>112</v>
      </c>
      <c r="B360" t="s">
        <v>159</v>
      </c>
    </row>
    <row r="361" spans="1:2" x14ac:dyDescent="0.3">
      <c r="A361" t="s">
        <v>112</v>
      </c>
      <c r="B361" t="s">
        <v>159</v>
      </c>
    </row>
    <row r="362" spans="1:2" x14ac:dyDescent="0.3">
      <c r="A362" t="s">
        <v>112</v>
      </c>
      <c r="B362" t="s">
        <v>159</v>
      </c>
    </row>
    <row r="363" spans="1:2" x14ac:dyDescent="0.3">
      <c r="A363" t="s">
        <v>112</v>
      </c>
      <c r="B363" t="s">
        <v>159</v>
      </c>
    </row>
    <row r="364" spans="1:2" x14ac:dyDescent="0.3">
      <c r="A364" t="s">
        <v>112</v>
      </c>
      <c r="B364" t="s">
        <v>159</v>
      </c>
    </row>
    <row r="365" spans="1:2" x14ac:dyDescent="0.3">
      <c r="A365" t="s">
        <v>112</v>
      </c>
      <c r="B365" t="s">
        <v>159</v>
      </c>
    </row>
    <row r="366" spans="1:2" x14ac:dyDescent="0.3">
      <c r="A366" t="s">
        <v>112</v>
      </c>
      <c r="B366" t="s">
        <v>159</v>
      </c>
    </row>
    <row r="367" spans="1:2" x14ac:dyDescent="0.3">
      <c r="A367" t="s">
        <v>112</v>
      </c>
      <c r="B367" t="s">
        <v>159</v>
      </c>
    </row>
    <row r="368" spans="1:2" x14ac:dyDescent="0.3">
      <c r="A368" t="s">
        <v>112</v>
      </c>
      <c r="B368" t="s">
        <v>159</v>
      </c>
    </row>
    <row r="369" spans="1:2" x14ac:dyDescent="0.3">
      <c r="A369" t="s">
        <v>112</v>
      </c>
      <c r="B369" t="s">
        <v>159</v>
      </c>
    </row>
    <row r="370" spans="1:2" x14ac:dyDescent="0.3">
      <c r="A370" t="s">
        <v>112</v>
      </c>
      <c r="B370" t="s">
        <v>159</v>
      </c>
    </row>
    <row r="371" spans="1:2" x14ac:dyDescent="0.3">
      <c r="A371" t="s">
        <v>112</v>
      </c>
      <c r="B371" t="s">
        <v>159</v>
      </c>
    </row>
    <row r="372" spans="1:2" x14ac:dyDescent="0.3">
      <c r="A372" t="s">
        <v>112</v>
      </c>
      <c r="B372" t="s">
        <v>159</v>
      </c>
    </row>
    <row r="373" spans="1:2" x14ac:dyDescent="0.3">
      <c r="A373" t="s">
        <v>112</v>
      </c>
      <c r="B373" t="s">
        <v>159</v>
      </c>
    </row>
    <row r="374" spans="1:2" x14ac:dyDescent="0.3">
      <c r="A374" t="s">
        <v>112</v>
      </c>
      <c r="B374" t="s">
        <v>159</v>
      </c>
    </row>
    <row r="375" spans="1:2" x14ac:dyDescent="0.3">
      <c r="A375" t="s">
        <v>112</v>
      </c>
      <c r="B375" t="s">
        <v>159</v>
      </c>
    </row>
    <row r="376" spans="1:2" x14ac:dyDescent="0.3">
      <c r="A376" t="s">
        <v>112</v>
      </c>
      <c r="B376" t="s">
        <v>159</v>
      </c>
    </row>
    <row r="377" spans="1:2" x14ac:dyDescent="0.3">
      <c r="A377" t="s">
        <v>112</v>
      </c>
      <c r="B377" t="s">
        <v>159</v>
      </c>
    </row>
    <row r="378" spans="1:2" x14ac:dyDescent="0.3">
      <c r="A378" t="s">
        <v>112</v>
      </c>
      <c r="B378" t="s">
        <v>159</v>
      </c>
    </row>
    <row r="379" spans="1:2" x14ac:dyDescent="0.3">
      <c r="A379" t="s">
        <v>112</v>
      </c>
      <c r="B379" t="s">
        <v>159</v>
      </c>
    </row>
    <row r="380" spans="1:2" x14ac:dyDescent="0.3">
      <c r="A380" t="s">
        <v>112</v>
      </c>
      <c r="B380" t="s">
        <v>159</v>
      </c>
    </row>
    <row r="381" spans="1:2" x14ac:dyDescent="0.3">
      <c r="A381" t="s">
        <v>112</v>
      </c>
      <c r="B381" t="s">
        <v>159</v>
      </c>
    </row>
    <row r="382" spans="1:2" x14ac:dyDescent="0.3">
      <c r="A382" t="s">
        <v>112</v>
      </c>
      <c r="B382" t="s">
        <v>159</v>
      </c>
    </row>
    <row r="383" spans="1:2" x14ac:dyDescent="0.3">
      <c r="A383" t="s">
        <v>112</v>
      </c>
      <c r="B383" t="s">
        <v>159</v>
      </c>
    </row>
    <row r="384" spans="1:2" x14ac:dyDescent="0.3">
      <c r="A384" t="s">
        <v>112</v>
      </c>
      <c r="B384" t="s">
        <v>159</v>
      </c>
    </row>
    <row r="385" spans="1:2" x14ac:dyDescent="0.3">
      <c r="A385" t="s">
        <v>112</v>
      </c>
      <c r="B385" t="s">
        <v>159</v>
      </c>
    </row>
    <row r="386" spans="1:2" x14ac:dyDescent="0.3">
      <c r="A386" t="s">
        <v>112</v>
      </c>
      <c r="B386" t="s">
        <v>159</v>
      </c>
    </row>
    <row r="387" spans="1:2" x14ac:dyDescent="0.3">
      <c r="A387" t="s">
        <v>112</v>
      </c>
      <c r="B387" t="s">
        <v>159</v>
      </c>
    </row>
    <row r="388" spans="1:2" x14ac:dyDescent="0.3">
      <c r="A388" t="s">
        <v>112</v>
      </c>
      <c r="B388" t="s">
        <v>159</v>
      </c>
    </row>
    <row r="389" spans="1:2" x14ac:dyDescent="0.3">
      <c r="A389" t="s">
        <v>112</v>
      </c>
      <c r="B389" t="s">
        <v>159</v>
      </c>
    </row>
    <row r="390" spans="1:2" x14ac:dyDescent="0.3">
      <c r="A390" t="s">
        <v>112</v>
      </c>
      <c r="B390" t="s">
        <v>159</v>
      </c>
    </row>
    <row r="391" spans="1:2" x14ac:dyDescent="0.3">
      <c r="A391" t="s">
        <v>112</v>
      </c>
      <c r="B391" t="s">
        <v>159</v>
      </c>
    </row>
    <row r="392" spans="1:2" x14ac:dyDescent="0.3">
      <c r="A392" t="s">
        <v>112</v>
      </c>
      <c r="B392" t="s">
        <v>159</v>
      </c>
    </row>
    <row r="393" spans="1:2" x14ac:dyDescent="0.3">
      <c r="A393" t="s">
        <v>112</v>
      </c>
      <c r="B393" t="s">
        <v>159</v>
      </c>
    </row>
    <row r="394" spans="1:2" x14ac:dyDescent="0.3">
      <c r="A394" t="s">
        <v>112</v>
      </c>
      <c r="B394" t="s">
        <v>159</v>
      </c>
    </row>
    <row r="395" spans="1:2" x14ac:dyDescent="0.3">
      <c r="A395" t="s">
        <v>112</v>
      </c>
      <c r="B395" t="s">
        <v>159</v>
      </c>
    </row>
    <row r="396" spans="1:2" x14ac:dyDescent="0.3">
      <c r="A396" t="s">
        <v>112</v>
      </c>
      <c r="B396" t="s">
        <v>159</v>
      </c>
    </row>
    <row r="397" spans="1:2" x14ac:dyDescent="0.3">
      <c r="A397" t="s">
        <v>112</v>
      </c>
      <c r="B397" t="s">
        <v>159</v>
      </c>
    </row>
    <row r="398" spans="1:2" x14ac:dyDescent="0.3">
      <c r="A398" t="s">
        <v>112</v>
      </c>
      <c r="B398" t="s">
        <v>159</v>
      </c>
    </row>
    <row r="399" spans="1:2" x14ac:dyDescent="0.3">
      <c r="A399" t="s">
        <v>112</v>
      </c>
      <c r="B399" t="s">
        <v>159</v>
      </c>
    </row>
    <row r="400" spans="1:2" x14ac:dyDescent="0.3">
      <c r="A400" t="s">
        <v>112</v>
      </c>
      <c r="B400" t="s">
        <v>159</v>
      </c>
    </row>
    <row r="401" spans="1:2" x14ac:dyDescent="0.3">
      <c r="A401" t="s">
        <v>112</v>
      </c>
      <c r="B401" t="s">
        <v>159</v>
      </c>
    </row>
    <row r="402" spans="1:2" x14ac:dyDescent="0.3">
      <c r="A402" t="s">
        <v>112</v>
      </c>
      <c r="B402" t="s">
        <v>159</v>
      </c>
    </row>
    <row r="403" spans="1:2" x14ac:dyDescent="0.3">
      <c r="A403" t="s">
        <v>112</v>
      </c>
      <c r="B403" t="s">
        <v>159</v>
      </c>
    </row>
    <row r="404" spans="1:2" x14ac:dyDescent="0.3">
      <c r="A404" t="s">
        <v>112</v>
      </c>
      <c r="B404" t="s">
        <v>159</v>
      </c>
    </row>
    <row r="405" spans="1:2" x14ac:dyDescent="0.3">
      <c r="A405" t="s">
        <v>112</v>
      </c>
      <c r="B405" t="s">
        <v>159</v>
      </c>
    </row>
    <row r="406" spans="1:2" x14ac:dyDescent="0.3">
      <c r="A406" t="s">
        <v>112</v>
      </c>
      <c r="B406" t="s">
        <v>159</v>
      </c>
    </row>
    <row r="407" spans="1:2" x14ac:dyDescent="0.3">
      <c r="A407" t="s">
        <v>112</v>
      </c>
      <c r="B407" t="s">
        <v>159</v>
      </c>
    </row>
    <row r="408" spans="1:2" x14ac:dyDescent="0.3">
      <c r="A408" t="s">
        <v>112</v>
      </c>
      <c r="B408" t="s">
        <v>159</v>
      </c>
    </row>
    <row r="409" spans="1:2" x14ac:dyDescent="0.3">
      <c r="A409" t="s">
        <v>112</v>
      </c>
      <c r="B409" t="s">
        <v>159</v>
      </c>
    </row>
    <row r="410" spans="1:2" x14ac:dyDescent="0.3">
      <c r="A410" t="s">
        <v>112</v>
      </c>
      <c r="B410" t="s">
        <v>159</v>
      </c>
    </row>
    <row r="411" spans="1:2" x14ac:dyDescent="0.3">
      <c r="A411" t="s">
        <v>112</v>
      </c>
      <c r="B411" t="s">
        <v>159</v>
      </c>
    </row>
    <row r="412" spans="1:2" x14ac:dyDescent="0.3">
      <c r="A412" t="s">
        <v>112</v>
      </c>
      <c r="B412" t="s">
        <v>159</v>
      </c>
    </row>
    <row r="413" spans="1:2" x14ac:dyDescent="0.3">
      <c r="A413" t="s">
        <v>112</v>
      </c>
      <c r="B413" t="s">
        <v>159</v>
      </c>
    </row>
    <row r="414" spans="1:2" x14ac:dyDescent="0.3">
      <c r="A414" t="s">
        <v>112</v>
      </c>
      <c r="B414" t="s">
        <v>159</v>
      </c>
    </row>
    <row r="415" spans="1:2" x14ac:dyDescent="0.3">
      <c r="A415" t="s">
        <v>112</v>
      </c>
      <c r="B415" t="s">
        <v>159</v>
      </c>
    </row>
    <row r="416" spans="1:2" x14ac:dyDescent="0.3">
      <c r="A416" t="s">
        <v>112</v>
      </c>
      <c r="B416" t="s">
        <v>159</v>
      </c>
    </row>
    <row r="417" spans="1:2" x14ac:dyDescent="0.3">
      <c r="A417" t="s">
        <v>112</v>
      </c>
      <c r="B417" t="s">
        <v>159</v>
      </c>
    </row>
    <row r="418" spans="1:2" x14ac:dyDescent="0.3">
      <c r="A418" t="s">
        <v>112</v>
      </c>
      <c r="B418" t="s">
        <v>159</v>
      </c>
    </row>
    <row r="419" spans="1:2" x14ac:dyDescent="0.3">
      <c r="A419" t="s">
        <v>112</v>
      </c>
      <c r="B419" t="s">
        <v>159</v>
      </c>
    </row>
    <row r="420" spans="1:2" x14ac:dyDescent="0.3">
      <c r="A420" t="s">
        <v>112</v>
      </c>
      <c r="B420" t="s">
        <v>159</v>
      </c>
    </row>
    <row r="421" spans="1:2" x14ac:dyDescent="0.3">
      <c r="A421" t="s">
        <v>112</v>
      </c>
      <c r="B421" t="s">
        <v>159</v>
      </c>
    </row>
    <row r="422" spans="1:2" x14ac:dyDescent="0.3">
      <c r="A422" t="s">
        <v>112</v>
      </c>
      <c r="B422" t="s">
        <v>159</v>
      </c>
    </row>
    <row r="423" spans="1:2" x14ac:dyDescent="0.3">
      <c r="A423" t="s">
        <v>112</v>
      </c>
      <c r="B423" t="s">
        <v>159</v>
      </c>
    </row>
    <row r="424" spans="1:2" x14ac:dyDescent="0.3">
      <c r="A424" t="s">
        <v>112</v>
      </c>
      <c r="B424" t="s">
        <v>159</v>
      </c>
    </row>
    <row r="425" spans="1:2" x14ac:dyDescent="0.3">
      <c r="A425" t="s">
        <v>112</v>
      </c>
      <c r="B425" t="s">
        <v>159</v>
      </c>
    </row>
    <row r="426" spans="1:2" x14ac:dyDescent="0.3">
      <c r="A426" t="s">
        <v>112</v>
      </c>
      <c r="B426" t="s">
        <v>159</v>
      </c>
    </row>
    <row r="427" spans="1:2" x14ac:dyDescent="0.3">
      <c r="A427" t="s">
        <v>112</v>
      </c>
      <c r="B427" t="s">
        <v>159</v>
      </c>
    </row>
    <row r="428" spans="1:2" x14ac:dyDescent="0.3">
      <c r="A428" t="s">
        <v>112</v>
      </c>
      <c r="B428" t="s">
        <v>159</v>
      </c>
    </row>
    <row r="429" spans="1:2" x14ac:dyDescent="0.3">
      <c r="A429" t="s">
        <v>112</v>
      </c>
      <c r="B429" t="s">
        <v>159</v>
      </c>
    </row>
    <row r="430" spans="1:2" x14ac:dyDescent="0.3">
      <c r="A430" t="s">
        <v>112</v>
      </c>
      <c r="B430" t="s">
        <v>159</v>
      </c>
    </row>
    <row r="431" spans="1:2" x14ac:dyDescent="0.3">
      <c r="A431" t="s">
        <v>112</v>
      </c>
      <c r="B431" t="s">
        <v>159</v>
      </c>
    </row>
    <row r="432" spans="1:2" x14ac:dyDescent="0.3">
      <c r="A432" t="s">
        <v>112</v>
      </c>
      <c r="B432" t="s">
        <v>159</v>
      </c>
    </row>
    <row r="433" spans="1:2" x14ac:dyDescent="0.3">
      <c r="A433" t="s">
        <v>112</v>
      </c>
      <c r="B433" t="s">
        <v>159</v>
      </c>
    </row>
    <row r="434" spans="1:2" x14ac:dyDescent="0.3">
      <c r="A434" t="s">
        <v>112</v>
      </c>
      <c r="B434" t="s">
        <v>159</v>
      </c>
    </row>
    <row r="435" spans="1:2" x14ac:dyDescent="0.3">
      <c r="A435" t="s">
        <v>112</v>
      </c>
      <c r="B435" t="s">
        <v>159</v>
      </c>
    </row>
    <row r="436" spans="1:2" x14ac:dyDescent="0.3">
      <c r="A436" t="s">
        <v>112</v>
      </c>
      <c r="B436" t="s">
        <v>159</v>
      </c>
    </row>
    <row r="437" spans="1:2" x14ac:dyDescent="0.3">
      <c r="A437" t="s">
        <v>112</v>
      </c>
      <c r="B437" t="s">
        <v>159</v>
      </c>
    </row>
    <row r="438" spans="1:2" x14ac:dyDescent="0.3">
      <c r="A438" t="s">
        <v>112</v>
      </c>
      <c r="B438" t="s">
        <v>159</v>
      </c>
    </row>
    <row r="439" spans="1:2" x14ac:dyDescent="0.3">
      <c r="A439" t="s">
        <v>112</v>
      </c>
      <c r="B439" t="s">
        <v>159</v>
      </c>
    </row>
    <row r="440" spans="1:2" x14ac:dyDescent="0.3">
      <c r="A440" t="s">
        <v>112</v>
      </c>
      <c r="B440" t="s">
        <v>159</v>
      </c>
    </row>
    <row r="441" spans="1:2" x14ac:dyDescent="0.3">
      <c r="A441" t="s">
        <v>112</v>
      </c>
      <c r="B441" t="s">
        <v>159</v>
      </c>
    </row>
    <row r="442" spans="1:2" x14ac:dyDescent="0.3">
      <c r="A442" t="s">
        <v>112</v>
      </c>
      <c r="B442" t="s">
        <v>159</v>
      </c>
    </row>
    <row r="443" spans="1:2" x14ac:dyDescent="0.3">
      <c r="A443" t="s">
        <v>112</v>
      </c>
      <c r="B443" t="s">
        <v>159</v>
      </c>
    </row>
    <row r="444" spans="1:2" x14ac:dyDescent="0.3">
      <c r="A444" t="s">
        <v>112</v>
      </c>
      <c r="B444" t="s">
        <v>159</v>
      </c>
    </row>
    <row r="445" spans="1:2" x14ac:dyDescent="0.3">
      <c r="A445" t="s">
        <v>112</v>
      </c>
      <c r="B445" t="s">
        <v>159</v>
      </c>
    </row>
    <row r="446" spans="1:2" x14ac:dyDescent="0.3">
      <c r="A446" t="s">
        <v>112</v>
      </c>
      <c r="B446" t="s">
        <v>159</v>
      </c>
    </row>
    <row r="447" spans="1:2" x14ac:dyDescent="0.3">
      <c r="A447" t="s">
        <v>112</v>
      </c>
      <c r="B447" t="s">
        <v>159</v>
      </c>
    </row>
    <row r="448" spans="1:2" x14ac:dyDescent="0.3">
      <c r="A448" t="s">
        <v>112</v>
      </c>
      <c r="B448" t="s">
        <v>159</v>
      </c>
    </row>
    <row r="449" spans="1:2" x14ac:dyDescent="0.3">
      <c r="A449" t="s">
        <v>112</v>
      </c>
      <c r="B449" t="s">
        <v>159</v>
      </c>
    </row>
    <row r="450" spans="1:2" x14ac:dyDescent="0.3">
      <c r="A450" t="s">
        <v>112</v>
      </c>
      <c r="B450" t="s">
        <v>159</v>
      </c>
    </row>
    <row r="451" spans="1:2" x14ac:dyDescent="0.3">
      <c r="A451" t="s">
        <v>112</v>
      </c>
      <c r="B451" t="s">
        <v>159</v>
      </c>
    </row>
    <row r="452" spans="1:2" x14ac:dyDescent="0.3">
      <c r="A452" t="s">
        <v>112</v>
      </c>
      <c r="B452" t="s">
        <v>159</v>
      </c>
    </row>
    <row r="453" spans="1:2" x14ac:dyDescent="0.3">
      <c r="A453" t="s">
        <v>112</v>
      </c>
      <c r="B453" t="s">
        <v>159</v>
      </c>
    </row>
    <row r="454" spans="1:2" x14ac:dyDescent="0.3">
      <c r="A454" t="s">
        <v>112</v>
      </c>
      <c r="B454" t="s">
        <v>159</v>
      </c>
    </row>
    <row r="455" spans="1:2" x14ac:dyDescent="0.3">
      <c r="A455" t="s">
        <v>112</v>
      </c>
      <c r="B455" t="s">
        <v>159</v>
      </c>
    </row>
    <row r="456" spans="1:2" x14ac:dyDescent="0.3">
      <c r="A456" t="s">
        <v>112</v>
      </c>
      <c r="B456" t="s">
        <v>159</v>
      </c>
    </row>
    <row r="457" spans="1:2" x14ac:dyDescent="0.3">
      <c r="A457" t="s">
        <v>112</v>
      </c>
      <c r="B457" t="s">
        <v>159</v>
      </c>
    </row>
    <row r="458" spans="1:2" x14ac:dyDescent="0.3">
      <c r="A458" t="s">
        <v>112</v>
      </c>
      <c r="B458" t="s">
        <v>159</v>
      </c>
    </row>
    <row r="459" spans="1:2" x14ac:dyDescent="0.3">
      <c r="A459" t="s">
        <v>112</v>
      </c>
      <c r="B459" t="s">
        <v>159</v>
      </c>
    </row>
    <row r="460" spans="1:2" x14ac:dyDescent="0.3">
      <c r="A460" t="s">
        <v>112</v>
      </c>
      <c r="B460" t="s">
        <v>159</v>
      </c>
    </row>
    <row r="461" spans="1:2" x14ac:dyDescent="0.3">
      <c r="A461" t="s">
        <v>112</v>
      </c>
      <c r="B461" t="s">
        <v>159</v>
      </c>
    </row>
    <row r="462" spans="1:2" x14ac:dyDescent="0.3">
      <c r="A462" t="s">
        <v>112</v>
      </c>
      <c r="B462" t="s">
        <v>159</v>
      </c>
    </row>
    <row r="463" spans="1:2" x14ac:dyDescent="0.3">
      <c r="A463" t="s">
        <v>112</v>
      </c>
      <c r="B463" t="s">
        <v>159</v>
      </c>
    </row>
    <row r="464" spans="1:2" x14ac:dyDescent="0.3">
      <c r="A464" t="s">
        <v>112</v>
      </c>
      <c r="B464" t="s">
        <v>159</v>
      </c>
    </row>
    <row r="465" spans="1:2" x14ac:dyDescent="0.3">
      <c r="A465" t="s">
        <v>112</v>
      </c>
      <c r="B465" t="s">
        <v>159</v>
      </c>
    </row>
    <row r="466" spans="1:2" x14ac:dyDescent="0.3">
      <c r="A466" t="s">
        <v>112</v>
      </c>
      <c r="B466" t="s">
        <v>159</v>
      </c>
    </row>
    <row r="467" spans="1:2" x14ac:dyDescent="0.3">
      <c r="A467" t="s">
        <v>112</v>
      </c>
      <c r="B467" t="s">
        <v>159</v>
      </c>
    </row>
    <row r="468" spans="1:2" x14ac:dyDescent="0.3">
      <c r="A468" t="s">
        <v>112</v>
      </c>
      <c r="B468" t="s">
        <v>159</v>
      </c>
    </row>
    <row r="469" spans="1:2" x14ac:dyDescent="0.3">
      <c r="A469" t="s">
        <v>112</v>
      </c>
      <c r="B469" t="s">
        <v>159</v>
      </c>
    </row>
    <row r="470" spans="1:2" x14ac:dyDescent="0.3">
      <c r="A470" t="s">
        <v>112</v>
      </c>
      <c r="B470" t="s">
        <v>159</v>
      </c>
    </row>
    <row r="471" spans="1:2" x14ac:dyDescent="0.3">
      <c r="A471" t="s">
        <v>112</v>
      </c>
      <c r="B471" t="s">
        <v>159</v>
      </c>
    </row>
    <row r="472" spans="1:2" x14ac:dyDescent="0.3">
      <c r="A472" t="s">
        <v>112</v>
      </c>
      <c r="B472" t="s">
        <v>159</v>
      </c>
    </row>
    <row r="473" spans="1:2" x14ac:dyDescent="0.3">
      <c r="A473" t="s">
        <v>112</v>
      </c>
      <c r="B473" t="s">
        <v>159</v>
      </c>
    </row>
    <row r="474" spans="1:2" x14ac:dyDescent="0.3">
      <c r="A474" t="s">
        <v>112</v>
      </c>
      <c r="B474" t="s">
        <v>159</v>
      </c>
    </row>
    <row r="475" spans="1:2" x14ac:dyDescent="0.3">
      <c r="A475" t="s">
        <v>112</v>
      </c>
      <c r="B475" t="s">
        <v>159</v>
      </c>
    </row>
    <row r="476" spans="1:2" x14ac:dyDescent="0.3">
      <c r="A476" t="s">
        <v>112</v>
      </c>
      <c r="B476" t="s">
        <v>159</v>
      </c>
    </row>
    <row r="477" spans="1:2" x14ac:dyDescent="0.3">
      <c r="A477" t="s">
        <v>112</v>
      </c>
      <c r="B477" t="s">
        <v>159</v>
      </c>
    </row>
    <row r="478" spans="1:2" x14ac:dyDescent="0.3">
      <c r="A478" t="s">
        <v>112</v>
      </c>
      <c r="B478" t="s">
        <v>159</v>
      </c>
    </row>
    <row r="479" spans="1:2" x14ac:dyDescent="0.3">
      <c r="A479" t="s">
        <v>112</v>
      </c>
      <c r="B479" t="s">
        <v>159</v>
      </c>
    </row>
    <row r="480" spans="1:2" x14ac:dyDescent="0.3">
      <c r="A480" t="s">
        <v>112</v>
      </c>
      <c r="B480" t="s">
        <v>159</v>
      </c>
    </row>
    <row r="481" spans="1:2" x14ac:dyDescent="0.3">
      <c r="A481" t="s">
        <v>112</v>
      </c>
      <c r="B481" t="s">
        <v>159</v>
      </c>
    </row>
    <row r="482" spans="1:2" x14ac:dyDescent="0.3">
      <c r="A482" t="s">
        <v>112</v>
      </c>
      <c r="B482" t="s">
        <v>159</v>
      </c>
    </row>
    <row r="483" spans="1:2" x14ac:dyDescent="0.3">
      <c r="A483" t="s">
        <v>112</v>
      </c>
      <c r="B483" t="s">
        <v>159</v>
      </c>
    </row>
    <row r="484" spans="1:2" x14ac:dyDescent="0.3">
      <c r="A484" t="s">
        <v>112</v>
      </c>
      <c r="B484" t="s">
        <v>159</v>
      </c>
    </row>
    <row r="485" spans="1:2" x14ac:dyDescent="0.3">
      <c r="A485" t="s">
        <v>112</v>
      </c>
      <c r="B485" t="s">
        <v>159</v>
      </c>
    </row>
    <row r="486" spans="1:2" x14ac:dyDescent="0.3">
      <c r="A486" t="s">
        <v>112</v>
      </c>
      <c r="B486" t="s">
        <v>159</v>
      </c>
    </row>
    <row r="487" spans="1:2" x14ac:dyDescent="0.3">
      <c r="A487" t="s">
        <v>112</v>
      </c>
      <c r="B487" t="s">
        <v>159</v>
      </c>
    </row>
    <row r="488" spans="1:2" x14ac:dyDescent="0.3">
      <c r="A488" t="s">
        <v>112</v>
      </c>
      <c r="B488" t="s">
        <v>159</v>
      </c>
    </row>
    <row r="489" spans="1:2" x14ac:dyDescent="0.3">
      <c r="A489" t="s">
        <v>112</v>
      </c>
      <c r="B489" t="s">
        <v>159</v>
      </c>
    </row>
    <row r="490" spans="1:2" x14ac:dyDescent="0.3">
      <c r="A490" t="s">
        <v>112</v>
      </c>
      <c r="B490" t="s">
        <v>159</v>
      </c>
    </row>
    <row r="491" spans="1:2" x14ac:dyDescent="0.3">
      <c r="A491" t="s">
        <v>112</v>
      </c>
      <c r="B491" t="s">
        <v>159</v>
      </c>
    </row>
    <row r="492" spans="1:2" x14ac:dyDescent="0.3">
      <c r="A492" t="s">
        <v>112</v>
      </c>
      <c r="B492" t="s">
        <v>159</v>
      </c>
    </row>
    <row r="493" spans="1:2" x14ac:dyDescent="0.3">
      <c r="A493" t="s">
        <v>112</v>
      </c>
      <c r="B493" t="s">
        <v>159</v>
      </c>
    </row>
    <row r="494" spans="1:2" x14ac:dyDescent="0.3">
      <c r="A494" t="s">
        <v>112</v>
      </c>
      <c r="B494" t="s">
        <v>159</v>
      </c>
    </row>
    <row r="495" spans="1:2" x14ac:dyDescent="0.3">
      <c r="A495" t="s">
        <v>112</v>
      </c>
      <c r="B495" t="s">
        <v>159</v>
      </c>
    </row>
    <row r="496" spans="1:2" x14ac:dyDescent="0.3">
      <c r="A496" t="s">
        <v>112</v>
      </c>
      <c r="B496" t="s">
        <v>159</v>
      </c>
    </row>
    <row r="497" spans="1:2" x14ac:dyDescent="0.3">
      <c r="A497" t="s">
        <v>112</v>
      </c>
      <c r="B497" t="s">
        <v>159</v>
      </c>
    </row>
    <row r="498" spans="1:2" x14ac:dyDescent="0.3">
      <c r="A498" t="s">
        <v>112</v>
      </c>
      <c r="B498" t="s">
        <v>159</v>
      </c>
    </row>
    <row r="499" spans="1:2" x14ac:dyDescent="0.3">
      <c r="A499" t="s">
        <v>112</v>
      </c>
      <c r="B499" t="s">
        <v>159</v>
      </c>
    </row>
    <row r="500" spans="1:2" x14ac:dyDescent="0.3">
      <c r="A500" t="s">
        <v>112</v>
      </c>
      <c r="B500" t="s">
        <v>159</v>
      </c>
    </row>
    <row r="501" spans="1:2" x14ac:dyDescent="0.3">
      <c r="A501" t="s">
        <v>112</v>
      </c>
      <c r="B501" t="s">
        <v>159</v>
      </c>
    </row>
    <row r="502" spans="1:2" x14ac:dyDescent="0.3">
      <c r="A502" t="s">
        <v>112</v>
      </c>
      <c r="B502" t="s">
        <v>159</v>
      </c>
    </row>
    <row r="503" spans="1:2" x14ac:dyDescent="0.3">
      <c r="A503" t="s">
        <v>112</v>
      </c>
      <c r="B503" t="s">
        <v>159</v>
      </c>
    </row>
    <row r="504" spans="1:2" x14ac:dyDescent="0.3">
      <c r="A504" t="s">
        <v>112</v>
      </c>
      <c r="B504" t="s">
        <v>159</v>
      </c>
    </row>
    <row r="505" spans="1:2" x14ac:dyDescent="0.3">
      <c r="A505" t="s">
        <v>112</v>
      </c>
      <c r="B505" t="s">
        <v>159</v>
      </c>
    </row>
    <row r="506" spans="1:2" x14ac:dyDescent="0.3">
      <c r="A506" t="s">
        <v>112</v>
      </c>
      <c r="B506" t="s">
        <v>159</v>
      </c>
    </row>
    <row r="507" spans="1:2" x14ac:dyDescent="0.3">
      <c r="A507" t="s">
        <v>112</v>
      </c>
      <c r="B507" t="s">
        <v>159</v>
      </c>
    </row>
    <row r="508" spans="1:2" x14ac:dyDescent="0.3">
      <c r="A508" t="s">
        <v>112</v>
      </c>
      <c r="B508" t="s">
        <v>159</v>
      </c>
    </row>
    <row r="509" spans="1:2" x14ac:dyDescent="0.3">
      <c r="A509" t="s">
        <v>112</v>
      </c>
      <c r="B509" t="s">
        <v>159</v>
      </c>
    </row>
    <row r="510" spans="1:2" x14ac:dyDescent="0.3">
      <c r="A510" t="s">
        <v>112</v>
      </c>
      <c r="B510" t="s">
        <v>159</v>
      </c>
    </row>
    <row r="511" spans="1:2" x14ac:dyDescent="0.3">
      <c r="A511" t="s">
        <v>112</v>
      </c>
      <c r="B511" t="s">
        <v>159</v>
      </c>
    </row>
    <row r="512" spans="1:2" x14ac:dyDescent="0.3">
      <c r="A512" t="s">
        <v>112</v>
      </c>
      <c r="B512" t="s">
        <v>159</v>
      </c>
    </row>
    <row r="513" spans="1:2" x14ac:dyDescent="0.3">
      <c r="A513" t="s">
        <v>112</v>
      </c>
      <c r="B513" t="s">
        <v>159</v>
      </c>
    </row>
    <row r="514" spans="1:2" x14ac:dyDescent="0.3">
      <c r="A514" t="s">
        <v>112</v>
      </c>
      <c r="B514" t="s">
        <v>159</v>
      </c>
    </row>
    <row r="515" spans="1:2" x14ac:dyDescent="0.3">
      <c r="A515" t="s">
        <v>112</v>
      </c>
      <c r="B515" t="s">
        <v>159</v>
      </c>
    </row>
    <row r="516" spans="1:2" x14ac:dyDescent="0.3">
      <c r="A516" t="s">
        <v>112</v>
      </c>
      <c r="B516" t="s">
        <v>159</v>
      </c>
    </row>
    <row r="517" spans="1:2" x14ac:dyDescent="0.3">
      <c r="A517" t="s">
        <v>112</v>
      </c>
      <c r="B517" t="s">
        <v>159</v>
      </c>
    </row>
    <row r="518" spans="1:2" x14ac:dyDescent="0.3">
      <c r="A518" t="s">
        <v>112</v>
      </c>
      <c r="B518" t="s">
        <v>159</v>
      </c>
    </row>
    <row r="519" spans="1:2" x14ac:dyDescent="0.3">
      <c r="A519" t="s">
        <v>112</v>
      </c>
      <c r="B519" t="s">
        <v>159</v>
      </c>
    </row>
    <row r="520" spans="1:2" x14ac:dyDescent="0.3">
      <c r="A520" t="s">
        <v>112</v>
      </c>
      <c r="B520" t="s">
        <v>159</v>
      </c>
    </row>
    <row r="521" spans="1:2" x14ac:dyDescent="0.3">
      <c r="A521" t="s">
        <v>112</v>
      </c>
      <c r="B521" t="s">
        <v>159</v>
      </c>
    </row>
    <row r="522" spans="1:2" x14ac:dyDescent="0.3">
      <c r="A522" t="s">
        <v>112</v>
      </c>
      <c r="B522" t="s">
        <v>159</v>
      </c>
    </row>
    <row r="523" spans="1:2" x14ac:dyDescent="0.3">
      <c r="A523" t="s">
        <v>112</v>
      </c>
      <c r="B523" t="s">
        <v>159</v>
      </c>
    </row>
    <row r="524" spans="1:2" x14ac:dyDescent="0.3">
      <c r="A524" t="s">
        <v>112</v>
      </c>
      <c r="B524" t="s">
        <v>159</v>
      </c>
    </row>
    <row r="525" spans="1:2" x14ac:dyDescent="0.3">
      <c r="A525" t="s">
        <v>112</v>
      </c>
      <c r="B525" t="s">
        <v>159</v>
      </c>
    </row>
    <row r="526" spans="1:2" x14ac:dyDescent="0.3">
      <c r="A526" t="s">
        <v>112</v>
      </c>
      <c r="B526" t="s">
        <v>159</v>
      </c>
    </row>
    <row r="527" spans="1:2" x14ac:dyDescent="0.3">
      <c r="A527" t="s">
        <v>112</v>
      </c>
      <c r="B527" t="s">
        <v>159</v>
      </c>
    </row>
    <row r="528" spans="1:2" x14ac:dyDescent="0.3">
      <c r="A528" t="s">
        <v>112</v>
      </c>
      <c r="B528" t="s">
        <v>159</v>
      </c>
    </row>
    <row r="529" spans="1:2" x14ac:dyDescent="0.3">
      <c r="A529" t="s">
        <v>112</v>
      </c>
      <c r="B529" t="s">
        <v>159</v>
      </c>
    </row>
    <row r="530" spans="1:2" x14ac:dyDescent="0.3">
      <c r="A530" t="s">
        <v>112</v>
      </c>
      <c r="B530" t="s">
        <v>159</v>
      </c>
    </row>
    <row r="531" spans="1:2" x14ac:dyDescent="0.3">
      <c r="A531" t="s">
        <v>112</v>
      </c>
      <c r="B531" t="s">
        <v>159</v>
      </c>
    </row>
    <row r="532" spans="1:2" x14ac:dyDescent="0.3">
      <c r="A532" t="s">
        <v>112</v>
      </c>
      <c r="B532" t="s">
        <v>159</v>
      </c>
    </row>
    <row r="533" spans="1:2" x14ac:dyDescent="0.3">
      <c r="A533" t="s">
        <v>112</v>
      </c>
      <c r="B533" t="s">
        <v>159</v>
      </c>
    </row>
    <row r="534" spans="1:2" x14ac:dyDescent="0.3">
      <c r="A534" t="s">
        <v>112</v>
      </c>
      <c r="B534" t="s">
        <v>159</v>
      </c>
    </row>
    <row r="535" spans="1:2" x14ac:dyDescent="0.3">
      <c r="A535" t="s">
        <v>112</v>
      </c>
      <c r="B535" t="s">
        <v>159</v>
      </c>
    </row>
    <row r="536" spans="1:2" x14ac:dyDescent="0.3">
      <c r="A536" t="s">
        <v>112</v>
      </c>
      <c r="B536" t="s">
        <v>159</v>
      </c>
    </row>
    <row r="537" spans="1:2" x14ac:dyDescent="0.3">
      <c r="A537" t="s">
        <v>112</v>
      </c>
      <c r="B537" t="s">
        <v>159</v>
      </c>
    </row>
    <row r="538" spans="1:2" x14ac:dyDescent="0.3">
      <c r="A538" t="s">
        <v>112</v>
      </c>
      <c r="B538" t="s">
        <v>159</v>
      </c>
    </row>
    <row r="539" spans="1:2" x14ac:dyDescent="0.3">
      <c r="A539" t="s">
        <v>112</v>
      </c>
      <c r="B539" t="s">
        <v>159</v>
      </c>
    </row>
    <row r="540" spans="1:2" x14ac:dyDescent="0.3">
      <c r="A540" t="s">
        <v>112</v>
      </c>
      <c r="B540" t="s">
        <v>159</v>
      </c>
    </row>
    <row r="541" spans="1:2" x14ac:dyDescent="0.3">
      <c r="A541" t="s">
        <v>112</v>
      </c>
      <c r="B541" t="s">
        <v>159</v>
      </c>
    </row>
    <row r="542" spans="1:2" x14ac:dyDescent="0.3">
      <c r="A542" t="s">
        <v>112</v>
      </c>
      <c r="B542" t="s">
        <v>159</v>
      </c>
    </row>
    <row r="543" spans="1:2" x14ac:dyDescent="0.3">
      <c r="A543" t="s">
        <v>112</v>
      </c>
      <c r="B543" t="s">
        <v>159</v>
      </c>
    </row>
    <row r="544" spans="1:2" x14ac:dyDescent="0.3">
      <c r="A544" t="s">
        <v>112</v>
      </c>
      <c r="B544" t="s">
        <v>159</v>
      </c>
    </row>
    <row r="545" spans="1:2" x14ac:dyDescent="0.3">
      <c r="A545" t="s">
        <v>112</v>
      </c>
      <c r="B545" t="s">
        <v>159</v>
      </c>
    </row>
    <row r="546" spans="1:2" x14ac:dyDescent="0.3">
      <c r="A546" t="s">
        <v>112</v>
      </c>
      <c r="B546" t="s">
        <v>159</v>
      </c>
    </row>
    <row r="547" spans="1:2" x14ac:dyDescent="0.3">
      <c r="A547" t="s">
        <v>112</v>
      </c>
      <c r="B547" t="s">
        <v>159</v>
      </c>
    </row>
    <row r="548" spans="1:2" x14ac:dyDescent="0.3">
      <c r="A548" t="s">
        <v>112</v>
      </c>
      <c r="B548" t="s">
        <v>159</v>
      </c>
    </row>
    <row r="549" spans="1:2" x14ac:dyDescent="0.3">
      <c r="A549" t="s">
        <v>112</v>
      </c>
      <c r="B549" t="s">
        <v>159</v>
      </c>
    </row>
    <row r="550" spans="1:2" x14ac:dyDescent="0.3">
      <c r="A550" t="s">
        <v>112</v>
      </c>
      <c r="B550" t="s">
        <v>159</v>
      </c>
    </row>
    <row r="551" spans="1:2" x14ac:dyDescent="0.3">
      <c r="A551" t="s">
        <v>112</v>
      </c>
      <c r="B551" t="s">
        <v>159</v>
      </c>
    </row>
    <row r="552" spans="1:2" x14ac:dyDescent="0.3">
      <c r="A552" t="s">
        <v>112</v>
      </c>
      <c r="B552" t="s">
        <v>159</v>
      </c>
    </row>
    <row r="553" spans="1:2" x14ac:dyDescent="0.3">
      <c r="A553" t="s">
        <v>112</v>
      </c>
      <c r="B553" t="s">
        <v>159</v>
      </c>
    </row>
    <row r="554" spans="1:2" x14ac:dyDescent="0.3">
      <c r="A554" t="s">
        <v>112</v>
      </c>
      <c r="B554" t="s">
        <v>159</v>
      </c>
    </row>
    <row r="555" spans="1:2" x14ac:dyDescent="0.3">
      <c r="A555" t="s">
        <v>112</v>
      </c>
      <c r="B555" t="s">
        <v>159</v>
      </c>
    </row>
    <row r="556" spans="1:2" x14ac:dyDescent="0.3">
      <c r="A556" t="s">
        <v>112</v>
      </c>
      <c r="B556" t="s">
        <v>159</v>
      </c>
    </row>
    <row r="557" spans="1:2" x14ac:dyDescent="0.3">
      <c r="A557" t="s">
        <v>112</v>
      </c>
      <c r="B557" t="s">
        <v>159</v>
      </c>
    </row>
    <row r="558" spans="1:2" x14ac:dyDescent="0.3">
      <c r="A558" t="s">
        <v>112</v>
      </c>
      <c r="B558" t="s">
        <v>159</v>
      </c>
    </row>
    <row r="559" spans="1:2" x14ac:dyDescent="0.3">
      <c r="A559" t="s">
        <v>112</v>
      </c>
      <c r="B559" t="s">
        <v>159</v>
      </c>
    </row>
    <row r="560" spans="1:2" x14ac:dyDescent="0.3">
      <c r="A560" t="s">
        <v>112</v>
      </c>
      <c r="B560" t="s">
        <v>159</v>
      </c>
    </row>
    <row r="561" spans="1:2" x14ac:dyDescent="0.3">
      <c r="A561" t="s">
        <v>112</v>
      </c>
      <c r="B561" t="s">
        <v>159</v>
      </c>
    </row>
    <row r="562" spans="1:2" x14ac:dyDescent="0.3">
      <c r="A562" t="s">
        <v>112</v>
      </c>
      <c r="B562" t="s">
        <v>159</v>
      </c>
    </row>
    <row r="563" spans="1:2" x14ac:dyDescent="0.3">
      <c r="A563" t="s">
        <v>112</v>
      </c>
      <c r="B563" t="s">
        <v>159</v>
      </c>
    </row>
    <row r="564" spans="1:2" x14ac:dyDescent="0.3">
      <c r="A564" t="s">
        <v>112</v>
      </c>
      <c r="B564" t="s">
        <v>159</v>
      </c>
    </row>
    <row r="565" spans="1:2" x14ac:dyDescent="0.3">
      <c r="A565" t="s">
        <v>112</v>
      </c>
      <c r="B565" t="s">
        <v>159</v>
      </c>
    </row>
    <row r="566" spans="1:2" x14ac:dyDescent="0.3">
      <c r="A566" t="s">
        <v>112</v>
      </c>
      <c r="B566" t="s">
        <v>159</v>
      </c>
    </row>
    <row r="567" spans="1:2" x14ac:dyDescent="0.3">
      <c r="A567" t="s">
        <v>112</v>
      </c>
      <c r="B567" t="s">
        <v>159</v>
      </c>
    </row>
    <row r="568" spans="1:2" x14ac:dyDescent="0.3">
      <c r="A568" t="s">
        <v>112</v>
      </c>
      <c r="B568" t="s">
        <v>159</v>
      </c>
    </row>
    <row r="569" spans="1:2" x14ac:dyDescent="0.3">
      <c r="A569" t="s">
        <v>112</v>
      </c>
      <c r="B569" t="s">
        <v>159</v>
      </c>
    </row>
    <row r="570" spans="1:2" x14ac:dyDescent="0.3">
      <c r="A570" t="s">
        <v>112</v>
      </c>
      <c r="B570" t="s">
        <v>159</v>
      </c>
    </row>
    <row r="571" spans="1:2" x14ac:dyDescent="0.3">
      <c r="A571" t="s">
        <v>112</v>
      </c>
      <c r="B571" t="s">
        <v>159</v>
      </c>
    </row>
    <row r="572" spans="1:2" x14ac:dyDescent="0.3">
      <c r="A572" t="s">
        <v>112</v>
      </c>
      <c r="B572" t="s">
        <v>159</v>
      </c>
    </row>
    <row r="573" spans="1:2" x14ac:dyDescent="0.3">
      <c r="A573" t="s">
        <v>112</v>
      </c>
      <c r="B573" t="s">
        <v>159</v>
      </c>
    </row>
    <row r="574" spans="1:2" x14ac:dyDescent="0.3">
      <c r="A574" t="s">
        <v>112</v>
      </c>
      <c r="B574" t="s">
        <v>159</v>
      </c>
    </row>
    <row r="575" spans="1:2" x14ac:dyDescent="0.3">
      <c r="A575" t="s">
        <v>112</v>
      </c>
      <c r="B575" t="s">
        <v>159</v>
      </c>
    </row>
    <row r="576" spans="1:2" x14ac:dyDescent="0.3">
      <c r="A576" t="s">
        <v>112</v>
      </c>
      <c r="B576" t="s">
        <v>159</v>
      </c>
    </row>
    <row r="577" spans="1:2" x14ac:dyDescent="0.3">
      <c r="A577" t="s">
        <v>112</v>
      </c>
      <c r="B577" t="s">
        <v>159</v>
      </c>
    </row>
    <row r="578" spans="1:2" x14ac:dyDescent="0.3">
      <c r="A578" t="s">
        <v>112</v>
      </c>
      <c r="B578" t="s">
        <v>159</v>
      </c>
    </row>
    <row r="579" spans="1:2" x14ac:dyDescent="0.3">
      <c r="A579" t="s">
        <v>112</v>
      </c>
      <c r="B579" t="s">
        <v>159</v>
      </c>
    </row>
    <row r="580" spans="1:2" x14ac:dyDescent="0.3">
      <c r="A580" t="s">
        <v>112</v>
      </c>
      <c r="B580" t="s">
        <v>159</v>
      </c>
    </row>
    <row r="581" spans="1:2" x14ac:dyDescent="0.3">
      <c r="A581" t="s">
        <v>112</v>
      </c>
      <c r="B581" t="s">
        <v>159</v>
      </c>
    </row>
    <row r="582" spans="1:2" x14ac:dyDescent="0.3">
      <c r="A582" t="s">
        <v>112</v>
      </c>
      <c r="B582" t="s">
        <v>159</v>
      </c>
    </row>
    <row r="583" spans="1:2" x14ac:dyDescent="0.3">
      <c r="A583" t="s">
        <v>112</v>
      </c>
      <c r="B583" t="s">
        <v>159</v>
      </c>
    </row>
    <row r="584" spans="1:2" x14ac:dyDescent="0.3">
      <c r="A584" t="s">
        <v>112</v>
      </c>
      <c r="B584" t="s">
        <v>159</v>
      </c>
    </row>
    <row r="585" spans="1:2" x14ac:dyDescent="0.3">
      <c r="A585" t="s">
        <v>112</v>
      </c>
      <c r="B585" t="s">
        <v>159</v>
      </c>
    </row>
    <row r="586" spans="1:2" x14ac:dyDescent="0.3">
      <c r="A586" t="s">
        <v>112</v>
      </c>
      <c r="B586" t="s">
        <v>159</v>
      </c>
    </row>
    <row r="587" spans="1:2" x14ac:dyDescent="0.3">
      <c r="A587" t="s">
        <v>112</v>
      </c>
      <c r="B587" t="s">
        <v>159</v>
      </c>
    </row>
    <row r="588" spans="1:2" x14ac:dyDescent="0.3">
      <c r="A588" t="s">
        <v>112</v>
      </c>
      <c r="B588" t="s">
        <v>159</v>
      </c>
    </row>
    <row r="589" spans="1:2" x14ac:dyDescent="0.3">
      <c r="A589" t="s">
        <v>112</v>
      </c>
      <c r="B589" t="s">
        <v>159</v>
      </c>
    </row>
    <row r="590" spans="1:2" x14ac:dyDescent="0.3">
      <c r="A590" t="s">
        <v>112</v>
      </c>
      <c r="B590" t="s">
        <v>159</v>
      </c>
    </row>
    <row r="591" spans="1:2" x14ac:dyDescent="0.3">
      <c r="A591" t="s">
        <v>112</v>
      </c>
      <c r="B591" t="s">
        <v>159</v>
      </c>
    </row>
    <row r="592" spans="1:2" x14ac:dyDescent="0.3">
      <c r="A592" t="s">
        <v>112</v>
      </c>
      <c r="B592" t="s">
        <v>159</v>
      </c>
    </row>
    <row r="593" spans="1:2" x14ac:dyDescent="0.3">
      <c r="A593" t="s">
        <v>112</v>
      </c>
      <c r="B593" t="s">
        <v>159</v>
      </c>
    </row>
    <row r="594" spans="1:2" x14ac:dyDescent="0.3">
      <c r="A594" t="s">
        <v>112</v>
      </c>
      <c r="B594" t="s">
        <v>159</v>
      </c>
    </row>
    <row r="595" spans="1:2" x14ac:dyDescent="0.3">
      <c r="A595" t="s">
        <v>112</v>
      </c>
      <c r="B595" t="s">
        <v>159</v>
      </c>
    </row>
    <row r="596" spans="1:2" x14ac:dyDescent="0.3">
      <c r="A596" t="s">
        <v>112</v>
      </c>
      <c r="B596" t="s">
        <v>159</v>
      </c>
    </row>
    <row r="597" spans="1:2" x14ac:dyDescent="0.3">
      <c r="A597" t="s">
        <v>112</v>
      </c>
      <c r="B597" t="s">
        <v>159</v>
      </c>
    </row>
    <row r="598" spans="1:2" x14ac:dyDescent="0.3">
      <c r="A598" t="s">
        <v>112</v>
      </c>
      <c r="B598" t="s">
        <v>159</v>
      </c>
    </row>
    <row r="599" spans="1:2" x14ac:dyDescent="0.3">
      <c r="A599" t="s">
        <v>112</v>
      </c>
      <c r="B599" t="s">
        <v>159</v>
      </c>
    </row>
    <row r="600" spans="1:2" x14ac:dyDescent="0.3">
      <c r="A600" t="s">
        <v>112</v>
      </c>
      <c r="B600" t="s">
        <v>159</v>
      </c>
    </row>
    <row r="601" spans="1:2" x14ac:dyDescent="0.3">
      <c r="A601" t="s">
        <v>112</v>
      </c>
      <c r="B601" t="s">
        <v>159</v>
      </c>
    </row>
    <row r="602" spans="1:2" x14ac:dyDescent="0.3">
      <c r="A602" t="s">
        <v>112</v>
      </c>
      <c r="B602" t="s">
        <v>159</v>
      </c>
    </row>
    <row r="603" spans="1:2" x14ac:dyDescent="0.3">
      <c r="A603" t="s">
        <v>112</v>
      </c>
      <c r="B603" t="s">
        <v>159</v>
      </c>
    </row>
    <row r="604" spans="1:2" x14ac:dyDescent="0.3">
      <c r="A604" t="s">
        <v>112</v>
      </c>
      <c r="B604" t="s">
        <v>159</v>
      </c>
    </row>
    <row r="605" spans="1:2" x14ac:dyDescent="0.3">
      <c r="A605" t="s">
        <v>112</v>
      </c>
      <c r="B605" t="s">
        <v>159</v>
      </c>
    </row>
    <row r="606" spans="1:2" x14ac:dyDescent="0.3">
      <c r="A606" t="s">
        <v>112</v>
      </c>
      <c r="B606" t="s">
        <v>159</v>
      </c>
    </row>
    <row r="607" spans="1:2" x14ac:dyDescent="0.3">
      <c r="A607" t="s">
        <v>112</v>
      </c>
      <c r="B607" t="s">
        <v>159</v>
      </c>
    </row>
    <row r="608" spans="1:2" x14ac:dyDescent="0.3">
      <c r="A608" t="s">
        <v>112</v>
      </c>
      <c r="B608" t="s">
        <v>159</v>
      </c>
    </row>
    <row r="609" spans="1:2" x14ac:dyDescent="0.3">
      <c r="A609" t="s">
        <v>112</v>
      </c>
      <c r="B609" t="s">
        <v>159</v>
      </c>
    </row>
    <row r="610" spans="1:2" x14ac:dyDescent="0.3">
      <c r="A610" t="s">
        <v>112</v>
      </c>
      <c r="B610" t="s">
        <v>159</v>
      </c>
    </row>
    <row r="611" spans="1:2" x14ac:dyDescent="0.3">
      <c r="A611" t="s">
        <v>112</v>
      </c>
      <c r="B611" t="s">
        <v>159</v>
      </c>
    </row>
    <row r="612" spans="1:2" x14ac:dyDescent="0.3">
      <c r="A612" t="s">
        <v>112</v>
      </c>
      <c r="B612" t="s">
        <v>159</v>
      </c>
    </row>
    <row r="613" spans="1:2" x14ac:dyDescent="0.3">
      <c r="A613" t="s">
        <v>112</v>
      </c>
      <c r="B613" t="s">
        <v>159</v>
      </c>
    </row>
    <row r="614" spans="1:2" x14ac:dyDescent="0.3">
      <c r="A614" t="s">
        <v>112</v>
      </c>
      <c r="B614" t="s">
        <v>159</v>
      </c>
    </row>
    <row r="615" spans="1:2" x14ac:dyDescent="0.3">
      <c r="A615" t="s">
        <v>112</v>
      </c>
      <c r="B615" t="s">
        <v>159</v>
      </c>
    </row>
    <row r="616" spans="1:2" x14ac:dyDescent="0.3">
      <c r="A616" t="s">
        <v>112</v>
      </c>
      <c r="B616" t="s">
        <v>159</v>
      </c>
    </row>
    <row r="617" spans="1:2" x14ac:dyDescent="0.3">
      <c r="A617" t="s">
        <v>112</v>
      </c>
      <c r="B617" t="s">
        <v>159</v>
      </c>
    </row>
    <row r="618" spans="1:2" x14ac:dyDescent="0.3">
      <c r="A618" t="s">
        <v>112</v>
      </c>
      <c r="B618" t="s">
        <v>159</v>
      </c>
    </row>
    <row r="619" spans="1:2" x14ac:dyDescent="0.3">
      <c r="A619" t="s">
        <v>112</v>
      </c>
      <c r="B619" t="s">
        <v>158</v>
      </c>
    </row>
    <row r="620" spans="1:2" x14ac:dyDescent="0.3">
      <c r="A620" t="s">
        <v>112</v>
      </c>
      <c r="B620" t="s">
        <v>159</v>
      </c>
    </row>
    <row r="621" spans="1:2" x14ac:dyDescent="0.3">
      <c r="A621" t="s">
        <v>112</v>
      </c>
      <c r="B621" t="s">
        <v>159</v>
      </c>
    </row>
    <row r="622" spans="1:2" x14ac:dyDescent="0.3">
      <c r="A622" t="s">
        <v>112</v>
      </c>
      <c r="B622" t="s">
        <v>159</v>
      </c>
    </row>
    <row r="623" spans="1:2" x14ac:dyDescent="0.3">
      <c r="A623" t="s">
        <v>112</v>
      </c>
      <c r="B623" t="s">
        <v>159</v>
      </c>
    </row>
    <row r="624" spans="1:2" x14ac:dyDescent="0.3">
      <c r="A624" t="s">
        <v>112</v>
      </c>
      <c r="B624" t="s">
        <v>159</v>
      </c>
    </row>
    <row r="625" spans="1:2" x14ac:dyDescent="0.3">
      <c r="A625" t="s">
        <v>112</v>
      </c>
      <c r="B625" t="s">
        <v>159</v>
      </c>
    </row>
    <row r="626" spans="1:2" x14ac:dyDescent="0.3">
      <c r="A626" t="s">
        <v>112</v>
      </c>
      <c r="B626" t="s">
        <v>159</v>
      </c>
    </row>
    <row r="627" spans="1:2" x14ac:dyDescent="0.3">
      <c r="A627" t="s">
        <v>112</v>
      </c>
      <c r="B627" t="s">
        <v>159</v>
      </c>
    </row>
    <row r="628" spans="1:2" x14ac:dyDescent="0.3">
      <c r="A628" t="s">
        <v>112</v>
      </c>
      <c r="B628" t="s">
        <v>159</v>
      </c>
    </row>
    <row r="629" spans="1:2" x14ac:dyDescent="0.3">
      <c r="A629" t="s">
        <v>112</v>
      </c>
      <c r="B629" t="s">
        <v>159</v>
      </c>
    </row>
    <row r="630" spans="1:2" x14ac:dyDescent="0.3">
      <c r="A630" t="s">
        <v>112</v>
      </c>
      <c r="B630" t="s">
        <v>159</v>
      </c>
    </row>
    <row r="631" spans="1:2" x14ac:dyDescent="0.3">
      <c r="A631" t="s">
        <v>112</v>
      </c>
      <c r="B631" t="s">
        <v>159</v>
      </c>
    </row>
    <row r="632" spans="1:2" x14ac:dyDescent="0.3">
      <c r="A632" t="s">
        <v>112</v>
      </c>
      <c r="B632" t="s">
        <v>159</v>
      </c>
    </row>
    <row r="633" spans="1:2" x14ac:dyDescent="0.3">
      <c r="A633" t="s">
        <v>112</v>
      </c>
      <c r="B633" t="s">
        <v>159</v>
      </c>
    </row>
    <row r="634" spans="1:2" x14ac:dyDescent="0.3">
      <c r="A634" t="s">
        <v>112</v>
      </c>
      <c r="B634" t="s">
        <v>159</v>
      </c>
    </row>
    <row r="635" spans="1:2" x14ac:dyDescent="0.3">
      <c r="A635" t="s">
        <v>112</v>
      </c>
      <c r="B635" t="s">
        <v>159</v>
      </c>
    </row>
    <row r="636" spans="1:2" x14ac:dyDescent="0.3">
      <c r="A636" t="s">
        <v>112</v>
      </c>
      <c r="B636" t="s">
        <v>159</v>
      </c>
    </row>
    <row r="637" spans="1:2" x14ac:dyDescent="0.3">
      <c r="A637" t="s">
        <v>112</v>
      </c>
      <c r="B637" t="s">
        <v>159</v>
      </c>
    </row>
    <row r="638" spans="1:2" x14ac:dyDescent="0.3">
      <c r="A638" t="s">
        <v>112</v>
      </c>
      <c r="B638" t="s">
        <v>159</v>
      </c>
    </row>
    <row r="639" spans="1:2" x14ac:dyDescent="0.3">
      <c r="A639" t="s">
        <v>112</v>
      </c>
      <c r="B639" t="s">
        <v>159</v>
      </c>
    </row>
    <row r="640" spans="1:2" x14ac:dyDescent="0.3">
      <c r="A640" t="s">
        <v>112</v>
      </c>
      <c r="B640" t="s">
        <v>159</v>
      </c>
    </row>
    <row r="641" spans="1:2" x14ac:dyDescent="0.3">
      <c r="A641" t="s">
        <v>112</v>
      </c>
      <c r="B641" t="s">
        <v>159</v>
      </c>
    </row>
    <row r="642" spans="1:2" x14ac:dyDescent="0.3">
      <c r="A642" t="s">
        <v>112</v>
      </c>
      <c r="B642" t="s">
        <v>159</v>
      </c>
    </row>
    <row r="643" spans="1:2" x14ac:dyDescent="0.3">
      <c r="A643" t="s">
        <v>112</v>
      </c>
      <c r="B643" t="s">
        <v>159</v>
      </c>
    </row>
    <row r="644" spans="1:2" x14ac:dyDescent="0.3">
      <c r="A644" t="s">
        <v>112</v>
      </c>
      <c r="B644" t="s">
        <v>159</v>
      </c>
    </row>
    <row r="645" spans="1:2" x14ac:dyDescent="0.3">
      <c r="A645" t="s">
        <v>112</v>
      </c>
      <c r="B645" t="s">
        <v>159</v>
      </c>
    </row>
    <row r="646" spans="1:2" x14ac:dyDescent="0.3">
      <c r="A646" t="s">
        <v>112</v>
      </c>
      <c r="B646" t="s">
        <v>159</v>
      </c>
    </row>
    <row r="647" spans="1:2" x14ac:dyDescent="0.3">
      <c r="A647" t="s">
        <v>112</v>
      </c>
      <c r="B647" t="s">
        <v>159</v>
      </c>
    </row>
    <row r="648" spans="1:2" x14ac:dyDescent="0.3">
      <c r="A648" t="s">
        <v>112</v>
      </c>
      <c r="B648" t="s">
        <v>159</v>
      </c>
    </row>
    <row r="649" spans="1:2" x14ac:dyDescent="0.3">
      <c r="A649" t="s">
        <v>112</v>
      </c>
      <c r="B649" t="s">
        <v>159</v>
      </c>
    </row>
    <row r="650" spans="1:2" x14ac:dyDescent="0.3">
      <c r="A650" t="s">
        <v>112</v>
      </c>
      <c r="B650" t="s">
        <v>159</v>
      </c>
    </row>
    <row r="651" spans="1:2" x14ac:dyDescent="0.3">
      <c r="A651" t="s">
        <v>112</v>
      </c>
      <c r="B651" t="s">
        <v>159</v>
      </c>
    </row>
    <row r="652" spans="1:2" x14ac:dyDescent="0.3">
      <c r="A652" t="s">
        <v>112</v>
      </c>
      <c r="B652" t="s">
        <v>159</v>
      </c>
    </row>
    <row r="653" spans="1:2" x14ac:dyDescent="0.3">
      <c r="A653" t="s">
        <v>112</v>
      </c>
      <c r="B653" t="s">
        <v>159</v>
      </c>
    </row>
    <row r="654" spans="1:2" x14ac:dyDescent="0.3">
      <c r="A654" t="s">
        <v>112</v>
      </c>
      <c r="B654" t="s">
        <v>159</v>
      </c>
    </row>
    <row r="655" spans="1:2" x14ac:dyDescent="0.3">
      <c r="A655" t="s">
        <v>112</v>
      </c>
      <c r="B655" t="s">
        <v>159</v>
      </c>
    </row>
    <row r="656" spans="1:2" x14ac:dyDescent="0.3">
      <c r="A656" t="s">
        <v>112</v>
      </c>
      <c r="B656" t="s">
        <v>159</v>
      </c>
    </row>
    <row r="657" spans="1:2" x14ac:dyDescent="0.3">
      <c r="A657" t="s">
        <v>112</v>
      </c>
      <c r="B657" t="s">
        <v>159</v>
      </c>
    </row>
    <row r="658" spans="1:2" x14ac:dyDescent="0.3">
      <c r="A658" t="s">
        <v>112</v>
      </c>
      <c r="B658" t="s">
        <v>159</v>
      </c>
    </row>
    <row r="659" spans="1:2" x14ac:dyDescent="0.3">
      <c r="A659" t="s">
        <v>112</v>
      </c>
      <c r="B659" t="s">
        <v>159</v>
      </c>
    </row>
    <row r="660" spans="1:2" x14ac:dyDescent="0.3">
      <c r="A660" t="s">
        <v>112</v>
      </c>
      <c r="B660" t="s">
        <v>159</v>
      </c>
    </row>
    <row r="661" spans="1:2" x14ac:dyDescent="0.3">
      <c r="A661" t="s">
        <v>112</v>
      </c>
      <c r="B661" t="s">
        <v>159</v>
      </c>
    </row>
    <row r="662" spans="1:2" x14ac:dyDescent="0.3">
      <c r="A662" t="s">
        <v>112</v>
      </c>
      <c r="B662" t="s">
        <v>159</v>
      </c>
    </row>
    <row r="663" spans="1:2" x14ac:dyDescent="0.3">
      <c r="A663" t="s">
        <v>112</v>
      </c>
      <c r="B663" t="s">
        <v>159</v>
      </c>
    </row>
    <row r="664" spans="1:2" x14ac:dyDescent="0.3">
      <c r="A664" t="s">
        <v>112</v>
      </c>
      <c r="B664" t="s">
        <v>159</v>
      </c>
    </row>
    <row r="665" spans="1:2" x14ac:dyDescent="0.3">
      <c r="A665" t="s">
        <v>112</v>
      </c>
      <c r="B665" t="s">
        <v>159</v>
      </c>
    </row>
    <row r="666" spans="1:2" x14ac:dyDescent="0.3">
      <c r="A666" t="s">
        <v>112</v>
      </c>
      <c r="B666" t="s">
        <v>159</v>
      </c>
    </row>
    <row r="667" spans="1:2" x14ac:dyDescent="0.3">
      <c r="A667" t="s">
        <v>112</v>
      </c>
      <c r="B667" t="s">
        <v>159</v>
      </c>
    </row>
    <row r="668" spans="1:2" x14ac:dyDescent="0.3">
      <c r="A668" t="s">
        <v>112</v>
      </c>
      <c r="B668" t="s">
        <v>159</v>
      </c>
    </row>
    <row r="669" spans="1:2" x14ac:dyDescent="0.3">
      <c r="A669" t="s">
        <v>112</v>
      </c>
      <c r="B669" t="s">
        <v>159</v>
      </c>
    </row>
    <row r="670" spans="1:2" x14ac:dyDescent="0.3">
      <c r="A670" t="s">
        <v>112</v>
      </c>
      <c r="B670" t="s">
        <v>159</v>
      </c>
    </row>
    <row r="671" spans="1:2" x14ac:dyDescent="0.3">
      <c r="A671" t="s">
        <v>112</v>
      </c>
      <c r="B671" t="s">
        <v>159</v>
      </c>
    </row>
    <row r="672" spans="1:2" x14ac:dyDescent="0.3">
      <c r="A672" t="s">
        <v>112</v>
      </c>
      <c r="B672" t="s">
        <v>159</v>
      </c>
    </row>
    <row r="673" spans="1:2" x14ac:dyDescent="0.3">
      <c r="A673" t="s">
        <v>112</v>
      </c>
      <c r="B673" t="s">
        <v>159</v>
      </c>
    </row>
    <row r="674" spans="1:2" x14ac:dyDescent="0.3">
      <c r="A674" t="s">
        <v>112</v>
      </c>
      <c r="B674" t="s">
        <v>159</v>
      </c>
    </row>
    <row r="675" spans="1:2" x14ac:dyDescent="0.3">
      <c r="A675" t="s">
        <v>112</v>
      </c>
      <c r="B675" t="s">
        <v>159</v>
      </c>
    </row>
    <row r="676" spans="1:2" x14ac:dyDescent="0.3">
      <c r="A676" t="s">
        <v>112</v>
      </c>
      <c r="B676" t="s">
        <v>159</v>
      </c>
    </row>
    <row r="677" spans="1:2" x14ac:dyDescent="0.3">
      <c r="A677" t="s">
        <v>112</v>
      </c>
      <c r="B677" t="s">
        <v>159</v>
      </c>
    </row>
    <row r="678" spans="1:2" x14ac:dyDescent="0.3">
      <c r="A678" t="s">
        <v>112</v>
      </c>
      <c r="B678" t="s">
        <v>159</v>
      </c>
    </row>
    <row r="679" spans="1:2" x14ac:dyDescent="0.3">
      <c r="A679" t="s">
        <v>112</v>
      </c>
      <c r="B679" t="s">
        <v>159</v>
      </c>
    </row>
    <row r="680" spans="1:2" x14ac:dyDescent="0.3">
      <c r="A680" t="s">
        <v>112</v>
      </c>
      <c r="B680" t="s">
        <v>159</v>
      </c>
    </row>
    <row r="681" spans="1:2" x14ac:dyDescent="0.3">
      <c r="A681" t="s">
        <v>112</v>
      </c>
      <c r="B681" t="s">
        <v>159</v>
      </c>
    </row>
    <row r="682" spans="1:2" x14ac:dyDescent="0.3">
      <c r="A682" t="s">
        <v>112</v>
      </c>
      <c r="B682" t="s">
        <v>159</v>
      </c>
    </row>
    <row r="683" spans="1:2" x14ac:dyDescent="0.3">
      <c r="A683" t="s">
        <v>112</v>
      </c>
      <c r="B683" t="s">
        <v>159</v>
      </c>
    </row>
    <row r="684" spans="1:2" x14ac:dyDescent="0.3">
      <c r="A684" t="s">
        <v>112</v>
      </c>
      <c r="B684" t="s">
        <v>159</v>
      </c>
    </row>
    <row r="685" spans="1:2" x14ac:dyDescent="0.3">
      <c r="A685" t="s">
        <v>112</v>
      </c>
      <c r="B685" t="s">
        <v>158</v>
      </c>
    </row>
    <row r="686" spans="1:2" x14ac:dyDescent="0.3">
      <c r="A686" t="s">
        <v>112</v>
      </c>
      <c r="B686" t="s">
        <v>159</v>
      </c>
    </row>
    <row r="687" spans="1:2" x14ac:dyDescent="0.3">
      <c r="A687" t="s">
        <v>112</v>
      </c>
      <c r="B687" t="s">
        <v>159</v>
      </c>
    </row>
    <row r="688" spans="1:2" x14ac:dyDescent="0.3">
      <c r="A688" t="s">
        <v>112</v>
      </c>
      <c r="B688" t="s">
        <v>159</v>
      </c>
    </row>
    <row r="689" spans="1:2" x14ac:dyDescent="0.3">
      <c r="A689" t="s">
        <v>112</v>
      </c>
      <c r="B689" t="s">
        <v>159</v>
      </c>
    </row>
    <row r="690" spans="1:2" x14ac:dyDescent="0.3">
      <c r="A690" t="s">
        <v>112</v>
      </c>
      <c r="B690" t="s">
        <v>159</v>
      </c>
    </row>
    <row r="691" spans="1:2" x14ac:dyDescent="0.3">
      <c r="A691" t="s">
        <v>112</v>
      </c>
      <c r="B691" t="s">
        <v>159</v>
      </c>
    </row>
    <row r="692" spans="1:2" x14ac:dyDescent="0.3">
      <c r="A692" t="s">
        <v>112</v>
      </c>
      <c r="B692" t="s">
        <v>159</v>
      </c>
    </row>
    <row r="693" spans="1:2" x14ac:dyDescent="0.3">
      <c r="A693" t="s">
        <v>112</v>
      </c>
      <c r="B693" t="s">
        <v>159</v>
      </c>
    </row>
    <row r="694" spans="1:2" x14ac:dyDescent="0.3">
      <c r="A694" t="s">
        <v>112</v>
      </c>
      <c r="B694" t="s">
        <v>159</v>
      </c>
    </row>
    <row r="695" spans="1:2" x14ac:dyDescent="0.3">
      <c r="A695" t="s">
        <v>112</v>
      </c>
      <c r="B695" t="s">
        <v>159</v>
      </c>
    </row>
    <row r="696" spans="1:2" x14ac:dyDescent="0.3">
      <c r="A696" t="s">
        <v>112</v>
      </c>
      <c r="B696" t="s">
        <v>159</v>
      </c>
    </row>
    <row r="697" spans="1:2" x14ac:dyDescent="0.3">
      <c r="A697" t="s">
        <v>112</v>
      </c>
      <c r="B697" t="s">
        <v>159</v>
      </c>
    </row>
    <row r="698" spans="1:2" x14ac:dyDescent="0.3">
      <c r="A698" t="s">
        <v>112</v>
      </c>
      <c r="B698" t="s">
        <v>159</v>
      </c>
    </row>
    <row r="699" spans="1:2" x14ac:dyDescent="0.3">
      <c r="A699" t="s">
        <v>112</v>
      </c>
      <c r="B699" t="s">
        <v>159</v>
      </c>
    </row>
    <row r="700" spans="1:2" x14ac:dyDescent="0.3">
      <c r="A700" t="s">
        <v>112</v>
      </c>
      <c r="B700" t="s">
        <v>159</v>
      </c>
    </row>
    <row r="701" spans="1:2" x14ac:dyDescent="0.3">
      <c r="A701" t="s">
        <v>112</v>
      </c>
      <c r="B701" t="s">
        <v>159</v>
      </c>
    </row>
    <row r="702" spans="1:2" x14ac:dyDescent="0.3">
      <c r="A702" t="s">
        <v>112</v>
      </c>
      <c r="B702" t="s">
        <v>159</v>
      </c>
    </row>
    <row r="703" spans="1:2" x14ac:dyDescent="0.3">
      <c r="A703" t="s">
        <v>112</v>
      </c>
      <c r="B703" t="s">
        <v>159</v>
      </c>
    </row>
    <row r="704" spans="1:2" x14ac:dyDescent="0.3">
      <c r="A704" t="s">
        <v>112</v>
      </c>
      <c r="B704" t="s">
        <v>159</v>
      </c>
    </row>
    <row r="705" spans="1:2" x14ac:dyDescent="0.3">
      <c r="A705" t="s">
        <v>112</v>
      </c>
      <c r="B705" t="s">
        <v>158</v>
      </c>
    </row>
    <row r="706" spans="1:2" x14ac:dyDescent="0.3">
      <c r="A706" t="s">
        <v>112</v>
      </c>
      <c r="B706" t="s">
        <v>159</v>
      </c>
    </row>
    <row r="707" spans="1:2" x14ac:dyDescent="0.3">
      <c r="A707" t="s">
        <v>112</v>
      </c>
      <c r="B707" t="s">
        <v>159</v>
      </c>
    </row>
    <row r="708" spans="1:2" x14ac:dyDescent="0.3">
      <c r="A708" t="s">
        <v>112</v>
      </c>
      <c r="B708" t="s">
        <v>159</v>
      </c>
    </row>
    <row r="709" spans="1:2" x14ac:dyDescent="0.3">
      <c r="A709" t="s">
        <v>112</v>
      </c>
      <c r="B709" t="s">
        <v>159</v>
      </c>
    </row>
    <row r="710" spans="1:2" x14ac:dyDescent="0.3">
      <c r="A710" t="s">
        <v>112</v>
      </c>
      <c r="B710" t="s">
        <v>159</v>
      </c>
    </row>
    <row r="711" spans="1:2" x14ac:dyDescent="0.3">
      <c r="A711" t="s">
        <v>112</v>
      </c>
      <c r="B711" t="s">
        <v>159</v>
      </c>
    </row>
    <row r="712" spans="1:2" x14ac:dyDescent="0.3">
      <c r="A712" t="s">
        <v>112</v>
      </c>
      <c r="B712" t="s">
        <v>159</v>
      </c>
    </row>
    <row r="713" spans="1:2" x14ac:dyDescent="0.3">
      <c r="A713" t="s">
        <v>112</v>
      </c>
      <c r="B713" t="s">
        <v>159</v>
      </c>
    </row>
    <row r="714" spans="1:2" x14ac:dyDescent="0.3">
      <c r="A714" t="s">
        <v>112</v>
      </c>
      <c r="B714" t="s">
        <v>159</v>
      </c>
    </row>
    <row r="715" spans="1:2" x14ac:dyDescent="0.3">
      <c r="A715" t="s">
        <v>112</v>
      </c>
      <c r="B715" t="s">
        <v>159</v>
      </c>
    </row>
    <row r="716" spans="1:2" x14ac:dyDescent="0.3">
      <c r="A716" t="s">
        <v>112</v>
      </c>
      <c r="B716" t="s">
        <v>158</v>
      </c>
    </row>
    <row r="717" spans="1:2" x14ac:dyDescent="0.3">
      <c r="A717" t="s">
        <v>112</v>
      </c>
      <c r="B717" t="s">
        <v>158</v>
      </c>
    </row>
    <row r="718" spans="1:2" x14ac:dyDescent="0.3">
      <c r="A718" t="s">
        <v>112</v>
      </c>
      <c r="B718" t="s">
        <v>159</v>
      </c>
    </row>
    <row r="719" spans="1:2" x14ac:dyDescent="0.3">
      <c r="A719" t="s">
        <v>112</v>
      </c>
      <c r="B719" t="s">
        <v>159</v>
      </c>
    </row>
    <row r="720" spans="1:2" x14ac:dyDescent="0.3">
      <c r="A720" t="s">
        <v>112</v>
      </c>
      <c r="B720" t="s">
        <v>159</v>
      </c>
    </row>
    <row r="721" spans="1:2" x14ac:dyDescent="0.3">
      <c r="A721" t="s">
        <v>112</v>
      </c>
      <c r="B721" t="s">
        <v>159</v>
      </c>
    </row>
    <row r="722" spans="1:2" x14ac:dyDescent="0.3">
      <c r="A722" t="s">
        <v>112</v>
      </c>
      <c r="B722" t="s">
        <v>159</v>
      </c>
    </row>
    <row r="723" spans="1:2" x14ac:dyDescent="0.3">
      <c r="A723" t="s">
        <v>112</v>
      </c>
      <c r="B723" t="s">
        <v>159</v>
      </c>
    </row>
    <row r="724" spans="1:2" x14ac:dyDescent="0.3">
      <c r="A724" t="s">
        <v>112</v>
      </c>
      <c r="B724" t="s">
        <v>159</v>
      </c>
    </row>
    <row r="725" spans="1:2" x14ac:dyDescent="0.3">
      <c r="A725" t="s">
        <v>112</v>
      </c>
      <c r="B725" t="s">
        <v>159</v>
      </c>
    </row>
    <row r="726" spans="1:2" x14ac:dyDescent="0.3">
      <c r="A726" t="s">
        <v>112</v>
      </c>
      <c r="B726" t="s">
        <v>159</v>
      </c>
    </row>
    <row r="727" spans="1:2" x14ac:dyDescent="0.3">
      <c r="A727" t="s">
        <v>112</v>
      </c>
      <c r="B727" t="s">
        <v>159</v>
      </c>
    </row>
    <row r="728" spans="1:2" x14ac:dyDescent="0.3">
      <c r="A728" t="s">
        <v>112</v>
      </c>
      <c r="B728" t="s">
        <v>159</v>
      </c>
    </row>
    <row r="729" spans="1:2" x14ac:dyDescent="0.3">
      <c r="A729" t="s">
        <v>112</v>
      </c>
      <c r="B729" t="s">
        <v>159</v>
      </c>
    </row>
    <row r="730" spans="1:2" x14ac:dyDescent="0.3">
      <c r="A730" t="s">
        <v>112</v>
      </c>
      <c r="B730" t="s">
        <v>159</v>
      </c>
    </row>
    <row r="731" spans="1:2" x14ac:dyDescent="0.3">
      <c r="A731" t="s">
        <v>112</v>
      </c>
      <c r="B731" t="s">
        <v>158</v>
      </c>
    </row>
    <row r="732" spans="1:2" x14ac:dyDescent="0.3">
      <c r="A732" t="s">
        <v>112</v>
      </c>
      <c r="B732" t="s">
        <v>159</v>
      </c>
    </row>
    <row r="733" spans="1:2" x14ac:dyDescent="0.3">
      <c r="A733" t="s">
        <v>112</v>
      </c>
      <c r="B733" t="s">
        <v>159</v>
      </c>
    </row>
    <row r="734" spans="1:2" x14ac:dyDescent="0.3">
      <c r="A734" t="s">
        <v>112</v>
      </c>
      <c r="B734" t="s">
        <v>159</v>
      </c>
    </row>
    <row r="735" spans="1:2" x14ac:dyDescent="0.3">
      <c r="A735" t="s">
        <v>112</v>
      </c>
      <c r="B735" t="s">
        <v>159</v>
      </c>
    </row>
    <row r="736" spans="1:2" x14ac:dyDescent="0.3">
      <c r="A736" t="s">
        <v>112</v>
      </c>
      <c r="B736" t="s">
        <v>159</v>
      </c>
    </row>
    <row r="737" spans="1:2" x14ac:dyDescent="0.3">
      <c r="A737" t="s">
        <v>112</v>
      </c>
      <c r="B737" t="s">
        <v>159</v>
      </c>
    </row>
    <row r="738" spans="1:2" x14ac:dyDescent="0.3">
      <c r="A738" t="s">
        <v>112</v>
      </c>
      <c r="B738" t="s">
        <v>159</v>
      </c>
    </row>
    <row r="739" spans="1:2" x14ac:dyDescent="0.3">
      <c r="A739" t="s">
        <v>112</v>
      </c>
      <c r="B739" t="s">
        <v>159</v>
      </c>
    </row>
    <row r="740" spans="1:2" x14ac:dyDescent="0.3">
      <c r="A740" t="s">
        <v>112</v>
      </c>
      <c r="B740" t="s">
        <v>159</v>
      </c>
    </row>
    <row r="741" spans="1:2" x14ac:dyDescent="0.3">
      <c r="A741" t="s">
        <v>112</v>
      </c>
      <c r="B741" t="s">
        <v>159</v>
      </c>
    </row>
    <row r="742" spans="1:2" x14ac:dyDescent="0.3">
      <c r="A742" t="s">
        <v>112</v>
      </c>
      <c r="B742" t="s">
        <v>159</v>
      </c>
    </row>
    <row r="743" spans="1:2" x14ac:dyDescent="0.3">
      <c r="A743" t="s">
        <v>112</v>
      </c>
      <c r="B743" t="s">
        <v>159</v>
      </c>
    </row>
    <row r="744" spans="1:2" x14ac:dyDescent="0.3">
      <c r="A744" t="s">
        <v>112</v>
      </c>
      <c r="B744" t="s">
        <v>159</v>
      </c>
    </row>
    <row r="745" spans="1:2" x14ac:dyDescent="0.3">
      <c r="A745" t="s">
        <v>112</v>
      </c>
      <c r="B745" t="s">
        <v>159</v>
      </c>
    </row>
    <row r="746" spans="1:2" x14ac:dyDescent="0.3">
      <c r="A746" t="s">
        <v>112</v>
      </c>
      <c r="B746" t="s">
        <v>159</v>
      </c>
    </row>
    <row r="747" spans="1:2" x14ac:dyDescent="0.3">
      <c r="A747" t="s">
        <v>112</v>
      </c>
      <c r="B747" t="s">
        <v>159</v>
      </c>
    </row>
    <row r="748" spans="1:2" x14ac:dyDescent="0.3">
      <c r="A748" t="s">
        <v>112</v>
      </c>
      <c r="B748" t="s">
        <v>158</v>
      </c>
    </row>
    <row r="749" spans="1:2" x14ac:dyDescent="0.3">
      <c r="A749" t="s">
        <v>112</v>
      </c>
      <c r="B749" t="s">
        <v>158</v>
      </c>
    </row>
    <row r="750" spans="1:2" x14ac:dyDescent="0.3">
      <c r="A750" t="s">
        <v>112</v>
      </c>
      <c r="B750" t="s">
        <v>159</v>
      </c>
    </row>
    <row r="751" spans="1:2" x14ac:dyDescent="0.3">
      <c r="A751" t="s">
        <v>112</v>
      </c>
      <c r="B751" t="s">
        <v>158</v>
      </c>
    </row>
    <row r="752" spans="1:2" x14ac:dyDescent="0.3">
      <c r="A752" t="s">
        <v>112</v>
      </c>
      <c r="B752" t="s">
        <v>159</v>
      </c>
    </row>
    <row r="753" spans="1:2" x14ac:dyDescent="0.3">
      <c r="A753" t="s">
        <v>112</v>
      </c>
      <c r="B753" t="s">
        <v>159</v>
      </c>
    </row>
    <row r="754" spans="1:2" x14ac:dyDescent="0.3">
      <c r="A754" t="s">
        <v>112</v>
      </c>
      <c r="B754" t="s">
        <v>158</v>
      </c>
    </row>
    <row r="755" spans="1:2" x14ac:dyDescent="0.3">
      <c r="A755" t="s">
        <v>112</v>
      </c>
      <c r="B755" t="s">
        <v>159</v>
      </c>
    </row>
    <row r="756" spans="1:2" x14ac:dyDescent="0.3">
      <c r="A756" t="s">
        <v>112</v>
      </c>
      <c r="B756" t="s">
        <v>159</v>
      </c>
    </row>
    <row r="757" spans="1:2" x14ac:dyDescent="0.3">
      <c r="A757" t="s">
        <v>112</v>
      </c>
      <c r="B757" t="s">
        <v>159</v>
      </c>
    </row>
    <row r="758" spans="1:2" x14ac:dyDescent="0.3">
      <c r="A758" t="s">
        <v>112</v>
      </c>
      <c r="B758" t="s">
        <v>159</v>
      </c>
    </row>
    <row r="759" spans="1:2" x14ac:dyDescent="0.3">
      <c r="A759" t="s">
        <v>112</v>
      </c>
      <c r="B759" t="s">
        <v>158</v>
      </c>
    </row>
    <row r="760" spans="1:2" x14ac:dyDescent="0.3">
      <c r="A760" t="s">
        <v>112</v>
      </c>
      <c r="B760" t="s">
        <v>159</v>
      </c>
    </row>
    <row r="761" spans="1:2" x14ac:dyDescent="0.3">
      <c r="A761" t="s">
        <v>112</v>
      </c>
      <c r="B761" t="s">
        <v>158</v>
      </c>
    </row>
    <row r="762" spans="1:2" x14ac:dyDescent="0.3">
      <c r="A762" t="s">
        <v>112</v>
      </c>
      <c r="B762" t="s">
        <v>159</v>
      </c>
    </row>
    <row r="763" spans="1:2" x14ac:dyDescent="0.3">
      <c r="A763" t="s">
        <v>112</v>
      </c>
      <c r="B763" t="s">
        <v>159</v>
      </c>
    </row>
    <row r="764" spans="1:2" x14ac:dyDescent="0.3">
      <c r="A764" t="s">
        <v>112</v>
      </c>
      <c r="B764" t="s">
        <v>159</v>
      </c>
    </row>
    <row r="765" spans="1:2" x14ac:dyDescent="0.3">
      <c r="A765" t="s">
        <v>112</v>
      </c>
      <c r="B765" t="s">
        <v>159</v>
      </c>
    </row>
    <row r="766" spans="1:2" x14ac:dyDescent="0.3">
      <c r="A766" t="s">
        <v>112</v>
      </c>
      <c r="B766" t="s">
        <v>158</v>
      </c>
    </row>
    <row r="767" spans="1:2" x14ac:dyDescent="0.3">
      <c r="A767" t="s">
        <v>112</v>
      </c>
      <c r="B767" t="s">
        <v>159</v>
      </c>
    </row>
    <row r="768" spans="1:2" x14ac:dyDescent="0.3">
      <c r="A768" t="s">
        <v>112</v>
      </c>
      <c r="B768" t="s">
        <v>159</v>
      </c>
    </row>
    <row r="769" spans="1:2" x14ac:dyDescent="0.3">
      <c r="A769" t="s">
        <v>112</v>
      </c>
      <c r="B769" t="s">
        <v>159</v>
      </c>
    </row>
    <row r="770" spans="1:2" x14ac:dyDescent="0.3">
      <c r="A770" t="s">
        <v>112</v>
      </c>
      <c r="B770" t="s">
        <v>158</v>
      </c>
    </row>
    <row r="771" spans="1:2" x14ac:dyDescent="0.3">
      <c r="A771" t="s">
        <v>112</v>
      </c>
      <c r="B771" t="s">
        <v>158</v>
      </c>
    </row>
    <row r="772" spans="1:2" x14ac:dyDescent="0.3">
      <c r="A772" t="s">
        <v>112</v>
      </c>
      <c r="B772" t="s">
        <v>159</v>
      </c>
    </row>
    <row r="773" spans="1:2" x14ac:dyDescent="0.3">
      <c r="A773" t="s">
        <v>112</v>
      </c>
      <c r="B773" t="s">
        <v>159</v>
      </c>
    </row>
    <row r="774" spans="1:2" x14ac:dyDescent="0.3">
      <c r="A774" t="s">
        <v>112</v>
      </c>
      <c r="B774" t="s">
        <v>159</v>
      </c>
    </row>
    <row r="775" spans="1:2" x14ac:dyDescent="0.3">
      <c r="A775" t="s">
        <v>112</v>
      </c>
      <c r="B775" t="s">
        <v>158</v>
      </c>
    </row>
    <row r="776" spans="1:2" x14ac:dyDescent="0.3">
      <c r="A776" t="s">
        <v>112</v>
      </c>
      <c r="B776" t="s">
        <v>159</v>
      </c>
    </row>
    <row r="777" spans="1:2" x14ac:dyDescent="0.3">
      <c r="A777" t="s">
        <v>112</v>
      </c>
      <c r="B777" t="s">
        <v>159</v>
      </c>
    </row>
    <row r="778" spans="1:2" x14ac:dyDescent="0.3">
      <c r="A778" t="s">
        <v>112</v>
      </c>
      <c r="B778" t="s">
        <v>159</v>
      </c>
    </row>
    <row r="779" spans="1:2" x14ac:dyDescent="0.3">
      <c r="A779" t="s">
        <v>112</v>
      </c>
      <c r="B779" t="s">
        <v>159</v>
      </c>
    </row>
    <row r="780" spans="1:2" x14ac:dyDescent="0.3">
      <c r="A780" t="s">
        <v>112</v>
      </c>
      <c r="B780" t="s">
        <v>158</v>
      </c>
    </row>
    <row r="781" spans="1:2" x14ac:dyDescent="0.3">
      <c r="A781" t="s">
        <v>112</v>
      </c>
      <c r="B781" t="s">
        <v>159</v>
      </c>
    </row>
    <row r="782" spans="1:2" x14ac:dyDescent="0.3">
      <c r="A782" t="s">
        <v>112</v>
      </c>
      <c r="B782" t="s">
        <v>159</v>
      </c>
    </row>
    <row r="783" spans="1:2" x14ac:dyDescent="0.3">
      <c r="A783" t="s">
        <v>112</v>
      </c>
      <c r="B783" t="s">
        <v>159</v>
      </c>
    </row>
    <row r="784" spans="1:2" x14ac:dyDescent="0.3">
      <c r="A784" t="s">
        <v>112</v>
      </c>
      <c r="B784" t="s">
        <v>159</v>
      </c>
    </row>
    <row r="785" spans="1:2" x14ac:dyDescent="0.3">
      <c r="A785" t="s">
        <v>112</v>
      </c>
      <c r="B785" t="s">
        <v>159</v>
      </c>
    </row>
    <row r="786" spans="1:2" x14ac:dyDescent="0.3">
      <c r="A786" t="s">
        <v>112</v>
      </c>
      <c r="B786" t="s">
        <v>159</v>
      </c>
    </row>
    <row r="787" spans="1:2" x14ac:dyDescent="0.3">
      <c r="A787" t="s">
        <v>112</v>
      </c>
      <c r="B787" t="s">
        <v>159</v>
      </c>
    </row>
    <row r="788" spans="1:2" x14ac:dyDescent="0.3">
      <c r="A788" t="s">
        <v>112</v>
      </c>
      <c r="B788" t="s">
        <v>159</v>
      </c>
    </row>
    <row r="789" spans="1:2" x14ac:dyDescent="0.3">
      <c r="A789" t="s">
        <v>112</v>
      </c>
      <c r="B789" t="s">
        <v>159</v>
      </c>
    </row>
    <row r="790" spans="1:2" x14ac:dyDescent="0.3">
      <c r="A790" t="s">
        <v>112</v>
      </c>
      <c r="B790" t="s">
        <v>159</v>
      </c>
    </row>
    <row r="791" spans="1:2" x14ac:dyDescent="0.3">
      <c r="A791" t="s">
        <v>112</v>
      </c>
      <c r="B791" t="s">
        <v>159</v>
      </c>
    </row>
    <row r="792" spans="1:2" x14ac:dyDescent="0.3">
      <c r="A792" t="s">
        <v>112</v>
      </c>
      <c r="B792" t="s">
        <v>159</v>
      </c>
    </row>
    <row r="793" spans="1:2" x14ac:dyDescent="0.3">
      <c r="A793" t="s">
        <v>112</v>
      </c>
      <c r="B793" t="s">
        <v>159</v>
      </c>
    </row>
    <row r="794" spans="1:2" x14ac:dyDescent="0.3">
      <c r="A794" t="s">
        <v>112</v>
      </c>
      <c r="B794" t="s">
        <v>158</v>
      </c>
    </row>
    <row r="795" spans="1:2" x14ac:dyDescent="0.3">
      <c r="A795" t="s">
        <v>112</v>
      </c>
      <c r="B795" t="s">
        <v>158</v>
      </c>
    </row>
    <row r="796" spans="1:2" x14ac:dyDescent="0.3">
      <c r="A796" t="s">
        <v>112</v>
      </c>
      <c r="B796" t="s">
        <v>158</v>
      </c>
    </row>
    <row r="797" spans="1:2" x14ac:dyDescent="0.3">
      <c r="A797" t="s">
        <v>112</v>
      </c>
      <c r="B797" t="s">
        <v>159</v>
      </c>
    </row>
    <row r="798" spans="1:2" x14ac:dyDescent="0.3">
      <c r="A798" t="s">
        <v>112</v>
      </c>
      <c r="B798" t="s">
        <v>159</v>
      </c>
    </row>
    <row r="799" spans="1:2" x14ac:dyDescent="0.3">
      <c r="A799" t="s">
        <v>112</v>
      </c>
      <c r="B799" t="s">
        <v>159</v>
      </c>
    </row>
    <row r="800" spans="1:2" x14ac:dyDescent="0.3">
      <c r="A800" t="s">
        <v>112</v>
      </c>
      <c r="B800" t="s">
        <v>159</v>
      </c>
    </row>
    <row r="801" spans="1:2" x14ac:dyDescent="0.3">
      <c r="A801" t="s">
        <v>112</v>
      </c>
      <c r="B801" t="s">
        <v>158</v>
      </c>
    </row>
    <row r="802" spans="1:2" x14ac:dyDescent="0.3">
      <c r="A802" t="s">
        <v>112</v>
      </c>
      <c r="B802" t="s">
        <v>159</v>
      </c>
    </row>
    <row r="803" spans="1:2" x14ac:dyDescent="0.3">
      <c r="A803" t="s">
        <v>112</v>
      </c>
      <c r="B803" t="s">
        <v>159</v>
      </c>
    </row>
    <row r="804" spans="1:2" x14ac:dyDescent="0.3">
      <c r="A804" t="s">
        <v>112</v>
      </c>
      <c r="B804" t="s">
        <v>158</v>
      </c>
    </row>
    <row r="805" spans="1:2" x14ac:dyDescent="0.3">
      <c r="A805" t="s">
        <v>112</v>
      </c>
      <c r="B805" t="s">
        <v>158</v>
      </c>
    </row>
    <row r="806" spans="1:2" x14ac:dyDescent="0.3">
      <c r="A806" t="s">
        <v>112</v>
      </c>
      <c r="B806" t="s">
        <v>159</v>
      </c>
    </row>
    <row r="807" spans="1:2" x14ac:dyDescent="0.3">
      <c r="A807" t="s">
        <v>112</v>
      </c>
      <c r="B807" t="s">
        <v>159</v>
      </c>
    </row>
    <row r="808" spans="1:2" x14ac:dyDescent="0.3">
      <c r="A808" t="s">
        <v>112</v>
      </c>
      <c r="B808" t="s">
        <v>158</v>
      </c>
    </row>
    <row r="809" spans="1:2" x14ac:dyDescent="0.3">
      <c r="A809" t="s">
        <v>112</v>
      </c>
      <c r="B809" t="s">
        <v>159</v>
      </c>
    </row>
    <row r="810" spans="1:2" x14ac:dyDescent="0.3">
      <c r="A810" t="s">
        <v>112</v>
      </c>
      <c r="B810" t="s">
        <v>158</v>
      </c>
    </row>
    <row r="811" spans="1:2" x14ac:dyDescent="0.3">
      <c r="A811" t="s">
        <v>112</v>
      </c>
      <c r="B811" t="s">
        <v>159</v>
      </c>
    </row>
    <row r="812" spans="1:2" x14ac:dyDescent="0.3">
      <c r="A812" t="s">
        <v>112</v>
      </c>
      <c r="B812" t="s">
        <v>159</v>
      </c>
    </row>
    <row r="813" spans="1:2" x14ac:dyDescent="0.3">
      <c r="A813" t="s">
        <v>112</v>
      </c>
      <c r="B813" t="s">
        <v>158</v>
      </c>
    </row>
    <row r="814" spans="1:2" x14ac:dyDescent="0.3">
      <c r="A814" t="s">
        <v>112</v>
      </c>
      <c r="B814" t="s">
        <v>158</v>
      </c>
    </row>
    <row r="815" spans="1:2" x14ac:dyDescent="0.3">
      <c r="A815" t="s">
        <v>112</v>
      </c>
      <c r="B815" t="s">
        <v>159</v>
      </c>
    </row>
    <row r="816" spans="1:2" x14ac:dyDescent="0.3">
      <c r="A816" t="s">
        <v>112</v>
      </c>
      <c r="B816" t="s">
        <v>158</v>
      </c>
    </row>
    <row r="817" spans="1:2" x14ac:dyDescent="0.3">
      <c r="A817" t="s">
        <v>112</v>
      </c>
      <c r="B817" t="s">
        <v>158</v>
      </c>
    </row>
    <row r="818" spans="1:2" x14ac:dyDescent="0.3">
      <c r="A818" t="s">
        <v>112</v>
      </c>
      <c r="B818" t="s">
        <v>159</v>
      </c>
    </row>
    <row r="819" spans="1:2" x14ac:dyDescent="0.3">
      <c r="A819" t="s">
        <v>112</v>
      </c>
      <c r="B819" t="s">
        <v>158</v>
      </c>
    </row>
    <row r="820" spans="1:2" x14ac:dyDescent="0.3">
      <c r="A820" t="s">
        <v>112</v>
      </c>
      <c r="B820" t="s">
        <v>159</v>
      </c>
    </row>
    <row r="821" spans="1:2" x14ac:dyDescent="0.3">
      <c r="A821" t="s">
        <v>112</v>
      </c>
      <c r="B821" t="s">
        <v>159</v>
      </c>
    </row>
    <row r="822" spans="1:2" x14ac:dyDescent="0.3">
      <c r="A822" t="s">
        <v>112</v>
      </c>
      <c r="B822" t="s">
        <v>159</v>
      </c>
    </row>
    <row r="823" spans="1:2" x14ac:dyDescent="0.3">
      <c r="A823" t="s">
        <v>112</v>
      </c>
      <c r="B823" t="s">
        <v>159</v>
      </c>
    </row>
    <row r="824" spans="1:2" x14ac:dyDescent="0.3">
      <c r="A824" t="s">
        <v>112</v>
      </c>
      <c r="B824" t="s">
        <v>159</v>
      </c>
    </row>
    <row r="825" spans="1:2" x14ac:dyDescent="0.3">
      <c r="A825" t="s">
        <v>112</v>
      </c>
      <c r="B825" t="s">
        <v>158</v>
      </c>
    </row>
    <row r="826" spans="1:2" x14ac:dyDescent="0.3">
      <c r="A826" t="s">
        <v>112</v>
      </c>
      <c r="B826" t="s">
        <v>159</v>
      </c>
    </row>
    <row r="827" spans="1:2" x14ac:dyDescent="0.3">
      <c r="A827" t="s">
        <v>112</v>
      </c>
      <c r="B827" t="s">
        <v>159</v>
      </c>
    </row>
    <row r="828" spans="1:2" x14ac:dyDescent="0.3">
      <c r="A828" t="s">
        <v>112</v>
      </c>
      <c r="B828" t="s">
        <v>158</v>
      </c>
    </row>
    <row r="829" spans="1:2" x14ac:dyDescent="0.3">
      <c r="A829" t="s">
        <v>112</v>
      </c>
      <c r="B829" t="s">
        <v>159</v>
      </c>
    </row>
    <row r="830" spans="1:2" x14ac:dyDescent="0.3">
      <c r="A830" t="s">
        <v>112</v>
      </c>
      <c r="B830" t="s">
        <v>159</v>
      </c>
    </row>
    <row r="831" spans="1:2" x14ac:dyDescent="0.3">
      <c r="A831" t="s">
        <v>112</v>
      </c>
      <c r="B831" t="s">
        <v>158</v>
      </c>
    </row>
    <row r="832" spans="1:2" x14ac:dyDescent="0.3">
      <c r="A832" t="s">
        <v>112</v>
      </c>
      <c r="B832" t="s">
        <v>159</v>
      </c>
    </row>
    <row r="833" spans="1:2" x14ac:dyDescent="0.3">
      <c r="A833" t="s">
        <v>112</v>
      </c>
      <c r="B833" t="s">
        <v>158</v>
      </c>
    </row>
    <row r="834" spans="1:2" x14ac:dyDescent="0.3">
      <c r="A834" t="s">
        <v>112</v>
      </c>
      <c r="B834" t="s">
        <v>159</v>
      </c>
    </row>
    <row r="835" spans="1:2" x14ac:dyDescent="0.3">
      <c r="A835" t="s">
        <v>112</v>
      </c>
      <c r="B835" t="s">
        <v>159</v>
      </c>
    </row>
    <row r="836" spans="1:2" x14ac:dyDescent="0.3">
      <c r="A836" t="s">
        <v>112</v>
      </c>
      <c r="B836" t="s">
        <v>159</v>
      </c>
    </row>
    <row r="837" spans="1:2" x14ac:dyDescent="0.3">
      <c r="A837" t="s">
        <v>112</v>
      </c>
      <c r="B837" t="s">
        <v>159</v>
      </c>
    </row>
    <row r="838" spans="1:2" x14ac:dyDescent="0.3">
      <c r="A838" t="s">
        <v>112</v>
      </c>
      <c r="B838" t="s">
        <v>158</v>
      </c>
    </row>
    <row r="839" spans="1:2" x14ac:dyDescent="0.3">
      <c r="A839" t="s">
        <v>112</v>
      </c>
      <c r="B839" t="s">
        <v>158</v>
      </c>
    </row>
    <row r="840" spans="1:2" x14ac:dyDescent="0.3">
      <c r="A840" t="s">
        <v>112</v>
      </c>
      <c r="B840" t="s">
        <v>158</v>
      </c>
    </row>
    <row r="841" spans="1:2" x14ac:dyDescent="0.3">
      <c r="A841" t="s">
        <v>112</v>
      </c>
      <c r="B841" t="s">
        <v>159</v>
      </c>
    </row>
    <row r="842" spans="1:2" x14ac:dyDescent="0.3">
      <c r="A842" t="s">
        <v>112</v>
      </c>
      <c r="B842" t="s">
        <v>158</v>
      </c>
    </row>
    <row r="843" spans="1:2" x14ac:dyDescent="0.3">
      <c r="A843" t="s">
        <v>112</v>
      </c>
      <c r="B843" t="s">
        <v>159</v>
      </c>
    </row>
    <row r="844" spans="1:2" x14ac:dyDescent="0.3">
      <c r="A844" t="s">
        <v>112</v>
      </c>
      <c r="B844" t="s">
        <v>159</v>
      </c>
    </row>
    <row r="845" spans="1:2" x14ac:dyDescent="0.3">
      <c r="A845" t="s">
        <v>112</v>
      </c>
      <c r="B845" t="s">
        <v>159</v>
      </c>
    </row>
    <row r="846" spans="1:2" x14ac:dyDescent="0.3">
      <c r="A846" t="s">
        <v>112</v>
      </c>
      <c r="B846" t="s">
        <v>159</v>
      </c>
    </row>
    <row r="847" spans="1:2" x14ac:dyDescent="0.3">
      <c r="A847" t="s">
        <v>112</v>
      </c>
      <c r="B847" t="s">
        <v>159</v>
      </c>
    </row>
    <row r="848" spans="1:2" x14ac:dyDescent="0.3">
      <c r="A848" t="s">
        <v>112</v>
      </c>
      <c r="B848" t="s">
        <v>158</v>
      </c>
    </row>
    <row r="849" spans="1:2" x14ac:dyDescent="0.3">
      <c r="A849" t="s">
        <v>112</v>
      </c>
      <c r="B849" t="s">
        <v>158</v>
      </c>
    </row>
    <row r="850" spans="1:2" x14ac:dyDescent="0.3">
      <c r="A850" t="s">
        <v>112</v>
      </c>
      <c r="B850" t="s">
        <v>159</v>
      </c>
    </row>
    <row r="851" spans="1:2" x14ac:dyDescent="0.3">
      <c r="A851" t="s">
        <v>112</v>
      </c>
      <c r="B851" t="s">
        <v>159</v>
      </c>
    </row>
    <row r="852" spans="1:2" x14ac:dyDescent="0.3">
      <c r="A852" t="s">
        <v>112</v>
      </c>
      <c r="B852" t="s">
        <v>158</v>
      </c>
    </row>
    <row r="853" spans="1:2" x14ac:dyDescent="0.3">
      <c r="A853" t="s">
        <v>112</v>
      </c>
      <c r="B853" t="s">
        <v>159</v>
      </c>
    </row>
    <row r="854" spans="1:2" x14ac:dyDescent="0.3">
      <c r="A854" t="s">
        <v>112</v>
      </c>
      <c r="B854" t="s">
        <v>158</v>
      </c>
    </row>
    <row r="855" spans="1:2" x14ac:dyDescent="0.3">
      <c r="A855" t="s">
        <v>112</v>
      </c>
      <c r="B855" t="s">
        <v>158</v>
      </c>
    </row>
    <row r="856" spans="1:2" x14ac:dyDescent="0.3">
      <c r="A856" t="s">
        <v>112</v>
      </c>
      <c r="B856" t="s">
        <v>158</v>
      </c>
    </row>
    <row r="857" spans="1:2" x14ac:dyDescent="0.3">
      <c r="A857" t="s">
        <v>112</v>
      </c>
      <c r="B857" t="s">
        <v>158</v>
      </c>
    </row>
    <row r="858" spans="1:2" x14ac:dyDescent="0.3">
      <c r="A858" t="s">
        <v>112</v>
      </c>
      <c r="B858" t="s">
        <v>159</v>
      </c>
    </row>
    <row r="859" spans="1:2" x14ac:dyDescent="0.3">
      <c r="A859" t="s">
        <v>112</v>
      </c>
      <c r="B859" t="s">
        <v>159</v>
      </c>
    </row>
    <row r="860" spans="1:2" x14ac:dyDescent="0.3">
      <c r="A860" t="s">
        <v>112</v>
      </c>
      <c r="B860" t="s">
        <v>159</v>
      </c>
    </row>
    <row r="861" spans="1:2" x14ac:dyDescent="0.3">
      <c r="A861" t="s">
        <v>112</v>
      </c>
      <c r="B861" t="s">
        <v>158</v>
      </c>
    </row>
    <row r="862" spans="1:2" x14ac:dyDescent="0.3">
      <c r="A862" t="s">
        <v>112</v>
      </c>
      <c r="B862" t="s">
        <v>159</v>
      </c>
    </row>
    <row r="863" spans="1:2" x14ac:dyDescent="0.3">
      <c r="A863" t="s">
        <v>112</v>
      </c>
      <c r="B863" t="s">
        <v>158</v>
      </c>
    </row>
    <row r="864" spans="1:2" x14ac:dyDescent="0.3">
      <c r="A864" t="s">
        <v>112</v>
      </c>
      <c r="B864" t="s">
        <v>158</v>
      </c>
    </row>
    <row r="865" spans="1:2" x14ac:dyDescent="0.3">
      <c r="A865" t="s">
        <v>112</v>
      </c>
      <c r="B865" t="s">
        <v>159</v>
      </c>
    </row>
    <row r="866" spans="1:2" x14ac:dyDescent="0.3">
      <c r="A866" t="s">
        <v>112</v>
      </c>
      <c r="B866" t="s">
        <v>158</v>
      </c>
    </row>
    <row r="867" spans="1:2" x14ac:dyDescent="0.3">
      <c r="A867" t="s">
        <v>112</v>
      </c>
      <c r="B867" t="s">
        <v>158</v>
      </c>
    </row>
    <row r="868" spans="1:2" x14ac:dyDescent="0.3">
      <c r="A868" t="s">
        <v>112</v>
      </c>
      <c r="B868" t="s">
        <v>158</v>
      </c>
    </row>
    <row r="869" spans="1:2" x14ac:dyDescent="0.3">
      <c r="A869" t="s">
        <v>112</v>
      </c>
      <c r="B869" t="s">
        <v>158</v>
      </c>
    </row>
    <row r="870" spans="1:2" x14ac:dyDescent="0.3">
      <c r="A870" t="s">
        <v>112</v>
      </c>
      <c r="B870" t="s">
        <v>158</v>
      </c>
    </row>
    <row r="871" spans="1:2" x14ac:dyDescent="0.3">
      <c r="A871" t="s">
        <v>112</v>
      </c>
      <c r="B871" t="s">
        <v>159</v>
      </c>
    </row>
    <row r="872" spans="1:2" x14ac:dyDescent="0.3">
      <c r="A872" t="s">
        <v>112</v>
      </c>
      <c r="B872" t="s">
        <v>158</v>
      </c>
    </row>
    <row r="873" spans="1:2" x14ac:dyDescent="0.3">
      <c r="A873" t="s">
        <v>112</v>
      </c>
      <c r="B873" t="s">
        <v>159</v>
      </c>
    </row>
    <row r="874" spans="1:2" x14ac:dyDescent="0.3">
      <c r="A874" t="s">
        <v>112</v>
      </c>
      <c r="B874" t="s">
        <v>159</v>
      </c>
    </row>
    <row r="875" spans="1:2" x14ac:dyDescent="0.3">
      <c r="A875" t="s">
        <v>112</v>
      </c>
      <c r="B875" t="s">
        <v>158</v>
      </c>
    </row>
    <row r="876" spans="1:2" x14ac:dyDescent="0.3">
      <c r="A876" t="s">
        <v>112</v>
      </c>
      <c r="B876" t="s">
        <v>158</v>
      </c>
    </row>
    <row r="877" spans="1:2" x14ac:dyDescent="0.3">
      <c r="A877" t="s">
        <v>112</v>
      </c>
      <c r="B877" t="s">
        <v>158</v>
      </c>
    </row>
    <row r="878" spans="1:2" x14ac:dyDescent="0.3">
      <c r="A878" t="s">
        <v>112</v>
      </c>
      <c r="B878" t="s">
        <v>158</v>
      </c>
    </row>
    <row r="879" spans="1:2" x14ac:dyDescent="0.3">
      <c r="A879" t="s">
        <v>112</v>
      </c>
      <c r="B879" t="s">
        <v>159</v>
      </c>
    </row>
    <row r="880" spans="1:2" x14ac:dyDescent="0.3">
      <c r="A880" t="s">
        <v>112</v>
      </c>
      <c r="B880" t="s">
        <v>159</v>
      </c>
    </row>
    <row r="881" spans="1:2" x14ac:dyDescent="0.3">
      <c r="A881" t="s">
        <v>112</v>
      </c>
      <c r="B881" t="s">
        <v>159</v>
      </c>
    </row>
    <row r="882" spans="1:2" x14ac:dyDescent="0.3">
      <c r="A882" t="s">
        <v>112</v>
      </c>
      <c r="B882" t="s">
        <v>159</v>
      </c>
    </row>
    <row r="883" spans="1:2" x14ac:dyDescent="0.3">
      <c r="A883" t="s">
        <v>112</v>
      </c>
      <c r="B883" t="s">
        <v>158</v>
      </c>
    </row>
    <row r="884" spans="1:2" x14ac:dyDescent="0.3">
      <c r="A884" t="s">
        <v>112</v>
      </c>
      <c r="B884" t="s">
        <v>159</v>
      </c>
    </row>
    <row r="885" spans="1:2" x14ac:dyDescent="0.3">
      <c r="A885" t="s">
        <v>112</v>
      </c>
      <c r="B885" t="s">
        <v>158</v>
      </c>
    </row>
    <row r="886" spans="1:2" x14ac:dyDescent="0.3">
      <c r="A886" t="s">
        <v>112</v>
      </c>
      <c r="B886" t="s">
        <v>159</v>
      </c>
    </row>
    <row r="887" spans="1:2" x14ac:dyDescent="0.3">
      <c r="A887" t="s">
        <v>112</v>
      </c>
      <c r="B887" t="s">
        <v>159</v>
      </c>
    </row>
    <row r="888" spans="1:2" x14ac:dyDescent="0.3">
      <c r="A888" t="s">
        <v>112</v>
      </c>
      <c r="B888" t="s">
        <v>158</v>
      </c>
    </row>
    <row r="889" spans="1:2" x14ac:dyDescent="0.3">
      <c r="A889" t="s">
        <v>112</v>
      </c>
      <c r="B889" t="s">
        <v>159</v>
      </c>
    </row>
    <row r="890" spans="1:2" x14ac:dyDescent="0.3">
      <c r="A890" t="s">
        <v>112</v>
      </c>
      <c r="B890" t="s">
        <v>159</v>
      </c>
    </row>
    <row r="891" spans="1:2" x14ac:dyDescent="0.3">
      <c r="A891" t="s">
        <v>112</v>
      </c>
      <c r="B891" t="s">
        <v>159</v>
      </c>
    </row>
    <row r="892" spans="1:2" x14ac:dyDescent="0.3">
      <c r="A892" t="s">
        <v>112</v>
      </c>
      <c r="B892" t="s">
        <v>158</v>
      </c>
    </row>
    <row r="893" spans="1:2" x14ac:dyDescent="0.3">
      <c r="A893" t="s">
        <v>112</v>
      </c>
      <c r="B893" t="s">
        <v>158</v>
      </c>
    </row>
    <row r="894" spans="1:2" x14ac:dyDescent="0.3">
      <c r="A894" t="s">
        <v>112</v>
      </c>
      <c r="B894" t="s">
        <v>158</v>
      </c>
    </row>
    <row r="895" spans="1:2" x14ac:dyDescent="0.3">
      <c r="A895" t="s">
        <v>112</v>
      </c>
      <c r="B895" t="s">
        <v>159</v>
      </c>
    </row>
    <row r="896" spans="1:2" x14ac:dyDescent="0.3">
      <c r="A896" t="s">
        <v>112</v>
      </c>
      <c r="B896" t="s">
        <v>159</v>
      </c>
    </row>
    <row r="897" spans="1:2" x14ac:dyDescent="0.3">
      <c r="A897" t="s">
        <v>112</v>
      </c>
      <c r="B897" t="s">
        <v>159</v>
      </c>
    </row>
    <row r="898" spans="1:2" x14ac:dyDescent="0.3">
      <c r="A898" t="s">
        <v>112</v>
      </c>
      <c r="B898" t="s">
        <v>159</v>
      </c>
    </row>
    <row r="899" spans="1:2" x14ac:dyDescent="0.3">
      <c r="A899" t="s">
        <v>112</v>
      </c>
      <c r="B899" t="s">
        <v>158</v>
      </c>
    </row>
    <row r="900" spans="1:2" x14ac:dyDescent="0.3">
      <c r="A900" t="s">
        <v>112</v>
      </c>
      <c r="B900" t="s">
        <v>159</v>
      </c>
    </row>
    <row r="901" spans="1:2" x14ac:dyDescent="0.3">
      <c r="A901" t="s">
        <v>112</v>
      </c>
      <c r="B901" t="s">
        <v>159</v>
      </c>
    </row>
    <row r="902" spans="1:2" x14ac:dyDescent="0.3">
      <c r="A902" t="s">
        <v>112</v>
      </c>
      <c r="B902" t="s">
        <v>159</v>
      </c>
    </row>
    <row r="903" spans="1:2" x14ac:dyDescent="0.3">
      <c r="A903" t="s">
        <v>112</v>
      </c>
      <c r="B903" t="s">
        <v>159</v>
      </c>
    </row>
    <row r="904" spans="1:2" x14ac:dyDescent="0.3">
      <c r="A904" t="s">
        <v>112</v>
      </c>
      <c r="B904" t="s">
        <v>158</v>
      </c>
    </row>
    <row r="905" spans="1:2" x14ac:dyDescent="0.3">
      <c r="A905" t="s">
        <v>112</v>
      </c>
      <c r="B905" t="s">
        <v>158</v>
      </c>
    </row>
    <row r="906" spans="1:2" x14ac:dyDescent="0.3">
      <c r="A906" t="s">
        <v>112</v>
      </c>
      <c r="B906" t="s">
        <v>159</v>
      </c>
    </row>
    <row r="907" spans="1:2" x14ac:dyDescent="0.3">
      <c r="A907" t="s">
        <v>112</v>
      </c>
      <c r="B907" t="s">
        <v>159</v>
      </c>
    </row>
    <row r="908" spans="1:2" x14ac:dyDescent="0.3">
      <c r="A908" t="s">
        <v>112</v>
      </c>
      <c r="B908" t="s">
        <v>159</v>
      </c>
    </row>
    <row r="909" spans="1:2" x14ac:dyDescent="0.3">
      <c r="A909" t="s">
        <v>112</v>
      </c>
      <c r="B909" t="s">
        <v>158</v>
      </c>
    </row>
    <row r="910" spans="1:2" x14ac:dyDescent="0.3">
      <c r="A910" t="s">
        <v>112</v>
      </c>
      <c r="B910" t="s">
        <v>158</v>
      </c>
    </row>
    <row r="911" spans="1:2" x14ac:dyDescent="0.3">
      <c r="A911" t="s">
        <v>112</v>
      </c>
      <c r="B911" t="s">
        <v>158</v>
      </c>
    </row>
    <row r="912" spans="1:2" x14ac:dyDescent="0.3">
      <c r="A912" t="s">
        <v>112</v>
      </c>
      <c r="B912" t="s">
        <v>159</v>
      </c>
    </row>
    <row r="913" spans="1:2" x14ac:dyDescent="0.3">
      <c r="A913" t="s">
        <v>112</v>
      </c>
      <c r="B913" t="s">
        <v>159</v>
      </c>
    </row>
    <row r="914" spans="1:2" x14ac:dyDescent="0.3">
      <c r="A914" t="s">
        <v>112</v>
      </c>
      <c r="B914" t="s">
        <v>159</v>
      </c>
    </row>
    <row r="915" spans="1:2" x14ac:dyDescent="0.3">
      <c r="A915" t="s">
        <v>112</v>
      </c>
      <c r="B915" t="s">
        <v>159</v>
      </c>
    </row>
    <row r="916" spans="1:2" x14ac:dyDescent="0.3">
      <c r="A916" t="s">
        <v>112</v>
      </c>
      <c r="B916" t="s">
        <v>159</v>
      </c>
    </row>
    <row r="917" spans="1:2" x14ac:dyDescent="0.3">
      <c r="A917" t="s">
        <v>112</v>
      </c>
      <c r="B917" t="s">
        <v>158</v>
      </c>
    </row>
    <row r="918" spans="1:2" x14ac:dyDescent="0.3">
      <c r="A918" t="s">
        <v>112</v>
      </c>
      <c r="B918" t="s">
        <v>158</v>
      </c>
    </row>
    <row r="919" spans="1:2" x14ac:dyDescent="0.3">
      <c r="A919" t="s">
        <v>112</v>
      </c>
      <c r="B919" t="s">
        <v>159</v>
      </c>
    </row>
    <row r="920" spans="1:2" x14ac:dyDescent="0.3">
      <c r="A920" t="s">
        <v>112</v>
      </c>
      <c r="B920" t="s">
        <v>159</v>
      </c>
    </row>
    <row r="921" spans="1:2" x14ac:dyDescent="0.3">
      <c r="A921" t="s">
        <v>112</v>
      </c>
      <c r="B921" t="s">
        <v>159</v>
      </c>
    </row>
    <row r="922" spans="1:2" x14ac:dyDescent="0.3">
      <c r="A922" t="s">
        <v>112</v>
      </c>
      <c r="B922" t="s">
        <v>158</v>
      </c>
    </row>
    <row r="923" spans="1:2" x14ac:dyDescent="0.3">
      <c r="A923" t="s">
        <v>112</v>
      </c>
      <c r="B923" t="s">
        <v>158</v>
      </c>
    </row>
    <row r="924" spans="1:2" x14ac:dyDescent="0.3">
      <c r="A924" t="s">
        <v>112</v>
      </c>
      <c r="B924" t="s">
        <v>159</v>
      </c>
    </row>
    <row r="925" spans="1:2" x14ac:dyDescent="0.3">
      <c r="A925" t="s">
        <v>112</v>
      </c>
      <c r="B925" t="s">
        <v>158</v>
      </c>
    </row>
    <row r="926" spans="1:2" x14ac:dyDescent="0.3">
      <c r="A926" t="s">
        <v>112</v>
      </c>
      <c r="B926" t="s">
        <v>159</v>
      </c>
    </row>
    <row r="927" spans="1:2" x14ac:dyDescent="0.3">
      <c r="A927" t="s">
        <v>112</v>
      </c>
      <c r="B927" t="s">
        <v>158</v>
      </c>
    </row>
    <row r="928" spans="1:2" x14ac:dyDescent="0.3">
      <c r="A928" t="s">
        <v>112</v>
      </c>
      <c r="B928" t="s">
        <v>158</v>
      </c>
    </row>
    <row r="929" spans="1:2" x14ac:dyDescent="0.3">
      <c r="A929" t="s">
        <v>112</v>
      </c>
      <c r="B929" t="s">
        <v>158</v>
      </c>
    </row>
    <row r="930" spans="1:2" x14ac:dyDescent="0.3">
      <c r="A930" t="s">
        <v>112</v>
      </c>
      <c r="B930" t="s">
        <v>159</v>
      </c>
    </row>
    <row r="931" spans="1:2" x14ac:dyDescent="0.3">
      <c r="A931" t="s">
        <v>112</v>
      </c>
      <c r="B931" t="s">
        <v>158</v>
      </c>
    </row>
    <row r="932" spans="1:2" x14ac:dyDescent="0.3">
      <c r="A932" t="s">
        <v>112</v>
      </c>
      <c r="B932" t="s">
        <v>158</v>
      </c>
    </row>
    <row r="933" spans="1:2" x14ac:dyDescent="0.3">
      <c r="A933" t="s">
        <v>112</v>
      </c>
      <c r="B933" t="s">
        <v>158</v>
      </c>
    </row>
    <row r="934" spans="1:2" x14ac:dyDescent="0.3">
      <c r="A934" t="s">
        <v>112</v>
      </c>
      <c r="B934" t="s">
        <v>158</v>
      </c>
    </row>
    <row r="935" spans="1:2" x14ac:dyDescent="0.3">
      <c r="A935" t="s">
        <v>112</v>
      </c>
      <c r="B935" t="s">
        <v>158</v>
      </c>
    </row>
    <row r="936" spans="1:2" x14ac:dyDescent="0.3">
      <c r="A936" t="s">
        <v>112</v>
      </c>
      <c r="B936" t="s">
        <v>159</v>
      </c>
    </row>
    <row r="937" spans="1:2" x14ac:dyDescent="0.3">
      <c r="A937" t="s">
        <v>112</v>
      </c>
      <c r="B937" t="s">
        <v>158</v>
      </c>
    </row>
    <row r="938" spans="1:2" x14ac:dyDescent="0.3">
      <c r="A938" t="s">
        <v>112</v>
      </c>
      <c r="B938" t="s">
        <v>158</v>
      </c>
    </row>
    <row r="939" spans="1:2" x14ac:dyDescent="0.3">
      <c r="A939" t="s">
        <v>112</v>
      </c>
      <c r="B939" t="s">
        <v>159</v>
      </c>
    </row>
    <row r="940" spans="1:2" x14ac:dyDescent="0.3">
      <c r="A940" t="s">
        <v>112</v>
      </c>
      <c r="B940" t="s">
        <v>158</v>
      </c>
    </row>
    <row r="941" spans="1:2" x14ac:dyDescent="0.3">
      <c r="A941" t="s">
        <v>112</v>
      </c>
      <c r="B941" t="s">
        <v>158</v>
      </c>
    </row>
    <row r="942" spans="1:2" x14ac:dyDescent="0.3">
      <c r="A942" t="s">
        <v>112</v>
      </c>
      <c r="B942" t="s">
        <v>158</v>
      </c>
    </row>
    <row r="943" spans="1:2" x14ac:dyDescent="0.3">
      <c r="A943" t="s">
        <v>112</v>
      </c>
      <c r="B943" t="s">
        <v>159</v>
      </c>
    </row>
    <row r="944" spans="1:2" x14ac:dyDescent="0.3">
      <c r="A944" t="s">
        <v>112</v>
      </c>
      <c r="B944" t="s">
        <v>158</v>
      </c>
    </row>
    <row r="945" spans="1:2" x14ac:dyDescent="0.3">
      <c r="A945" t="s">
        <v>112</v>
      </c>
      <c r="B945" t="s">
        <v>158</v>
      </c>
    </row>
    <row r="946" spans="1:2" x14ac:dyDescent="0.3">
      <c r="A946" t="s">
        <v>112</v>
      </c>
      <c r="B946" t="s">
        <v>158</v>
      </c>
    </row>
    <row r="947" spans="1:2" x14ac:dyDescent="0.3">
      <c r="A947" t="s">
        <v>112</v>
      </c>
      <c r="B947" t="s">
        <v>159</v>
      </c>
    </row>
    <row r="948" spans="1:2" x14ac:dyDescent="0.3">
      <c r="A948" t="s">
        <v>112</v>
      </c>
      <c r="B948" t="s">
        <v>159</v>
      </c>
    </row>
    <row r="949" spans="1:2" x14ac:dyDescent="0.3">
      <c r="A949" t="s">
        <v>112</v>
      </c>
      <c r="B949" t="s">
        <v>158</v>
      </c>
    </row>
    <row r="950" spans="1:2" x14ac:dyDescent="0.3">
      <c r="A950" t="s">
        <v>112</v>
      </c>
      <c r="B950" t="s">
        <v>159</v>
      </c>
    </row>
    <row r="951" spans="1:2" x14ac:dyDescent="0.3">
      <c r="A951" t="s">
        <v>112</v>
      </c>
      <c r="B951" t="s">
        <v>159</v>
      </c>
    </row>
    <row r="952" spans="1:2" x14ac:dyDescent="0.3">
      <c r="A952" t="s">
        <v>112</v>
      </c>
      <c r="B952" t="s">
        <v>159</v>
      </c>
    </row>
    <row r="953" spans="1:2" x14ac:dyDescent="0.3">
      <c r="A953" t="s">
        <v>112</v>
      </c>
      <c r="B953" t="s">
        <v>158</v>
      </c>
    </row>
    <row r="954" spans="1:2" x14ac:dyDescent="0.3">
      <c r="A954" t="s">
        <v>112</v>
      </c>
      <c r="B954" t="s">
        <v>158</v>
      </c>
    </row>
    <row r="955" spans="1:2" x14ac:dyDescent="0.3">
      <c r="A955" t="s">
        <v>112</v>
      </c>
      <c r="B955" t="s">
        <v>159</v>
      </c>
    </row>
    <row r="956" spans="1:2" x14ac:dyDescent="0.3">
      <c r="A956" t="s">
        <v>112</v>
      </c>
      <c r="B956" t="s">
        <v>159</v>
      </c>
    </row>
    <row r="957" spans="1:2" x14ac:dyDescent="0.3">
      <c r="A957" t="s">
        <v>112</v>
      </c>
      <c r="B957" t="s">
        <v>159</v>
      </c>
    </row>
    <row r="958" spans="1:2" x14ac:dyDescent="0.3">
      <c r="A958" t="s">
        <v>112</v>
      </c>
      <c r="B958" t="s">
        <v>159</v>
      </c>
    </row>
    <row r="959" spans="1:2" x14ac:dyDescent="0.3">
      <c r="A959" t="s">
        <v>112</v>
      </c>
      <c r="B959" t="s">
        <v>158</v>
      </c>
    </row>
    <row r="960" spans="1:2" x14ac:dyDescent="0.3">
      <c r="A960" t="s">
        <v>112</v>
      </c>
      <c r="B960" t="s">
        <v>158</v>
      </c>
    </row>
    <row r="961" spans="1:2" x14ac:dyDescent="0.3">
      <c r="A961" t="s">
        <v>112</v>
      </c>
      <c r="B961" t="s">
        <v>159</v>
      </c>
    </row>
    <row r="962" spans="1:2" x14ac:dyDescent="0.3">
      <c r="A962" t="s">
        <v>112</v>
      </c>
      <c r="B962" t="s">
        <v>159</v>
      </c>
    </row>
    <row r="963" spans="1:2" x14ac:dyDescent="0.3">
      <c r="A963" t="s">
        <v>112</v>
      </c>
      <c r="B963" t="s">
        <v>158</v>
      </c>
    </row>
    <row r="964" spans="1:2" x14ac:dyDescent="0.3">
      <c r="A964" t="s">
        <v>112</v>
      </c>
      <c r="B964" t="s">
        <v>158</v>
      </c>
    </row>
    <row r="965" spans="1:2" x14ac:dyDescent="0.3">
      <c r="A965" t="s">
        <v>112</v>
      </c>
      <c r="B965" t="s">
        <v>158</v>
      </c>
    </row>
    <row r="966" spans="1:2" x14ac:dyDescent="0.3">
      <c r="A966" t="s">
        <v>112</v>
      </c>
      <c r="B966" t="s">
        <v>158</v>
      </c>
    </row>
    <row r="967" spans="1:2" x14ac:dyDescent="0.3">
      <c r="A967" t="s">
        <v>112</v>
      </c>
      <c r="B967" t="s">
        <v>158</v>
      </c>
    </row>
    <row r="968" spans="1:2" x14ac:dyDescent="0.3">
      <c r="A968" t="s">
        <v>112</v>
      </c>
      <c r="B968" t="s">
        <v>158</v>
      </c>
    </row>
    <row r="969" spans="1:2" x14ac:dyDescent="0.3">
      <c r="A969" t="s">
        <v>112</v>
      </c>
      <c r="B969" t="s">
        <v>158</v>
      </c>
    </row>
    <row r="970" spans="1:2" x14ac:dyDescent="0.3">
      <c r="A970" t="s">
        <v>112</v>
      </c>
      <c r="B970" t="s">
        <v>158</v>
      </c>
    </row>
    <row r="971" spans="1:2" x14ac:dyDescent="0.3">
      <c r="A971" t="s">
        <v>112</v>
      </c>
      <c r="B971" t="s">
        <v>159</v>
      </c>
    </row>
    <row r="972" spans="1:2" x14ac:dyDescent="0.3">
      <c r="A972" t="s">
        <v>112</v>
      </c>
      <c r="B972" t="s">
        <v>159</v>
      </c>
    </row>
    <row r="973" spans="1:2" x14ac:dyDescent="0.3">
      <c r="A973" t="s">
        <v>112</v>
      </c>
      <c r="B973" t="s">
        <v>158</v>
      </c>
    </row>
    <row r="974" spans="1:2" x14ac:dyDescent="0.3">
      <c r="A974" t="s">
        <v>112</v>
      </c>
      <c r="B974" t="s">
        <v>158</v>
      </c>
    </row>
    <row r="975" spans="1:2" x14ac:dyDescent="0.3">
      <c r="A975" t="s">
        <v>112</v>
      </c>
      <c r="B975" t="s">
        <v>159</v>
      </c>
    </row>
    <row r="976" spans="1:2" x14ac:dyDescent="0.3">
      <c r="A976" t="s">
        <v>112</v>
      </c>
      <c r="B976" t="s">
        <v>158</v>
      </c>
    </row>
    <row r="977" spans="1:2" x14ac:dyDescent="0.3">
      <c r="A977" t="s">
        <v>112</v>
      </c>
      <c r="B977" t="s">
        <v>158</v>
      </c>
    </row>
    <row r="978" spans="1:2" x14ac:dyDescent="0.3">
      <c r="A978" t="s">
        <v>112</v>
      </c>
      <c r="B978" t="s">
        <v>158</v>
      </c>
    </row>
    <row r="979" spans="1:2" x14ac:dyDescent="0.3">
      <c r="A979" t="s">
        <v>112</v>
      </c>
      <c r="B979" t="s">
        <v>159</v>
      </c>
    </row>
    <row r="980" spans="1:2" x14ac:dyDescent="0.3">
      <c r="A980" t="s">
        <v>112</v>
      </c>
      <c r="B980" t="s">
        <v>158</v>
      </c>
    </row>
    <row r="981" spans="1:2" x14ac:dyDescent="0.3">
      <c r="A981" t="s">
        <v>112</v>
      </c>
      <c r="B981" t="s">
        <v>158</v>
      </c>
    </row>
    <row r="982" spans="1:2" x14ac:dyDescent="0.3">
      <c r="A982" t="s">
        <v>112</v>
      </c>
      <c r="B982" t="s">
        <v>158</v>
      </c>
    </row>
    <row r="983" spans="1:2" x14ac:dyDescent="0.3">
      <c r="A983" t="s">
        <v>112</v>
      </c>
      <c r="B983" t="s">
        <v>158</v>
      </c>
    </row>
    <row r="984" spans="1:2" x14ac:dyDescent="0.3">
      <c r="A984" t="s">
        <v>112</v>
      </c>
      <c r="B984" t="s">
        <v>159</v>
      </c>
    </row>
    <row r="985" spans="1:2" x14ac:dyDescent="0.3">
      <c r="A985" t="s">
        <v>112</v>
      </c>
      <c r="B985" t="s">
        <v>159</v>
      </c>
    </row>
    <row r="986" spans="1:2" x14ac:dyDescent="0.3">
      <c r="A986" t="s">
        <v>112</v>
      </c>
      <c r="B986" t="s">
        <v>159</v>
      </c>
    </row>
    <row r="987" spans="1:2" x14ac:dyDescent="0.3">
      <c r="A987" t="s">
        <v>112</v>
      </c>
      <c r="B987" t="s">
        <v>158</v>
      </c>
    </row>
    <row r="988" spans="1:2" x14ac:dyDescent="0.3">
      <c r="A988" t="s">
        <v>112</v>
      </c>
      <c r="B988" t="s">
        <v>158</v>
      </c>
    </row>
    <row r="989" spans="1:2" x14ac:dyDescent="0.3">
      <c r="A989" t="s">
        <v>112</v>
      </c>
      <c r="B989" t="s">
        <v>158</v>
      </c>
    </row>
    <row r="990" spans="1:2" x14ac:dyDescent="0.3">
      <c r="A990" t="s">
        <v>112</v>
      </c>
      <c r="B990" t="s">
        <v>158</v>
      </c>
    </row>
    <row r="991" spans="1:2" x14ac:dyDescent="0.3">
      <c r="A991" t="s">
        <v>112</v>
      </c>
      <c r="B991" t="s">
        <v>159</v>
      </c>
    </row>
    <row r="992" spans="1:2" x14ac:dyDescent="0.3">
      <c r="A992" t="s">
        <v>112</v>
      </c>
      <c r="B992" t="s">
        <v>159</v>
      </c>
    </row>
    <row r="993" spans="1:2" x14ac:dyDescent="0.3">
      <c r="A993" t="s">
        <v>112</v>
      </c>
      <c r="B993" t="s">
        <v>159</v>
      </c>
    </row>
    <row r="994" spans="1:2" x14ac:dyDescent="0.3">
      <c r="A994" t="s">
        <v>112</v>
      </c>
      <c r="B994" t="s">
        <v>158</v>
      </c>
    </row>
    <row r="995" spans="1:2" x14ac:dyDescent="0.3">
      <c r="A995" t="s">
        <v>112</v>
      </c>
      <c r="B995" t="s">
        <v>159</v>
      </c>
    </row>
    <row r="996" spans="1:2" x14ac:dyDescent="0.3">
      <c r="A996" t="s">
        <v>112</v>
      </c>
      <c r="B996" t="s">
        <v>158</v>
      </c>
    </row>
    <row r="997" spans="1:2" x14ac:dyDescent="0.3">
      <c r="A997" t="s">
        <v>112</v>
      </c>
      <c r="B997" t="s">
        <v>158</v>
      </c>
    </row>
    <row r="998" spans="1:2" x14ac:dyDescent="0.3">
      <c r="A998" t="s">
        <v>112</v>
      </c>
      <c r="B998" t="s">
        <v>158</v>
      </c>
    </row>
    <row r="999" spans="1:2" x14ac:dyDescent="0.3">
      <c r="A999" t="s">
        <v>112</v>
      </c>
      <c r="B999" t="s">
        <v>158</v>
      </c>
    </row>
    <row r="1000" spans="1:2" x14ac:dyDescent="0.3">
      <c r="A1000" t="s">
        <v>112</v>
      </c>
      <c r="B1000" t="s">
        <v>158</v>
      </c>
    </row>
    <row r="1001" spans="1:2" x14ac:dyDescent="0.3">
      <c r="A1001" t="s">
        <v>112</v>
      </c>
      <c r="B1001" t="s">
        <v>158</v>
      </c>
    </row>
    <row r="1002" spans="1:2" x14ac:dyDescent="0.3">
      <c r="A1002" t="s">
        <v>112</v>
      </c>
      <c r="B1002" t="s">
        <v>158</v>
      </c>
    </row>
    <row r="1003" spans="1:2" x14ac:dyDescent="0.3">
      <c r="A1003" t="s">
        <v>112</v>
      </c>
      <c r="B1003" t="s">
        <v>158</v>
      </c>
    </row>
    <row r="1004" spans="1:2" x14ac:dyDescent="0.3">
      <c r="A1004" t="s">
        <v>112</v>
      </c>
      <c r="B1004" t="s">
        <v>158</v>
      </c>
    </row>
    <row r="1005" spans="1:2" x14ac:dyDescent="0.3">
      <c r="A1005" t="s">
        <v>112</v>
      </c>
      <c r="B1005" t="s">
        <v>159</v>
      </c>
    </row>
    <row r="1006" spans="1:2" x14ac:dyDescent="0.3">
      <c r="A1006" t="s">
        <v>112</v>
      </c>
      <c r="B1006" t="s">
        <v>158</v>
      </c>
    </row>
    <row r="1007" spans="1:2" x14ac:dyDescent="0.3">
      <c r="A1007" t="s">
        <v>112</v>
      </c>
      <c r="B1007" t="s">
        <v>158</v>
      </c>
    </row>
    <row r="1008" spans="1:2" x14ac:dyDescent="0.3">
      <c r="A1008" t="s">
        <v>112</v>
      </c>
      <c r="B1008" t="s">
        <v>158</v>
      </c>
    </row>
    <row r="1009" spans="1:2" x14ac:dyDescent="0.3">
      <c r="A1009" t="s">
        <v>112</v>
      </c>
      <c r="B1009" t="s">
        <v>158</v>
      </c>
    </row>
    <row r="1010" spans="1:2" x14ac:dyDescent="0.3">
      <c r="A1010" t="s">
        <v>112</v>
      </c>
      <c r="B1010" t="s">
        <v>159</v>
      </c>
    </row>
    <row r="1011" spans="1:2" x14ac:dyDescent="0.3">
      <c r="A1011" t="s">
        <v>112</v>
      </c>
      <c r="B1011" t="s">
        <v>159</v>
      </c>
    </row>
    <row r="1012" spans="1:2" x14ac:dyDescent="0.3">
      <c r="A1012" t="s">
        <v>112</v>
      </c>
      <c r="B1012" t="s">
        <v>158</v>
      </c>
    </row>
    <row r="1013" spans="1:2" x14ac:dyDescent="0.3">
      <c r="A1013" t="s">
        <v>112</v>
      </c>
      <c r="B1013" t="s">
        <v>158</v>
      </c>
    </row>
    <row r="1014" spans="1:2" x14ac:dyDescent="0.3">
      <c r="A1014" t="s">
        <v>112</v>
      </c>
      <c r="B1014" t="s">
        <v>158</v>
      </c>
    </row>
    <row r="1015" spans="1:2" x14ac:dyDescent="0.3">
      <c r="A1015" t="s">
        <v>113</v>
      </c>
      <c r="B1015" t="s">
        <v>159</v>
      </c>
    </row>
    <row r="1016" spans="1:2" x14ac:dyDescent="0.3">
      <c r="A1016" t="s">
        <v>113</v>
      </c>
      <c r="B1016" t="s">
        <v>159</v>
      </c>
    </row>
    <row r="1017" spans="1:2" x14ac:dyDescent="0.3">
      <c r="A1017" t="s">
        <v>113</v>
      </c>
      <c r="B1017" t="s">
        <v>159</v>
      </c>
    </row>
    <row r="1018" spans="1:2" x14ac:dyDescent="0.3">
      <c r="A1018" t="s">
        <v>113</v>
      </c>
      <c r="B1018" t="s">
        <v>159</v>
      </c>
    </row>
    <row r="1019" spans="1:2" x14ac:dyDescent="0.3">
      <c r="A1019" t="s">
        <v>113</v>
      </c>
      <c r="B1019" t="s">
        <v>159</v>
      </c>
    </row>
    <row r="1020" spans="1:2" x14ac:dyDescent="0.3">
      <c r="A1020" t="s">
        <v>113</v>
      </c>
      <c r="B1020" t="s">
        <v>159</v>
      </c>
    </row>
    <row r="1021" spans="1:2" x14ac:dyDescent="0.3">
      <c r="A1021" t="s">
        <v>113</v>
      </c>
      <c r="B1021" t="s">
        <v>159</v>
      </c>
    </row>
    <row r="1022" spans="1:2" x14ac:dyDescent="0.3">
      <c r="A1022" t="s">
        <v>113</v>
      </c>
      <c r="B1022" t="s">
        <v>159</v>
      </c>
    </row>
    <row r="1023" spans="1:2" x14ac:dyDescent="0.3">
      <c r="A1023" t="s">
        <v>113</v>
      </c>
      <c r="B1023" t="s">
        <v>159</v>
      </c>
    </row>
    <row r="1024" spans="1:2" x14ac:dyDescent="0.3">
      <c r="A1024" t="s">
        <v>113</v>
      </c>
      <c r="B1024" t="s">
        <v>159</v>
      </c>
    </row>
    <row r="1025" spans="1:2" x14ac:dyDescent="0.3">
      <c r="A1025" t="s">
        <v>113</v>
      </c>
      <c r="B1025" t="s">
        <v>159</v>
      </c>
    </row>
    <row r="1026" spans="1:2" x14ac:dyDescent="0.3">
      <c r="A1026" t="s">
        <v>113</v>
      </c>
      <c r="B1026" t="s">
        <v>159</v>
      </c>
    </row>
    <row r="1027" spans="1:2" x14ac:dyDescent="0.3">
      <c r="A1027" t="s">
        <v>113</v>
      </c>
      <c r="B1027" t="s">
        <v>159</v>
      </c>
    </row>
    <row r="1028" spans="1:2" x14ac:dyDescent="0.3">
      <c r="A1028" t="s">
        <v>113</v>
      </c>
      <c r="B1028" t="s">
        <v>159</v>
      </c>
    </row>
    <row r="1029" spans="1:2" x14ac:dyDescent="0.3">
      <c r="A1029" t="s">
        <v>113</v>
      </c>
      <c r="B1029" t="s">
        <v>159</v>
      </c>
    </row>
    <row r="1030" spans="1:2" x14ac:dyDescent="0.3">
      <c r="A1030" t="s">
        <v>113</v>
      </c>
      <c r="B1030" t="s">
        <v>159</v>
      </c>
    </row>
    <row r="1031" spans="1:2" x14ac:dyDescent="0.3">
      <c r="A1031" t="s">
        <v>113</v>
      </c>
      <c r="B1031" t="s">
        <v>159</v>
      </c>
    </row>
    <row r="1032" spans="1:2" x14ac:dyDescent="0.3">
      <c r="A1032" t="s">
        <v>113</v>
      </c>
      <c r="B1032" t="s">
        <v>159</v>
      </c>
    </row>
    <row r="1033" spans="1:2" x14ac:dyDescent="0.3">
      <c r="A1033" t="s">
        <v>113</v>
      </c>
      <c r="B1033" t="s">
        <v>159</v>
      </c>
    </row>
    <row r="1034" spans="1:2" x14ac:dyDescent="0.3">
      <c r="A1034" t="s">
        <v>113</v>
      </c>
      <c r="B1034" t="s">
        <v>159</v>
      </c>
    </row>
    <row r="1035" spans="1:2" x14ac:dyDescent="0.3">
      <c r="A1035" t="s">
        <v>113</v>
      </c>
      <c r="B1035" t="s">
        <v>159</v>
      </c>
    </row>
    <row r="1036" spans="1:2" x14ac:dyDescent="0.3">
      <c r="A1036" t="s">
        <v>113</v>
      </c>
      <c r="B1036" t="s">
        <v>159</v>
      </c>
    </row>
    <row r="1037" spans="1:2" x14ac:dyDescent="0.3">
      <c r="A1037" t="s">
        <v>113</v>
      </c>
      <c r="B1037" t="s">
        <v>159</v>
      </c>
    </row>
    <row r="1038" spans="1:2" x14ac:dyDescent="0.3">
      <c r="A1038" t="s">
        <v>113</v>
      </c>
      <c r="B1038" t="s">
        <v>159</v>
      </c>
    </row>
    <row r="1039" spans="1:2" x14ac:dyDescent="0.3">
      <c r="A1039" t="s">
        <v>113</v>
      </c>
      <c r="B1039" t="s">
        <v>159</v>
      </c>
    </row>
    <row r="1040" spans="1:2" x14ac:dyDescent="0.3">
      <c r="A1040" t="s">
        <v>113</v>
      </c>
      <c r="B1040" t="s">
        <v>159</v>
      </c>
    </row>
    <row r="1041" spans="1:2" x14ac:dyDescent="0.3">
      <c r="A1041" t="s">
        <v>113</v>
      </c>
      <c r="B1041" t="s">
        <v>159</v>
      </c>
    </row>
    <row r="1042" spans="1:2" x14ac:dyDescent="0.3">
      <c r="A1042" t="s">
        <v>113</v>
      </c>
      <c r="B1042" t="s">
        <v>159</v>
      </c>
    </row>
    <row r="1043" spans="1:2" x14ac:dyDescent="0.3">
      <c r="A1043" t="s">
        <v>113</v>
      </c>
      <c r="B1043" t="s">
        <v>159</v>
      </c>
    </row>
    <row r="1044" spans="1:2" x14ac:dyDescent="0.3">
      <c r="A1044" t="s">
        <v>113</v>
      </c>
      <c r="B1044" t="s">
        <v>159</v>
      </c>
    </row>
    <row r="1045" spans="1:2" x14ac:dyDescent="0.3">
      <c r="A1045" t="s">
        <v>113</v>
      </c>
      <c r="B1045" t="s">
        <v>159</v>
      </c>
    </row>
    <row r="1046" spans="1:2" x14ac:dyDescent="0.3">
      <c r="A1046" t="s">
        <v>113</v>
      </c>
      <c r="B1046" t="s">
        <v>159</v>
      </c>
    </row>
    <row r="1047" spans="1:2" x14ac:dyDescent="0.3">
      <c r="A1047" t="s">
        <v>113</v>
      </c>
      <c r="B1047" t="s">
        <v>159</v>
      </c>
    </row>
    <row r="1048" spans="1:2" x14ac:dyDescent="0.3">
      <c r="A1048" t="s">
        <v>113</v>
      </c>
      <c r="B1048" t="s">
        <v>159</v>
      </c>
    </row>
    <row r="1049" spans="1:2" x14ac:dyDescent="0.3">
      <c r="A1049" t="s">
        <v>113</v>
      </c>
      <c r="B1049" t="s">
        <v>159</v>
      </c>
    </row>
    <row r="1050" spans="1:2" x14ac:dyDescent="0.3">
      <c r="A1050" t="s">
        <v>113</v>
      </c>
      <c r="B1050" t="s">
        <v>159</v>
      </c>
    </row>
    <row r="1051" spans="1:2" x14ac:dyDescent="0.3">
      <c r="A1051" t="s">
        <v>113</v>
      </c>
      <c r="B1051" t="s">
        <v>159</v>
      </c>
    </row>
    <row r="1052" spans="1:2" x14ac:dyDescent="0.3">
      <c r="A1052" t="s">
        <v>113</v>
      </c>
      <c r="B1052" t="s">
        <v>159</v>
      </c>
    </row>
    <row r="1053" spans="1:2" x14ac:dyDescent="0.3">
      <c r="A1053" t="s">
        <v>113</v>
      </c>
      <c r="B1053" t="s">
        <v>159</v>
      </c>
    </row>
    <row r="1054" spans="1:2" x14ac:dyDescent="0.3">
      <c r="A1054" t="s">
        <v>113</v>
      </c>
      <c r="B1054" t="s">
        <v>159</v>
      </c>
    </row>
    <row r="1055" spans="1:2" x14ac:dyDescent="0.3">
      <c r="A1055" t="s">
        <v>113</v>
      </c>
      <c r="B1055" t="s">
        <v>159</v>
      </c>
    </row>
    <row r="1056" spans="1:2" x14ac:dyDescent="0.3">
      <c r="A1056" t="s">
        <v>113</v>
      </c>
      <c r="B1056" t="s">
        <v>159</v>
      </c>
    </row>
    <row r="1057" spans="1:2" x14ac:dyDescent="0.3">
      <c r="A1057" t="s">
        <v>113</v>
      </c>
      <c r="B1057" t="s">
        <v>159</v>
      </c>
    </row>
    <row r="1058" spans="1:2" x14ac:dyDescent="0.3">
      <c r="A1058" t="s">
        <v>113</v>
      </c>
      <c r="B1058" t="s">
        <v>159</v>
      </c>
    </row>
    <row r="1059" spans="1:2" x14ac:dyDescent="0.3">
      <c r="A1059" t="s">
        <v>113</v>
      </c>
      <c r="B1059" t="s">
        <v>159</v>
      </c>
    </row>
    <row r="1060" spans="1:2" x14ac:dyDescent="0.3">
      <c r="A1060" t="s">
        <v>113</v>
      </c>
      <c r="B1060" t="s">
        <v>159</v>
      </c>
    </row>
    <row r="1061" spans="1:2" x14ac:dyDescent="0.3">
      <c r="A1061" t="s">
        <v>113</v>
      </c>
      <c r="B1061" t="s">
        <v>159</v>
      </c>
    </row>
    <row r="1062" spans="1:2" x14ac:dyDescent="0.3">
      <c r="A1062" t="s">
        <v>113</v>
      </c>
      <c r="B1062" t="s">
        <v>159</v>
      </c>
    </row>
    <row r="1063" spans="1:2" x14ac:dyDescent="0.3">
      <c r="A1063" t="s">
        <v>113</v>
      </c>
      <c r="B1063" t="s">
        <v>159</v>
      </c>
    </row>
    <row r="1064" spans="1:2" x14ac:dyDescent="0.3">
      <c r="A1064" t="s">
        <v>113</v>
      </c>
      <c r="B1064" t="s">
        <v>159</v>
      </c>
    </row>
    <row r="1065" spans="1:2" x14ac:dyDescent="0.3">
      <c r="A1065" t="s">
        <v>113</v>
      </c>
      <c r="B1065" t="s">
        <v>159</v>
      </c>
    </row>
    <row r="1066" spans="1:2" x14ac:dyDescent="0.3">
      <c r="A1066" t="s">
        <v>113</v>
      </c>
      <c r="B1066" t="s">
        <v>159</v>
      </c>
    </row>
    <row r="1067" spans="1:2" x14ac:dyDescent="0.3">
      <c r="A1067" t="s">
        <v>113</v>
      </c>
      <c r="B1067" t="s">
        <v>159</v>
      </c>
    </row>
    <row r="1068" spans="1:2" x14ac:dyDescent="0.3">
      <c r="A1068" t="s">
        <v>113</v>
      </c>
      <c r="B1068" t="s">
        <v>159</v>
      </c>
    </row>
    <row r="1069" spans="1:2" x14ac:dyDescent="0.3">
      <c r="A1069" t="s">
        <v>113</v>
      </c>
      <c r="B1069" t="s">
        <v>159</v>
      </c>
    </row>
    <row r="1070" spans="1:2" x14ac:dyDescent="0.3">
      <c r="A1070" t="s">
        <v>113</v>
      </c>
      <c r="B1070" t="s">
        <v>159</v>
      </c>
    </row>
    <row r="1071" spans="1:2" x14ac:dyDescent="0.3">
      <c r="A1071" t="s">
        <v>113</v>
      </c>
      <c r="B1071" t="s">
        <v>159</v>
      </c>
    </row>
    <row r="1072" spans="1:2" x14ac:dyDescent="0.3">
      <c r="A1072" t="s">
        <v>113</v>
      </c>
      <c r="B1072" t="s">
        <v>159</v>
      </c>
    </row>
    <row r="1073" spans="1:2" x14ac:dyDescent="0.3">
      <c r="A1073" t="s">
        <v>113</v>
      </c>
      <c r="B1073" t="s">
        <v>159</v>
      </c>
    </row>
    <row r="1074" spans="1:2" x14ac:dyDescent="0.3">
      <c r="A1074" t="s">
        <v>113</v>
      </c>
      <c r="B1074" t="s">
        <v>159</v>
      </c>
    </row>
    <row r="1075" spans="1:2" x14ac:dyDescent="0.3">
      <c r="A1075" t="s">
        <v>113</v>
      </c>
      <c r="B1075" t="s">
        <v>159</v>
      </c>
    </row>
    <row r="1076" spans="1:2" x14ac:dyDescent="0.3">
      <c r="A1076" t="s">
        <v>113</v>
      </c>
      <c r="B1076" t="s">
        <v>159</v>
      </c>
    </row>
    <row r="1077" spans="1:2" x14ac:dyDescent="0.3">
      <c r="A1077" t="s">
        <v>113</v>
      </c>
      <c r="B1077" t="s">
        <v>159</v>
      </c>
    </row>
    <row r="1078" spans="1:2" x14ac:dyDescent="0.3">
      <c r="A1078" t="s">
        <v>113</v>
      </c>
      <c r="B1078" t="s">
        <v>159</v>
      </c>
    </row>
    <row r="1079" spans="1:2" x14ac:dyDescent="0.3">
      <c r="A1079" t="s">
        <v>113</v>
      </c>
      <c r="B1079" t="s">
        <v>159</v>
      </c>
    </row>
    <row r="1080" spans="1:2" x14ac:dyDescent="0.3">
      <c r="A1080" t="s">
        <v>113</v>
      </c>
      <c r="B1080" t="s">
        <v>159</v>
      </c>
    </row>
    <row r="1081" spans="1:2" x14ac:dyDescent="0.3">
      <c r="A1081" t="s">
        <v>113</v>
      </c>
      <c r="B1081" t="s">
        <v>159</v>
      </c>
    </row>
    <row r="1082" spans="1:2" x14ac:dyDescent="0.3">
      <c r="A1082" t="s">
        <v>113</v>
      </c>
      <c r="B1082" t="s">
        <v>159</v>
      </c>
    </row>
    <row r="1083" spans="1:2" x14ac:dyDescent="0.3">
      <c r="A1083" t="s">
        <v>113</v>
      </c>
      <c r="B1083" t="s">
        <v>159</v>
      </c>
    </row>
    <row r="1084" spans="1:2" x14ac:dyDescent="0.3">
      <c r="A1084" t="s">
        <v>113</v>
      </c>
      <c r="B1084" t="s">
        <v>159</v>
      </c>
    </row>
    <row r="1085" spans="1:2" x14ac:dyDescent="0.3">
      <c r="A1085" t="s">
        <v>113</v>
      </c>
      <c r="B1085" t="s">
        <v>159</v>
      </c>
    </row>
    <row r="1086" spans="1:2" x14ac:dyDescent="0.3">
      <c r="A1086" t="s">
        <v>113</v>
      </c>
      <c r="B1086" t="s">
        <v>159</v>
      </c>
    </row>
    <row r="1087" spans="1:2" x14ac:dyDescent="0.3">
      <c r="A1087" t="s">
        <v>113</v>
      </c>
      <c r="B1087" t="s">
        <v>159</v>
      </c>
    </row>
    <row r="1088" spans="1:2" x14ac:dyDescent="0.3">
      <c r="A1088" t="s">
        <v>113</v>
      </c>
      <c r="B1088" t="s">
        <v>159</v>
      </c>
    </row>
    <row r="1089" spans="1:2" x14ac:dyDescent="0.3">
      <c r="A1089" t="s">
        <v>113</v>
      </c>
      <c r="B1089" t="s">
        <v>159</v>
      </c>
    </row>
    <row r="1090" spans="1:2" x14ac:dyDescent="0.3">
      <c r="A1090" t="s">
        <v>113</v>
      </c>
      <c r="B1090" t="s">
        <v>159</v>
      </c>
    </row>
    <row r="1091" spans="1:2" x14ac:dyDescent="0.3">
      <c r="A1091" t="s">
        <v>113</v>
      </c>
      <c r="B1091" t="s">
        <v>159</v>
      </c>
    </row>
    <row r="1092" spans="1:2" x14ac:dyDescent="0.3">
      <c r="A1092" t="s">
        <v>113</v>
      </c>
      <c r="B1092" t="s">
        <v>159</v>
      </c>
    </row>
    <row r="1093" spans="1:2" x14ac:dyDescent="0.3">
      <c r="A1093" t="s">
        <v>113</v>
      </c>
      <c r="B1093" t="s">
        <v>159</v>
      </c>
    </row>
    <row r="1094" spans="1:2" x14ac:dyDescent="0.3">
      <c r="A1094" t="s">
        <v>113</v>
      </c>
      <c r="B1094" t="s">
        <v>159</v>
      </c>
    </row>
    <row r="1095" spans="1:2" x14ac:dyDescent="0.3">
      <c r="A1095" t="s">
        <v>113</v>
      </c>
      <c r="B1095" t="s">
        <v>159</v>
      </c>
    </row>
    <row r="1096" spans="1:2" x14ac:dyDescent="0.3">
      <c r="A1096" t="s">
        <v>113</v>
      </c>
      <c r="B1096" t="s">
        <v>159</v>
      </c>
    </row>
    <row r="1097" spans="1:2" x14ac:dyDescent="0.3">
      <c r="A1097" t="s">
        <v>113</v>
      </c>
      <c r="B1097" t="s">
        <v>159</v>
      </c>
    </row>
    <row r="1098" spans="1:2" x14ac:dyDescent="0.3">
      <c r="A1098" t="s">
        <v>113</v>
      </c>
      <c r="B1098" t="s">
        <v>159</v>
      </c>
    </row>
    <row r="1099" spans="1:2" x14ac:dyDescent="0.3">
      <c r="A1099" t="s">
        <v>113</v>
      </c>
      <c r="B1099" t="s">
        <v>159</v>
      </c>
    </row>
    <row r="1100" spans="1:2" x14ac:dyDescent="0.3">
      <c r="A1100" t="s">
        <v>113</v>
      </c>
      <c r="B1100" t="s">
        <v>159</v>
      </c>
    </row>
    <row r="1101" spans="1:2" x14ac:dyDescent="0.3">
      <c r="A1101" t="s">
        <v>113</v>
      </c>
      <c r="B1101" t="s">
        <v>159</v>
      </c>
    </row>
    <row r="1102" spans="1:2" x14ac:dyDescent="0.3">
      <c r="A1102" t="s">
        <v>113</v>
      </c>
      <c r="B1102" t="s">
        <v>159</v>
      </c>
    </row>
    <row r="1103" spans="1:2" x14ac:dyDescent="0.3">
      <c r="A1103" t="s">
        <v>113</v>
      </c>
      <c r="B1103" t="s">
        <v>159</v>
      </c>
    </row>
    <row r="1104" spans="1:2" x14ac:dyDescent="0.3">
      <c r="A1104" t="s">
        <v>113</v>
      </c>
      <c r="B1104" t="s">
        <v>159</v>
      </c>
    </row>
    <row r="1105" spans="1:2" x14ac:dyDescent="0.3">
      <c r="A1105" t="s">
        <v>113</v>
      </c>
      <c r="B1105" t="s">
        <v>159</v>
      </c>
    </row>
    <row r="1106" spans="1:2" x14ac:dyDescent="0.3">
      <c r="A1106" t="s">
        <v>113</v>
      </c>
      <c r="B1106" t="s">
        <v>159</v>
      </c>
    </row>
    <row r="1107" spans="1:2" x14ac:dyDescent="0.3">
      <c r="A1107" t="s">
        <v>113</v>
      </c>
      <c r="B1107" t="s">
        <v>159</v>
      </c>
    </row>
    <row r="1108" spans="1:2" x14ac:dyDescent="0.3">
      <c r="A1108" t="s">
        <v>113</v>
      </c>
      <c r="B1108" t="s">
        <v>159</v>
      </c>
    </row>
    <row r="1109" spans="1:2" x14ac:dyDescent="0.3">
      <c r="A1109" t="s">
        <v>113</v>
      </c>
      <c r="B1109" t="s">
        <v>159</v>
      </c>
    </row>
    <row r="1110" spans="1:2" x14ac:dyDescent="0.3">
      <c r="A1110" t="s">
        <v>113</v>
      </c>
      <c r="B1110" t="s">
        <v>159</v>
      </c>
    </row>
    <row r="1111" spans="1:2" x14ac:dyDescent="0.3">
      <c r="A1111" t="s">
        <v>113</v>
      </c>
      <c r="B1111" t="s">
        <v>159</v>
      </c>
    </row>
    <row r="1112" spans="1:2" x14ac:dyDescent="0.3">
      <c r="A1112" t="s">
        <v>113</v>
      </c>
      <c r="B1112" t="s">
        <v>159</v>
      </c>
    </row>
    <row r="1113" spans="1:2" x14ac:dyDescent="0.3">
      <c r="A1113" t="s">
        <v>113</v>
      </c>
      <c r="B1113" t="s">
        <v>159</v>
      </c>
    </row>
    <row r="1114" spans="1:2" x14ac:dyDescent="0.3">
      <c r="A1114" t="s">
        <v>113</v>
      </c>
      <c r="B1114" t="s">
        <v>159</v>
      </c>
    </row>
    <row r="1115" spans="1:2" x14ac:dyDescent="0.3">
      <c r="A1115" t="s">
        <v>113</v>
      </c>
      <c r="B1115" t="s">
        <v>159</v>
      </c>
    </row>
    <row r="1116" spans="1:2" x14ac:dyDescent="0.3">
      <c r="A1116" t="s">
        <v>113</v>
      </c>
      <c r="B1116" t="s">
        <v>159</v>
      </c>
    </row>
    <row r="1117" spans="1:2" x14ac:dyDescent="0.3">
      <c r="A1117" t="s">
        <v>113</v>
      </c>
      <c r="B1117" t="s">
        <v>159</v>
      </c>
    </row>
    <row r="1118" spans="1:2" x14ac:dyDescent="0.3">
      <c r="A1118" t="s">
        <v>113</v>
      </c>
      <c r="B1118" t="s">
        <v>159</v>
      </c>
    </row>
    <row r="1119" spans="1:2" x14ac:dyDescent="0.3">
      <c r="A1119" t="s">
        <v>113</v>
      </c>
      <c r="B1119" t="s">
        <v>159</v>
      </c>
    </row>
    <row r="1120" spans="1:2" x14ac:dyDescent="0.3">
      <c r="A1120" t="s">
        <v>113</v>
      </c>
      <c r="B1120" t="s">
        <v>159</v>
      </c>
    </row>
    <row r="1121" spans="1:2" x14ac:dyDescent="0.3">
      <c r="A1121" t="s">
        <v>113</v>
      </c>
      <c r="B1121" t="s">
        <v>159</v>
      </c>
    </row>
    <row r="1122" spans="1:2" x14ac:dyDescent="0.3">
      <c r="A1122" t="s">
        <v>113</v>
      </c>
      <c r="B1122" t="s">
        <v>159</v>
      </c>
    </row>
    <row r="1123" spans="1:2" x14ac:dyDescent="0.3">
      <c r="A1123" t="s">
        <v>113</v>
      </c>
      <c r="B1123" t="s">
        <v>159</v>
      </c>
    </row>
    <row r="1124" spans="1:2" x14ac:dyDescent="0.3">
      <c r="A1124" t="s">
        <v>113</v>
      </c>
      <c r="B1124" t="s">
        <v>159</v>
      </c>
    </row>
    <row r="1125" spans="1:2" x14ac:dyDescent="0.3">
      <c r="A1125" t="s">
        <v>113</v>
      </c>
      <c r="B1125" t="s">
        <v>159</v>
      </c>
    </row>
    <row r="1126" spans="1:2" x14ac:dyDescent="0.3">
      <c r="A1126" t="s">
        <v>113</v>
      </c>
      <c r="B1126" t="s">
        <v>159</v>
      </c>
    </row>
    <row r="1127" spans="1:2" x14ac:dyDescent="0.3">
      <c r="A1127" t="s">
        <v>113</v>
      </c>
      <c r="B1127" t="s">
        <v>159</v>
      </c>
    </row>
    <row r="1128" spans="1:2" x14ac:dyDescent="0.3">
      <c r="A1128" t="s">
        <v>113</v>
      </c>
      <c r="B1128" t="s">
        <v>159</v>
      </c>
    </row>
    <row r="1129" spans="1:2" x14ac:dyDescent="0.3">
      <c r="A1129" t="s">
        <v>113</v>
      </c>
      <c r="B1129" t="s">
        <v>159</v>
      </c>
    </row>
    <row r="1130" spans="1:2" x14ac:dyDescent="0.3">
      <c r="A1130" t="s">
        <v>113</v>
      </c>
      <c r="B1130" t="s">
        <v>159</v>
      </c>
    </row>
    <row r="1131" spans="1:2" x14ac:dyDescent="0.3">
      <c r="A1131" t="s">
        <v>113</v>
      </c>
      <c r="B1131" t="s">
        <v>159</v>
      </c>
    </row>
    <row r="1132" spans="1:2" x14ac:dyDescent="0.3">
      <c r="A1132" t="s">
        <v>113</v>
      </c>
      <c r="B1132" t="s">
        <v>159</v>
      </c>
    </row>
    <row r="1133" spans="1:2" x14ac:dyDescent="0.3">
      <c r="A1133" t="s">
        <v>113</v>
      </c>
      <c r="B1133" t="s">
        <v>159</v>
      </c>
    </row>
    <row r="1134" spans="1:2" x14ac:dyDescent="0.3">
      <c r="A1134" t="s">
        <v>113</v>
      </c>
      <c r="B1134" t="s">
        <v>159</v>
      </c>
    </row>
    <row r="1135" spans="1:2" x14ac:dyDescent="0.3">
      <c r="A1135" t="s">
        <v>113</v>
      </c>
      <c r="B1135" t="s">
        <v>159</v>
      </c>
    </row>
    <row r="1136" spans="1:2" x14ac:dyDescent="0.3">
      <c r="A1136" t="s">
        <v>113</v>
      </c>
      <c r="B1136" t="s">
        <v>159</v>
      </c>
    </row>
    <row r="1137" spans="1:2" x14ac:dyDescent="0.3">
      <c r="A1137" t="s">
        <v>113</v>
      </c>
      <c r="B1137" t="s">
        <v>159</v>
      </c>
    </row>
    <row r="1138" spans="1:2" x14ac:dyDescent="0.3">
      <c r="A1138" t="s">
        <v>113</v>
      </c>
      <c r="B1138" t="s">
        <v>159</v>
      </c>
    </row>
    <row r="1139" spans="1:2" x14ac:dyDescent="0.3">
      <c r="A1139" t="s">
        <v>113</v>
      </c>
      <c r="B1139" t="s">
        <v>159</v>
      </c>
    </row>
    <row r="1140" spans="1:2" x14ac:dyDescent="0.3">
      <c r="A1140" t="s">
        <v>113</v>
      </c>
      <c r="B1140" t="s">
        <v>159</v>
      </c>
    </row>
    <row r="1141" spans="1:2" x14ac:dyDescent="0.3">
      <c r="A1141" t="s">
        <v>113</v>
      </c>
      <c r="B1141" t="s">
        <v>159</v>
      </c>
    </row>
    <row r="1142" spans="1:2" x14ac:dyDescent="0.3">
      <c r="A1142" t="s">
        <v>113</v>
      </c>
      <c r="B1142" t="s">
        <v>159</v>
      </c>
    </row>
    <row r="1143" spans="1:2" x14ac:dyDescent="0.3">
      <c r="A1143" t="s">
        <v>113</v>
      </c>
      <c r="B1143" t="s">
        <v>159</v>
      </c>
    </row>
    <row r="1144" spans="1:2" x14ac:dyDescent="0.3">
      <c r="A1144" t="s">
        <v>113</v>
      </c>
      <c r="B1144" t="s">
        <v>159</v>
      </c>
    </row>
    <row r="1145" spans="1:2" x14ac:dyDescent="0.3">
      <c r="A1145" t="s">
        <v>113</v>
      </c>
      <c r="B1145" t="s">
        <v>159</v>
      </c>
    </row>
    <row r="1146" spans="1:2" x14ac:dyDescent="0.3">
      <c r="A1146" t="s">
        <v>113</v>
      </c>
      <c r="B1146" t="s">
        <v>159</v>
      </c>
    </row>
    <row r="1147" spans="1:2" x14ac:dyDescent="0.3">
      <c r="A1147" t="s">
        <v>113</v>
      </c>
      <c r="B1147" t="s">
        <v>159</v>
      </c>
    </row>
    <row r="1148" spans="1:2" x14ac:dyDescent="0.3">
      <c r="A1148" t="s">
        <v>113</v>
      </c>
      <c r="B1148" t="s">
        <v>159</v>
      </c>
    </row>
    <row r="1149" spans="1:2" x14ac:dyDescent="0.3">
      <c r="A1149" t="s">
        <v>113</v>
      </c>
      <c r="B1149" t="s">
        <v>159</v>
      </c>
    </row>
    <row r="1150" spans="1:2" x14ac:dyDescent="0.3">
      <c r="A1150" t="s">
        <v>113</v>
      </c>
      <c r="B1150" t="s">
        <v>159</v>
      </c>
    </row>
    <row r="1151" spans="1:2" x14ac:dyDescent="0.3">
      <c r="A1151" t="s">
        <v>113</v>
      </c>
      <c r="B1151" t="s">
        <v>159</v>
      </c>
    </row>
    <row r="1152" spans="1:2" x14ac:dyDescent="0.3">
      <c r="A1152" t="s">
        <v>113</v>
      </c>
      <c r="B1152" t="s">
        <v>159</v>
      </c>
    </row>
    <row r="1153" spans="1:2" x14ac:dyDescent="0.3">
      <c r="A1153" t="s">
        <v>113</v>
      </c>
      <c r="B1153" t="s">
        <v>159</v>
      </c>
    </row>
    <row r="1154" spans="1:2" x14ac:dyDescent="0.3">
      <c r="A1154" t="s">
        <v>113</v>
      </c>
      <c r="B1154" t="s">
        <v>159</v>
      </c>
    </row>
    <row r="1155" spans="1:2" x14ac:dyDescent="0.3">
      <c r="A1155" t="s">
        <v>113</v>
      </c>
      <c r="B1155" t="s">
        <v>159</v>
      </c>
    </row>
    <row r="1156" spans="1:2" x14ac:dyDescent="0.3">
      <c r="A1156" t="s">
        <v>113</v>
      </c>
      <c r="B1156" t="s">
        <v>159</v>
      </c>
    </row>
    <row r="1157" spans="1:2" x14ac:dyDescent="0.3">
      <c r="A1157" t="s">
        <v>113</v>
      </c>
      <c r="B1157" t="s">
        <v>159</v>
      </c>
    </row>
    <row r="1158" spans="1:2" x14ac:dyDescent="0.3">
      <c r="A1158" t="s">
        <v>113</v>
      </c>
      <c r="B1158" t="s">
        <v>159</v>
      </c>
    </row>
    <row r="1159" spans="1:2" x14ac:dyDescent="0.3">
      <c r="A1159" t="s">
        <v>113</v>
      </c>
      <c r="B1159" t="s">
        <v>159</v>
      </c>
    </row>
    <row r="1160" spans="1:2" x14ac:dyDescent="0.3">
      <c r="A1160" t="s">
        <v>113</v>
      </c>
      <c r="B1160" t="s">
        <v>159</v>
      </c>
    </row>
    <row r="1161" spans="1:2" x14ac:dyDescent="0.3">
      <c r="A1161" t="s">
        <v>113</v>
      </c>
      <c r="B1161" t="s">
        <v>159</v>
      </c>
    </row>
    <row r="1162" spans="1:2" x14ac:dyDescent="0.3">
      <c r="A1162" t="s">
        <v>113</v>
      </c>
      <c r="B1162" t="s">
        <v>159</v>
      </c>
    </row>
    <row r="1163" spans="1:2" x14ac:dyDescent="0.3">
      <c r="A1163" t="s">
        <v>113</v>
      </c>
      <c r="B1163" t="s">
        <v>159</v>
      </c>
    </row>
    <row r="1164" spans="1:2" x14ac:dyDescent="0.3">
      <c r="A1164" t="s">
        <v>113</v>
      </c>
      <c r="B1164" t="s">
        <v>159</v>
      </c>
    </row>
    <row r="1165" spans="1:2" x14ac:dyDescent="0.3">
      <c r="A1165" t="s">
        <v>113</v>
      </c>
      <c r="B1165" t="s">
        <v>159</v>
      </c>
    </row>
    <row r="1166" spans="1:2" x14ac:dyDescent="0.3">
      <c r="A1166" t="s">
        <v>113</v>
      </c>
      <c r="B1166" t="s">
        <v>159</v>
      </c>
    </row>
    <row r="1167" spans="1:2" x14ac:dyDescent="0.3">
      <c r="A1167" t="s">
        <v>113</v>
      </c>
      <c r="B1167" t="s">
        <v>159</v>
      </c>
    </row>
    <row r="1168" spans="1:2" x14ac:dyDescent="0.3">
      <c r="A1168" t="s">
        <v>113</v>
      </c>
      <c r="B1168" t="s">
        <v>159</v>
      </c>
    </row>
    <row r="1169" spans="1:2" x14ac:dyDescent="0.3">
      <c r="A1169" t="s">
        <v>113</v>
      </c>
      <c r="B1169" t="s">
        <v>159</v>
      </c>
    </row>
    <row r="1170" spans="1:2" x14ac:dyDescent="0.3">
      <c r="A1170" t="s">
        <v>113</v>
      </c>
      <c r="B1170" t="s">
        <v>159</v>
      </c>
    </row>
    <row r="1171" spans="1:2" x14ac:dyDescent="0.3">
      <c r="A1171" t="s">
        <v>113</v>
      </c>
      <c r="B1171" t="s">
        <v>159</v>
      </c>
    </row>
    <row r="1172" spans="1:2" x14ac:dyDescent="0.3">
      <c r="A1172" t="s">
        <v>113</v>
      </c>
      <c r="B1172" t="s">
        <v>159</v>
      </c>
    </row>
    <row r="1173" spans="1:2" x14ac:dyDescent="0.3">
      <c r="A1173" t="s">
        <v>113</v>
      </c>
      <c r="B1173" t="s">
        <v>159</v>
      </c>
    </row>
    <row r="1174" spans="1:2" x14ac:dyDescent="0.3">
      <c r="A1174" t="s">
        <v>113</v>
      </c>
      <c r="B1174" t="s">
        <v>159</v>
      </c>
    </row>
    <row r="1175" spans="1:2" x14ac:dyDescent="0.3">
      <c r="A1175" t="s">
        <v>113</v>
      </c>
      <c r="B1175" t="s">
        <v>159</v>
      </c>
    </row>
    <row r="1176" spans="1:2" x14ac:dyDescent="0.3">
      <c r="A1176" t="s">
        <v>113</v>
      </c>
      <c r="B1176" t="s">
        <v>159</v>
      </c>
    </row>
    <row r="1177" spans="1:2" x14ac:dyDescent="0.3">
      <c r="A1177" t="s">
        <v>113</v>
      </c>
      <c r="B1177" t="s">
        <v>159</v>
      </c>
    </row>
    <row r="1178" spans="1:2" x14ac:dyDescent="0.3">
      <c r="A1178" t="s">
        <v>113</v>
      </c>
      <c r="B1178" t="s">
        <v>159</v>
      </c>
    </row>
    <row r="1179" spans="1:2" x14ac:dyDescent="0.3">
      <c r="A1179" t="s">
        <v>113</v>
      </c>
      <c r="B1179" t="s">
        <v>159</v>
      </c>
    </row>
    <row r="1180" spans="1:2" x14ac:dyDescent="0.3">
      <c r="A1180" t="s">
        <v>113</v>
      </c>
      <c r="B1180" t="s">
        <v>159</v>
      </c>
    </row>
    <row r="1181" spans="1:2" x14ac:dyDescent="0.3">
      <c r="A1181" t="s">
        <v>113</v>
      </c>
      <c r="B1181" t="s">
        <v>159</v>
      </c>
    </row>
    <row r="1182" spans="1:2" x14ac:dyDescent="0.3">
      <c r="A1182" t="s">
        <v>113</v>
      </c>
      <c r="B1182" t="s">
        <v>159</v>
      </c>
    </row>
    <row r="1183" spans="1:2" x14ac:dyDescent="0.3">
      <c r="A1183" t="s">
        <v>113</v>
      </c>
      <c r="B1183" t="s">
        <v>159</v>
      </c>
    </row>
    <row r="1184" spans="1:2" x14ac:dyDescent="0.3">
      <c r="A1184" t="s">
        <v>113</v>
      </c>
      <c r="B1184" t="s">
        <v>159</v>
      </c>
    </row>
    <row r="1185" spans="1:2" x14ac:dyDescent="0.3">
      <c r="A1185" t="s">
        <v>113</v>
      </c>
      <c r="B1185" t="s">
        <v>159</v>
      </c>
    </row>
    <row r="1186" spans="1:2" x14ac:dyDescent="0.3">
      <c r="A1186" t="s">
        <v>113</v>
      </c>
      <c r="B1186" t="s">
        <v>159</v>
      </c>
    </row>
    <row r="1187" spans="1:2" x14ac:dyDescent="0.3">
      <c r="A1187" t="s">
        <v>113</v>
      </c>
      <c r="B1187" t="s">
        <v>159</v>
      </c>
    </row>
    <row r="1188" spans="1:2" x14ac:dyDescent="0.3">
      <c r="A1188" t="s">
        <v>113</v>
      </c>
      <c r="B1188" t="s">
        <v>159</v>
      </c>
    </row>
    <row r="1189" spans="1:2" x14ac:dyDescent="0.3">
      <c r="A1189" t="s">
        <v>113</v>
      </c>
      <c r="B1189" t="s">
        <v>159</v>
      </c>
    </row>
    <row r="1190" spans="1:2" x14ac:dyDescent="0.3">
      <c r="A1190" t="s">
        <v>113</v>
      </c>
      <c r="B1190" t="s">
        <v>159</v>
      </c>
    </row>
    <row r="1191" spans="1:2" x14ac:dyDescent="0.3">
      <c r="A1191" t="s">
        <v>113</v>
      </c>
      <c r="B1191" t="s">
        <v>159</v>
      </c>
    </row>
    <row r="1192" spans="1:2" x14ac:dyDescent="0.3">
      <c r="A1192" t="s">
        <v>113</v>
      </c>
      <c r="B1192" t="s">
        <v>159</v>
      </c>
    </row>
    <row r="1193" spans="1:2" x14ac:dyDescent="0.3">
      <c r="A1193" t="s">
        <v>113</v>
      </c>
      <c r="B1193" t="s">
        <v>159</v>
      </c>
    </row>
    <row r="1194" spans="1:2" x14ac:dyDescent="0.3">
      <c r="A1194" t="s">
        <v>113</v>
      </c>
      <c r="B1194" t="s">
        <v>159</v>
      </c>
    </row>
    <row r="1195" spans="1:2" x14ac:dyDescent="0.3">
      <c r="A1195" t="s">
        <v>113</v>
      </c>
      <c r="B1195" t="s">
        <v>159</v>
      </c>
    </row>
    <row r="1196" spans="1:2" x14ac:dyDescent="0.3">
      <c r="A1196" t="s">
        <v>113</v>
      </c>
      <c r="B1196" t="s">
        <v>159</v>
      </c>
    </row>
    <row r="1197" spans="1:2" x14ac:dyDescent="0.3">
      <c r="A1197" t="s">
        <v>113</v>
      </c>
      <c r="B1197" t="s">
        <v>159</v>
      </c>
    </row>
    <row r="1198" spans="1:2" x14ac:dyDescent="0.3">
      <c r="A1198" t="s">
        <v>113</v>
      </c>
      <c r="B1198" t="s">
        <v>159</v>
      </c>
    </row>
    <row r="1199" spans="1:2" x14ac:dyDescent="0.3">
      <c r="A1199" t="s">
        <v>113</v>
      </c>
      <c r="B1199" t="s">
        <v>159</v>
      </c>
    </row>
    <row r="1200" spans="1:2" x14ac:dyDescent="0.3">
      <c r="A1200" t="s">
        <v>113</v>
      </c>
      <c r="B1200" t="s">
        <v>159</v>
      </c>
    </row>
    <row r="1201" spans="1:2" x14ac:dyDescent="0.3">
      <c r="A1201" t="s">
        <v>113</v>
      </c>
      <c r="B1201" t="s">
        <v>159</v>
      </c>
    </row>
    <row r="1202" spans="1:2" x14ac:dyDescent="0.3">
      <c r="A1202" t="s">
        <v>113</v>
      </c>
      <c r="B1202" t="s">
        <v>159</v>
      </c>
    </row>
    <row r="1203" spans="1:2" x14ac:dyDescent="0.3">
      <c r="A1203" t="s">
        <v>113</v>
      </c>
      <c r="B1203" t="s">
        <v>159</v>
      </c>
    </row>
    <row r="1204" spans="1:2" x14ac:dyDescent="0.3">
      <c r="A1204" t="s">
        <v>113</v>
      </c>
      <c r="B1204" t="s">
        <v>159</v>
      </c>
    </row>
    <row r="1205" spans="1:2" x14ac:dyDescent="0.3">
      <c r="A1205" t="s">
        <v>113</v>
      </c>
      <c r="B1205" t="s">
        <v>159</v>
      </c>
    </row>
    <row r="1206" spans="1:2" x14ac:dyDescent="0.3">
      <c r="A1206" t="s">
        <v>113</v>
      </c>
      <c r="B1206" t="s">
        <v>159</v>
      </c>
    </row>
    <row r="1207" spans="1:2" x14ac:dyDescent="0.3">
      <c r="A1207" t="s">
        <v>113</v>
      </c>
      <c r="B1207" t="s">
        <v>159</v>
      </c>
    </row>
    <row r="1208" spans="1:2" x14ac:dyDescent="0.3">
      <c r="A1208" t="s">
        <v>113</v>
      </c>
      <c r="B1208" t="s">
        <v>159</v>
      </c>
    </row>
    <row r="1209" spans="1:2" x14ac:dyDescent="0.3">
      <c r="A1209" t="s">
        <v>113</v>
      </c>
      <c r="B1209" t="s">
        <v>159</v>
      </c>
    </row>
    <row r="1210" spans="1:2" x14ac:dyDescent="0.3">
      <c r="A1210" t="s">
        <v>113</v>
      </c>
      <c r="B1210" t="s">
        <v>159</v>
      </c>
    </row>
    <row r="1211" spans="1:2" x14ac:dyDescent="0.3">
      <c r="A1211" t="s">
        <v>113</v>
      </c>
      <c r="B1211" t="s">
        <v>159</v>
      </c>
    </row>
    <row r="1212" spans="1:2" x14ac:dyDescent="0.3">
      <c r="A1212" t="s">
        <v>113</v>
      </c>
      <c r="B1212" t="s">
        <v>159</v>
      </c>
    </row>
    <row r="1213" spans="1:2" x14ac:dyDescent="0.3">
      <c r="A1213" t="s">
        <v>113</v>
      </c>
      <c r="B1213" t="s">
        <v>159</v>
      </c>
    </row>
    <row r="1214" spans="1:2" x14ac:dyDescent="0.3">
      <c r="A1214" t="s">
        <v>113</v>
      </c>
      <c r="B1214" t="s">
        <v>159</v>
      </c>
    </row>
    <row r="1215" spans="1:2" x14ac:dyDescent="0.3">
      <c r="A1215" t="s">
        <v>113</v>
      </c>
      <c r="B1215" t="s">
        <v>159</v>
      </c>
    </row>
    <row r="1216" spans="1:2" x14ac:dyDescent="0.3">
      <c r="A1216" t="s">
        <v>113</v>
      </c>
      <c r="B1216" t="s">
        <v>159</v>
      </c>
    </row>
    <row r="1217" spans="1:2" x14ac:dyDescent="0.3">
      <c r="A1217" t="s">
        <v>113</v>
      </c>
      <c r="B1217" t="s">
        <v>159</v>
      </c>
    </row>
    <row r="1218" spans="1:2" x14ac:dyDescent="0.3">
      <c r="A1218" t="s">
        <v>113</v>
      </c>
      <c r="B1218" t="s">
        <v>159</v>
      </c>
    </row>
    <row r="1219" spans="1:2" x14ac:dyDescent="0.3">
      <c r="A1219" t="s">
        <v>113</v>
      </c>
      <c r="B1219" t="s">
        <v>159</v>
      </c>
    </row>
    <row r="1220" spans="1:2" x14ac:dyDescent="0.3">
      <c r="A1220" t="s">
        <v>113</v>
      </c>
      <c r="B1220" t="s">
        <v>159</v>
      </c>
    </row>
    <row r="1221" spans="1:2" x14ac:dyDescent="0.3">
      <c r="A1221" t="s">
        <v>113</v>
      </c>
      <c r="B1221" t="s">
        <v>159</v>
      </c>
    </row>
    <row r="1222" spans="1:2" x14ac:dyDescent="0.3">
      <c r="A1222" t="s">
        <v>113</v>
      </c>
      <c r="B1222" t="s">
        <v>159</v>
      </c>
    </row>
    <row r="1223" spans="1:2" x14ac:dyDescent="0.3">
      <c r="A1223" t="s">
        <v>113</v>
      </c>
      <c r="B1223" t="s">
        <v>159</v>
      </c>
    </row>
    <row r="1224" spans="1:2" x14ac:dyDescent="0.3">
      <c r="A1224" t="s">
        <v>113</v>
      </c>
      <c r="B1224" t="s">
        <v>159</v>
      </c>
    </row>
    <row r="1225" spans="1:2" x14ac:dyDescent="0.3">
      <c r="A1225" t="s">
        <v>113</v>
      </c>
      <c r="B1225" t="s">
        <v>159</v>
      </c>
    </row>
    <row r="1226" spans="1:2" x14ac:dyDescent="0.3">
      <c r="A1226" t="s">
        <v>113</v>
      </c>
      <c r="B1226" t="s">
        <v>159</v>
      </c>
    </row>
    <row r="1227" spans="1:2" x14ac:dyDescent="0.3">
      <c r="A1227" t="s">
        <v>113</v>
      </c>
      <c r="B1227" t="s">
        <v>159</v>
      </c>
    </row>
    <row r="1228" spans="1:2" x14ac:dyDescent="0.3">
      <c r="A1228" t="s">
        <v>113</v>
      </c>
      <c r="B1228" t="s">
        <v>159</v>
      </c>
    </row>
    <row r="1229" spans="1:2" x14ac:dyDescent="0.3">
      <c r="A1229" t="s">
        <v>113</v>
      </c>
      <c r="B1229" t="s">
        <v>159</v>
      </c>
    </row>
    <row r="1230" spans="1:2" x14ac:dyDescent="0.3">
      <c r="A1230" t="s">
        <v>113</v>
      </c>
      <c r="B1230" t="s">
        <v>159</v>
      </c>
    </row>
    <row r="1231" spans="1:2" x14ac:dyDescent="0.3">
      <c r="A1231" t="s">
        <v>113</v>
      </c>
      <c r="B1231" t="s">
        <v>159</v>
      </c>
    </row>
    <row r="1232" spans="1:2" x14ac:dyDescent="0.3">
      <c r="A1232" t="s">
        <v>113</v>
      </c>
      <c r="B1232" t="s">
        <v>159</v>
      </c>
    </row>
    <row r="1233" spans="1:2" x14ac:dyDescent="0.3">
      <c r="A1233" t="s">
        <v>113</v>
      </c>
      <c r="B1233" t="s">
        <v>159</v>
      </c>
    </row>
    <row r="1234" spans="1:2" x14ac:dyDescent="0.3">
      <c r="A1234" t="s">
        <v>113</v>
      </c>
      <c r="B1234" t="s">
        <v>159</v>
      </c>
    </row>
    <row r="1235" spans="1:2" x14ac:dyDescent="0.3">
      <c r="A1235" t="s">
        <v>113</v>
      </c>
      <c r="B1235" t="s">
        <v>159</v>
      </c>
    </row>
    <row r="1236" spans="1:2" x14ac:dyDescent="0.3">
      <c r="A1236" t="s">
        <v>113</v>
      </c>
      <c r="B1236" t="s">
        <v>159</v>
      </c>
    </row>
    <row r="1237" spans="1:2" x14ac:dyDescent="0.3">
      <c r="A1237" t="s">
        <v>113</v>
      </c>
      <c r="B1237" t="s">
        <v>159</v>
      </c>
    </row>
    <row r="1238" spans="1:2" x14ac:dyDescent="0.3">
      <c r="A1238" t="s">
        <v>113</v>
      </c>
      <c r="B1238" t="s">
        <v>159</v>
      </c>
    </row>
    <row r="1239" spans="1:2" x14ac:dyDescent="0.3">
      <c r="A1239" t="s">
        <v>113</v>
      </c>
      <c r="B1239" t="s">
        <v>159</v>
      </c>
    </row>
    <row r="1240" spans="1:2" x14ac:dyDescent="0.3">
      <c r="A1240" t="s">
        <v>113</v>
      </c>
      <c r="B1240" t="s">
        <v>159</v>
      </c>
    </row>
    <row r="1241" spans="1:2" x14ac:dyDescent="0.3">
      <c r="A1241" t="s">
        <v>113</v>
      </c>
      <c r="B1241" t="s">
        <v>159</v>
      </c>
    </row>
    <row r="1242" spans="1:2" x14ac:dyDescent="0.3">
      <c r="A1242" t="s">
        <v>113</v>
      </c>
      <c r="B1242" t="s">
        <v>159</v>
      </c>
    </row>
    <row r="1243" spans="1:2" x14ac:dyDescent="0.3">
      <c r="A1243" t="s">
        <v>113</v>
      </c>
      <c r="B1243" t="s">
        <v>159</v>
      </c>
    </row>
    <row r="1244" spans="1:2" x14ac:dyDescent="0.3">
      <c r="A1244" t="s">
        <v>113</v>
      </c>
      <c r="B1244" t="s">
        <v>159</v>
      </c>
    </row>
    <row r="1245" spans="1:2" x14ac:dyDescent="0.3">
      <c r="A1245" t="s">
        <v>113</v>
      </c>
      <c r="B1245" t="s">
        <v>159</v>
      </c>
    </row>
    <row r="1246" spans="1:2" x14ac:dyDescent="0.3">
      <c r="A1246" t="s">
        <v>113</v>
      </c>
      <c r="B1246" t="s">
        <v>159</v>
      </c>
    </row>
    <row r="1247" spans="1:2" x14ac:dyDescent="0.3">
      <c r="A1247" t="s">
        <v>113</v>
      </c>
      <c r="B1247" t="s">
        <v>159</v>
      </c>
    </row>
    <row r="1248" spans="1:2" x14ac:dyDescent="0.3">
      <c r="A1248" t="s">
        <v>113</v>
      </c>
      <c r="B1248" t="s">
        <v>159</v>
      </c>
    </row>
    <row r="1249" spans="1:2" x14ac:dyDescent="0.3">
      <c r="A1249" t="s">
        <v>113</v>
      </c>
      <c r="B1249" t="s">
        <v>159</v>
      </c>
    </row>
    <row r="1250" spans="1:2" x14ac:dyDescent="0.3">
      <c r="A1250" t="s">
        <v>113</v>
      </c>
      <c r="B1250" t="s">
        <v>159</v>
      </c>
    </row>
    <row r="1251" spans="1:2" x14ac:dyDescent="0.3">
      <c r="A1251" t="s">
        <v>113</v>
      </c>
      <c r="B1251" t="s">
        <v>159</v>
      </c>
    </row>
    <row r="1252" spans="1:2" x14ac:dyDescent="0.3">
      <c r="A1252" t="s">
        <v>113</v>
      </c>
      <c r="B1252" t="s">
        <v>159</v>
      </c>
    </row>
    <row r="1253" spans="1:2" x14ac:dyDescent="0.3">
      <c r="A1253" t="s">
        <v>113</v>
      </c>
      <c r="B1253" t="s">
        <v>159</v>
      </c>
    </row>
    <row r="1254" spans="1:2" x14ac:dyDescent="0.3">
      <c r="A1254" t="s">
        <v>113</v>
      </c>
      <c r="B1254" t="s">
        <v>159</v>
      </c>
    </row>
    <row r="1255" spans="1:2" x14ac:dyDescent="0.3">
      <c r="A1255" t="s">
        <v>113</v>
      </c>
      <c r="B1255" t="s">
        <v>159</v>
      </c>
    </row>
    <row r="1256" spans="1:2" x14ac:dyDescent="0.3">
      <c r="A1256" t="s">
        <v>113</v>
      </c>
      <c r="B1256" t="s">
        <v>159</v>
      </c>
    </row>
    <row r="1257" spans="1:2" x14ac:dyDescent="0.3">
      <c r="A1257" t="s">
        <v>113</v>
      </c>
      <c r="B1257" t="s">
        <v>159</v>
      </c>
    </row>
    <row r="1258" spans="1:2" x14ac:dyDescent="0.3">
      <c r="A1258" t="s">
        <v>113</v>
      </c>
      <c r="B1258" t="s">
        <v>159</v>
      </c>
    </row>
    <row r="1259" spans="1:2" x14ac:dyDescent="0.3">
      <c r="A1259" t="s">
        <v>113</v>
      </c>
      <c r="B1259" t="s">
        <v>159</v>
      </c>
    </row>
    <row r="1260" spans="1:2" x14ac:dyDescent="0.3">
      <c r="A1260" t="s">
        <v>113</v>
      </c>
      <c r="B1260" t="s">
        <v>159</v>
      </c>
    </row>
    <row r="1261" spans="1:2" x14ac:dyDescent="0.3">
      <c r="A1261" t="s">
        <v>113</v>
      </c>
      <c r="B1261" t="s">
        <v>159</v>
      </c>
    </row>
    <row r="1262" spans="1:2" x14ac:dyDescent="0.3">
      <c r="A1262" t="s">
        <v>113</v>
      </c>
      <c r="B1262" t="s">
        <v>159</v>
      </c>
    </row>
    <row r="1263" spans="1:2" x14ac:dyDescent="0.3">
      <c r="A1263" t="s">
        <v>113</v>
      </c>
      <c r="B1263" t="s">
        <v>159</v>
      </c>
    </row>
    <row r="1264" spans="1:2" x14ac:dyDescent="0.3">
      <c r="A1264" t="s">
        <v>113</v>
      </c>
      <c r="B1264" t="s">
        <v>159</v>
      </c>
    </row>
    <row r="1265" spans="1:2" x14ac:dyDescent="0.3">
      <c r="A1265" t="s">
        <v>113</v>
      </c>
      <c r="B1265" t="s">
        <v>159</v>
      </c>
    </row>
    <row r="1266" spans="1:2" x14ac:dyDescent="0.3">
      <c r="A1266" t="s">
        <v>113</v>
      </c>
      <c r="B1266" t="s">
        <v>159</v>
      </c>
    </row>
    <row r="1267" spans="1:2" x14ac:dyDescent="0.3">
      <c r="A1267" t="s">
        <v>113</v>
      </c>
      <c r="B1267" t="s">
        <v>159</v>
      </c>
    </row>
    <row r="1268" spans="1:2" x14ac:dyDescent="0.3">
      <c r="A1268" t="s">
        <v>113</v>
      </c>
      <c r="B1268" t="s">
        <v>159</v>
      </c>
    </row>
    <row r="1269" spans="1:2" x14ac:dyDescent="0.3">
      <c r="A1269" t="s">
        <v>113</v>
      </c>
      <c r="B1269" t="s">
        <v>159</v>
      </c>
    </row>
    <row r="1270" spans="1:2" x14ac:dyDescent="0.3">
      <c r="A1270" t="s">
        <v>113</v>
      </c>
      <c r="B1270" t="s">
        <v>159</v>
      </c>
    </row>
    <row r="1271" spans="1:2" x14ac:dyDescent="0.3">
      <c r="A1271" t="s">
        <v>113</v>
      </c>
      <c r="B1271" t="s">
        <v>159</v>
      </c>
    </row>
    <row r="1272" spans="1:2" x14ac:dyDescent="0.3">
      <c r="A1272" t="s">
        <v>113</v>
      </c>
      <c r="B1272" t="s">
        <v>159</v>
      </c>
    </row>
    <row r="1273" spans="1:2" x14ac:dyDescent="0.3">
      <c r="A1273" t="s">
        <v>113</v>
      </c>
      <c r="B1273" t="s">
        <v>159</v>
      </c>
    </row>
    <row r="1274" spans="1:2" x14ac:dyDescent="0.3">
      <c r="A1274" t="s">
        <v>113</v>
      </c>
      <c r="B1274" t="s">
        <v>159</v>
      </c>
    </row>
    <row r="1275" spans="1:2" x14ac:dyDescent="0.3">
      <c r="A1275" t="s">
        <v>113</v>
      </c>
      <c r="B1275" t="s">
        <v>159</v>
      </c>
    </row>
    <row r="1276" spans="1:2" x14ac:dyDescent="0.3">
      <c r="A1276" t="s">
        <v>113</v>
      </c>
      <c r="B1276" t="s">
        <v>159</v>
      </c>
    </row>
    <row r="1277" spans="1:2" x14ac:dyDescent="0.3">
      <c r="A1277" t="s">
        <v>113</v>
      </c>
      <c r="B1277" t="s">
        <v>159</v>
      </c>
    </row>
    <row r="1278" spans="1:2" x14ac:dyDescent="0.3">
      <c r="A1278" t="s">
        <v>113</v>
      </c>
      <c r="B1278" t="s">
        <v>159</v>
      </c>
    </row>
    <row r="1279" spans="1:2" x14ac:dyDescent="0.3">
      <c r="A1279" t="s">
        <v>113</v>
      </c>
      <c r="B1279" t="s">
        <v>159</v>
      </c>
    </row>
    <row r="1280" spans="1:2" x14ac:dyDescent="0.3">
      <c r="A1280" t="s">
        <v>113</v>
      </c>
      <c r="B1280" t="s">
        <v>159</v>
      </c>
    </row>
    <row r="1281" spans="1:2" x14ac:dyDescent="0.3">
      <c r="A1281" t="s">
        <v>113</v>
      </c>
      <c r="B1281" t="s">
        <v>159</v>
      </c>
    </row>
    <row r="1282" spans="1:2" x14ac:dyDescent="0.3">
      <c r="A1282" t="s">
        <v>113</v>
      </c>
      <c r="B1282" t="s">
        <v>159</v>
      </c>
    </row>
    <row r="1283" spans="1:2" x14ac:dyDescent="0.3">
      <c r="A1283" t="s">
        <v>113</v>
      </c>
      <c r="B1283" t="s">
        <v>159</v>
      </c>
    </row>
    <row r="1284" spans="1:2" x14ac:dyDescent="0.3">
      <c r="A1284" t="s">
        <v>113</v>
      </c>
      <c r="B1284" t="s">
        <v>159</v>
      </c>
    </row>
    <row r="1285" spans="1:2" x14ac:dyDescent="0.3">
      <c r="A1285" t="s">
        <v>113</v>
      </c>
      <c r="B1285" t="s">
        <v>159</v>
      </c>
    </row>
    <row r="1286" spans="1:2" x14ac:dyDescent="0.3">
      <c r="A1286" t="s">
        <v>113</v>
      </c>
      <c r="B1286" t="s">
        <v>159</v>
      </c>
    </row>
    <row r="1287" spans="1:2" x14ac:dyDescent="0.3">
      <c r="A1287" t="s">
        <v>113</v>
      </c>
      <c r="B1287" t="s">
        <v>159</v>
      </c>
    </row>
    <row r="1288" spans="1:2" x14ac:dyDescent="0.3">
      <c r="A1288" t="s">
        <v>113</v>
      </c>
      <c r="B1288" t="s">
        <v>159</v>
      </c>
    </row>
    <row r="1289" spans="1:2" x14ac:dyDescent="0.3">
      <c r="A1289" t="s">
        <v>113</v>
      </c>
      <c r="B1289" t="s">
        <v>159</v>
      </c>
    </row>
    <row r="1290" spans="1:2" x14ac:dyDescent="0.3">
      <c r="A1290" t="s">
        <v>113</v>
      </c>
      <c r="B1290" t="s">
        <v>159</v>
      </c>
    </row>
    <row r="1291" spans="1:2" x14ac:dyDescent="0.3">
      <c r="A1291" t="s">
        <v>113</v>
      </c>
      <c r="B1291" t="s">
        <v>159</v>
      </c>
    </row>
    <row r="1292" spans="1:2" x14ac:dyDescent="0.3">
      <c r="A1292" t="s">
        <v>113</v>
      </c>
      <c r="B1292" t="s">
        <v>159</v>
      </c>
    </row>
    <row r="1293" spans="1:2" x14ac:dyDescent="0.3">
      <c r="A1293" t="s">
        <v>113</v>
      </c>
      <c r="B1293" t="s">
        <v>159</v>
      </c>
    </row>
    <row r="1294" spans="1:2" x14ac:dyDescent="0.3">
      <c r="A1294" t="s">
        <v>113</v>
      </c>
      <c r="B1294" t="s">
        <v>159</v>
      </c>
    </row>
    <row r="1295" spans="1:2" x14ac:dyDescent="0.3">
      <c r="A1295" t="s">
        <v>113</v>
      </c>
      <c r="B1295" t="s">
        <v>159</v>
      </c>
    </row>
    <row r="1296" spans="1:2" x14ac:dyDescent="0.3">
      <c r="A1296" t="s">
        <v>113</v>
      </c>
      <c r="B1296" t="s">
        <v>159</v>
      </c>
    </row>
    <row r="1297" spans="1:2" x14ac:dyDescent="0.3">
      <c r="A1297" t="s">
        <v>113</v>
      </c>
      <c r="B1297" t="s">
        <v>159</v>
      </c>
    </row>
    <row r="1298" spans="1:2" x14ac:dyDescent="0.3">
      <c r="A1298" t="s">
        <v>113</v>
      </c>
      <c r="B1298" t="s">
        <v>159</v>
      </c>
    </row>
    <row r="1299" spans="1:2" x14ac:dyDescent="0.3">
      <c r="A1299" t="s">
        <v>113</v>
      </c>
      <c r="B1299" t="s">
        <v>159</v>
      </c>
    </row>
    <row r="1300" spans="1:2" x14ac:dyDescent="0.3">
      <c r="A1300" t="s">
        <v>113</v>
      </c>
      <c r="B1300" t="s">
        <v>159</v>
      </c>
    </row>
    <row r="1301" spans="1:2" x14ac:dyDescent="0.3">
      <c r="A1301" t="s">
        <v>113</v>
      </c>
      <c r="B1301" t="s">
        <v>159</v>
      </c>
    </row>
    <row r="1302" spans="1:2" x14ac:dyDescent="0.3">
      <c r="A1302" t="s">
        <v>113</v>
      </c>
      <c r="B1302" t="s">
        <v>159</v>
      </c>
    </row>
    <row r="1303" spans="1:2" x14ac:dyDescent="0.3">
      <c r="A1303" t="s">
        <v>113</v>
      </c>
      <c r="B1303" t="s">
        <v>159</v>
      </c>
    </row>
    <row r="1304" spans="1:2" x14ac:dyDescent="0.3">
      <c r="A1304" t="s">
        <v>113</v>
      </c>
      <c r="B1304" t="s">
        <v>159</v>
      </c>
    </row>
    <row r="1305" spans="1:2" x14ac:dyDescent="0.3">
      <c r="A1305" t="s">
        <v>113</v>
      </c>
      <c r="B1305" t="s">
        <v>159</v>
      </c>
    </row>
    <row r="1306" spans="1:2" x14ac:dyDescent="0.3">
      <c r="A1306" t="s">
        <v>113</v>
      </c>
      <c r="B1306" t="s">
        <v>159</v>
      </c>
    </row>
    <row r="1307" spans="1:2" x14ac:dyDescent="0.3">
      <c r="A1307" t="s">
        <v>113</v>
      </c>
      <c r="B1307" t="s">
        <v>159</v>
      </c>
    </row>
    <row r="1308" spans="1:2" x14ac:dyDescent="0.3">
      <c r="A1308" t="s">
        <v>113</v>
      </c>
      <c r="B1308" t="s">
        <v>159</v>
      </c>
    </row>
    <row r="1309" spans="1:2" x14ac:dyDescent="0.3">
      <c r="A1309" t="s">
        <v>113</v>
      </c>
      <c r="B1309" t="s">
        <v>159</v>
      </c>
    </row>
    <row r="1310" spans="1:2" x14ac:dyDescent="0.3">
      <c r="A1310" t="s">
        <v>113</v>
      </c>
      <c r="B1310" t="s">
        <v>159</v>
      </c>
    </row>
    <row r="1311" spans="1:2" x14ac:dyDescent="0.3">
      <c r="A1311" t="s">
        <v>113</v>
      </c>
      <c r="B1311" t="s">
        <v>159</v>
      </c>
    </row>
    <row r="1312" spans="1:2" x14ac:dyDescent="0.3">
      <c r="A1312" t="s">
        <v>113</v>
      </c>
      <c r="B1312" t="s">
        <v>159</v>
      </c>
    </row>
    <row r="1313" spans="1:2" x14ac:dyDescent="0.3">
      <c r="A1313" t="s">
        <v>113</v>
      </c>
      <c r="B1313" t="s">
        <v>159</v>
      </c>
    </row>
    <row r="1314" spans="1:2" x14ac:dyDescent="0.3">
      <c r="A1314" t="s">
        <v>113</v>
      </c>
      <c r="B1314" t="s">
        <v>159</v>
      </c>
    </row>
    <row r="1315" spans="1:2" x14ac:dyDescent="0.3">
      <c r="A1315" t="s">
        <v>113</v>
      </c>
      <c r="B1315" t="s">
        <v>159</v>
      </c>
    </row>
    <row r="1316" spans="1:2" x14ac:dyDescent="0.3">
      <c r="A1316" t="s">
        <v>113</v>
      </c>
      <c r="B1316" t="s">
        <v>159</v>
      </c>
    </row>
    <row r="1317" spans="1:2" x14ac:dyDescent="0.3">
      <c r="A1317" t="s">
        <v>113</v>
      </c>
      <c r="B1317" t="s">
        <v>159</v>
      </c>
    </row>
    <row r="1318" spans="1:2" x14ac:dyDescent="0.3">
      <c r="A1318" t="s">
        <v>113</v>
      </c>
      <c r="B1318" t="s">
        <v>159</v>
      </c>
    </row>
    <row r="1319" spans="1:2" x14ac:dyDescent="0.3">
      <c r="A1319" t="s">
        <v>113</v>
      </c>
      <c r="B1319" t="s">
        <v>159</v>
      </c>
    </row>
    <row r="1320" spans="1:2" x14ac:dyDescent="0.3">
      <c r="A1320" t="s">
        <v>113</v>
      </c>
      <c r="B1320" t="s">
        <v>159</v>
      </c>
    </row>
    <row r="1321" spans="1:2" x14ac:dyDescent="0.3">
      <c r="A1321" t="s">
        <v>113</v>
      </c>
      <c r="B1321" t="s">
        <v>159</v>
      </c>
    </row>
    <row r="1322" spans="1:2" x14ac:dyDescent="0.3">
      <c r="A1322" t="s">
        <v>113</v>
      </c>
      <c r="B1322" t="s">
        <v>159</v>
      </c>
    </row>
    <row r="1323" spans="1:2" x14ac:dyDescent="0.3">
      <c r="A1323" t="s">
        <v>113</v>
      </c>
      <c r="B1323" t="s">
        <v>159</v>
      </c>
    </row>
    <row r="1324" spans="1:2" x14ac:dyDescent="0.3">
      <c r="A1324" t="s">
        <v>113</v>
      </c>
      <c r="B1324" t="s">
        <v>159</v>
      </c>
    </row>
    <row r="1325" spans="1:2" x14ac:dyDescent="0.3">
      <c r="A1325" t="s">
        <v>113</v>
      </c>
      <c r="B1325" t="s">
        <v>159</v>
      </c>
    </row>
    <row r="1326" spans="1:2" x14ac:dyDescent="0.3">
      <c r="A1326" t="s">
        <v>113</v>
      </c>
      <c r="B1326" t="s">
        <v>159</v>
      </c>
    </row>
    <row r="1327" spans="1:2" x14ac:dyDescent="0.3">
      <c r="A1327" t="s">
        <v>113</v>
      </c>
      <c r="B1327" t="s">
        <v>159</v>
      </c>
    </row>
    <row r="1328" spans="1:2" x14ac:dyDescent="0.3">
      <c r="A1328" t="s">
        <v>113</v>
      </c>
      <c r="B1328" t="s">
        <v>159</v>
      </c>
    </row>
    <row r="1329" spans="1:2" x14ac:dyDescent="0.3">
      <c r="A1329" t="s">
        <v>113</v>
      </c>
      <c r="B1329" t="s">
        <v>159</v>
      </c>
    </row>
    <row r="1330" spans="1:2" x14ac:dyDescent="0.3">
      <c r="A1330" t="s">
        <v>113</v>
      </c>
      <c r="B1330" t="s">
        <v>159</v>
      </c>
    </row>
    <row r="1331" spans="1:2" x14ac:dyDescent="0.3">
      <c r="A1331" t="s">
        <v>113</v>
      </c>
      <c r="B1331" t="s">
        <v>159</v>
      </c>
    </row>
    <row r="1332" spans="1:2" x14ac:dyDescent="0.3">
      <c r="A1332" t="s">
        <v>113</v>
      </c>
      <c r="B1332" t="s">
        <v>159</v>
      </c>
    </row>
    <row r="1333" spans="1:2" x14ac:dyDescent="0.3">
      <c r="A1333" t="s">
        <v>113</v>
      </c>
      <c r="B1333" t="s">
        <v>159</v>
      </c>
    </row>
    <row r="1334" spans="1:2" x14ac:dyDescent="0.3">
      <c r="A1334" t="s">
        <v>113</v>
      </c>
      <c r="B1334" t="s">
        <v>159</v>
      </c>
    </row>
    <row r="1335" spans="1:2" x14ac:dyDescent="0.3">
      <c r="A1335" t="s">
        <v>113</v>
      </c>
      <c r="B1335" t="s">
        <v>159</v>
      </c>
    </row>
    <row r="1336" spans="1:2" x14ac:dyDescent="0.3">
      <c r="A1336" t="s">
        <v>113</v>
      </c>
      <c r="B1336" t="s">
        <v>159</v>
      </c>
    </row>
    <row r="1337" spans="1:2" x14ac:dyDescent="0.3">
      <c r="A1337" t="s">
        <v>113</v>
      </c>
      <c r="B1337" t="s">
        <v>159</v>
      </c>
    </row>
    <row r="1338" spans="1:2" x14ac:dyDescent="0.3">
      <c r="A1338" t="s">
        <v>113</v>
      </c>
      <c r="B1338" t="s">
        <v>159</v>
      </c>
    </row>
    <row r="1339" spans="1:2" x14ac:dyDescent="0.3">
      <c r="A1339" t="s">
        <v>113</v>
      </c>
      <c r="B1339" t="s">
        <v>159</v>
      </c>
    </row>
    <row r="1340" spans="1:2" x14ac:dyDescent="0.3">
      <c r="A1340" t="s">
        <v>113</v>
      </c>
      <c r="B1340" t="s">
        <v>159</v>
      </c>
    </row>
    <row r="1341" spans="1:2" x14ac:dyDescent="0.3">
      <c r="A1341" t="s">
        <v>113</v>
      </c>
      <c r="B1341" t="s">
        <v>159</v>
      </c>
    </row>
    <row r="1342" spans="1:2" x14ac:dyDescent="0.3">
      <c r="A1342" t="s">
        <v>113</v>
      </c>
      <c r="B1342" t="s">
        <v>159</v>
      </c>
    </row>
    <row r="1343" spans="1:2" x14ac:dyDescent="0.3">
      <c r="A1343" t="s">
        <v>113</v>
      </c>
      <c r="B1343" t="s">
        <v>159</v>
      </c>
    </row>
    <row r="1344" spans="1:2" x14ac:dyDescent="0.3">
      <c r="A1344" t="s">
        <v>113</v>
      </c>
      <c r="B1344" t="s">
        <v>159</v>
      </c>
    </row>
    <row r="1345" spans="1:2" x14ac:dyDescent="0.3">
      <c r="A1345" t="s">
        <v>113</v>
      </c>
      <c r="B1345" t="s">
        <v>159</v>
      </c>
    </row>
    <row r="1346" spans="1:2" x14ac:dyDescent="0.3">
      <c r="A1346" t="s">
        <v>113</v>
      </c>
      <c r="B1346" t="s">
        <v>159</v>
      </c>
    </row>
    <row r="1347" spans="1:2" x14ac:dyDescent="0.3">
      <c r="A1347" t="s">
        <v>113</v>
      </c>
      <c r="B1347" t="s">
        <v>159</v>
      </c>
    </row>
    <row r="1348" spans="1:2" x14ac:dyDescent="0.3">
      <c r="A1348" t="s">
        <v>113</v>
      </c>
      <c r="B1348" t="s">
        <v>159</v>
      </c>
    </row>
    <row r="1349" spans="1:2" x14ac:dyDescent="0.3">
      <c r="A1349" t="s">
        <v>113</v>
      </c>
      <c r="B1349" t="s">
        <v>159</v>
      </c>
    </row>
    <row r="1350" spans="1:2" x14ac:dyDescent="0.3">
      <c r="A1350" t="s">
        <v>113</v>
      </c>
      <c r="B1350" t="s">
        <v>159</v>
      </c>
    </row>
    <row r="1351" spans="1:2" x14ac:dyDescent="0.3">
      <c r="A1351" t="s">
        <v>113</v>
      </c>
      <c r="B1351" t="s">
        <v>159</v>
      </c>
    </row>
    <row r="1352" spans="1:2" x14ac:dyDescent="0.3">
      <c r="A1352" t="s">
        <v>113</v>
      </c>
      <c r="B1352" t="s">
        <v>159</v>
      </c>
    </row>
    <row r="1353" spans="1:2" x14ac:dyDescent="0.3">
      <c r="A1353" t="s">
        <v>113</v>
      </c>
      <c r="B1353" t="s">
        <v>159</v>
      </c>
    </row>
    <row r="1354" spans="1:2" x14ac:dyDescent="0.3">
      <c r="A1354" t="s">
        <v>113</v>
      </c>
      <c r="B1354" t="s">
        <v>159</v>
      </c>
    </row>
    <row r="1355" spans="1:2" x14ac:dyDescent="0.3">
      <c r="A1355" t="s">
        <v>113</v>
      </c>
      <c r="B1355" t="s">
        <v>159</v>
      </c>
    </row>
    <row r="1356" spans="1:2" x14ac:dyDescent="0.3">
      <c r="A1356" t="s">
        <v>113</v>
      </c>
      <c r="B1356" t="s">
        <v>159</v>
      </c>
    </row>
    <row r="1357" spans="1:2" x14ac:dyDescent="0.3">
      <c r="A1357" t="s">
        <v>113</v>
      </c>
      <c r="B1357" t="s">
        <v>159</v>
      </c>
    </row>
    <row r="1358" spans="1:2" x14ac:dyDescent="0.3">
      <c r="A1358" t="s">
        <v>113</v>
      </c>
      <c r="B1358" t="s">
        <v>159</v>
      </c>
    </row>
    <row r="1359" spans="1:2" x14ac:dyDescent="0.3">
      <c r="A1359" t="s">
        <v>113</v>
      </c>
      <c r="B1359" t="s">
        <v>159</v>
      </c>
    </row>
    <row r="1360" spans="1:2" x14ac:dyDescent="0.3">
      <c r="A1360" t="s">
        <v>113</v>
      </c>
      <c r="B1360" t="s">
        <v>159</v>
      </c>
    </row>
    <row r="1361" spans="1:2" x14ac:dyDescent="0.3">
      <c r="A1361" t="s">
        <v>113</v>
      </c>
      <c r="B1361" t="s">
        <v>159</v>
      </c>
    </row>
    <row r="1362" spans="1:2" x14ac:dyDescent="0.3">
      <c r="A1362" t="s">
        <v>113</v>
      </c>
      <c r="B1362" t="s">
        <v>159</v>
      </c>
    </row>
    <row r="1363" spans="1:2" x14ac:dyDescent="0.3">
      <c r="A1363" t="s">
        <v>113</v>
      </c>
      <c r="B1363" t="s">
        <v>159</v>
      </c>
    </row>
    <row r="1364" spans="1:2" x14ac:dyDescent="0.3">
      <c r="A1364" t="s">
        <v>113</v>
      </c>
      <c r="B1364" t="s">
        <v>159</v>
      </c>
    </row>
    <row r="1365" spans="1:2" x14ac:dyDescent="0.3">
      <c r="A1365" t="s">
        <v>113</v>
      </c>
      <c r="B1365" t="s">
        <v>159</v>
      </c>
    </row>
    <row r="1366" spans="1:2" x14ac:dyDescent="0.3">
      <c r="A1366" t="s">
        <v>113</v>
      </c>
      <c r="B1366" t="s">
        <v>159</v>
      </c>
    </row>
    <row r="1367" spans="1:2" x14ac:dyDescent="0.3">
      <c r="A1367" t="s">
        <v>113</v>
      </c>
      <c r="B1367" t="s">
        <v>159</v>
      </c>
    </row>
    <row r="1368" spans="1:2" x14ac:dyDescent="0.3">
      <c r="A1368" t="s">
        <v>113</v>
      </c>
      <c r="B1368" t="s">
        <v>159</v>
      </c>
    </row>
    <row r="1369" spans="1:2" x14ac:dyDescent="0.3">
      <c r="A1369" t="s">
        <v>113</v>
      </c>
      <c r="B1369" t="s">
        <v>159</v>
      </c>
    </row>
    <row r="1370" spans="1:2" x14ac:dyDescent="0.3">
      <c r="A1370" t="s">
        <v>113</v>
      </c>
      <c r="B1370" t="s">
        <v>159</v>
      </c>
    </row>
    <row r="1371" spans="1:2" x14ac:dyDescent="0.3">
      <c r="A1371" t="s">
        <v>113</v>
      </c>
      <c r="B1371" t="s">
        <v>159</v>
      </c>
    </row>
    <row r="1372" spans="1:2" x14ac:dyDescent="0.3">
      <c r="A1372" t="s">
        <v>113</v>
      </c>
      <c r="B1372" t="s">
        <v>159</v>
      </c>
    </row>
    <row r="1373" spans="1:2" x14ac:dyDescent="0.3">
      <c r="A1373" t="s">
        <v>113</v>
      </c>
      <c r="B1373" t="s">
        <v>159</v>
      </c>
    </row>
    <row r="1374" spans="1:2" x14ac:dyDescent="0.3">
      <c r="A1374" t="s">
        <v>113</v>
      </c>
      <c r="B1374" t="s">
        <v>159</v>
      </c>
    </row>
    <row r="1375" spans="1:2" x14ac:dyDescent="0.3">
      <c r="A1375" t="s">
        <v>113</v>
      </c>
      <c r="B1375" t="s">
        <v>159</v>
      </c>
    </row>
    <row r="1376" spans="1:2" x14ac:dyDescent="0.3">
      <c r="A1376" t="s">
        <v>113</v>
      </c>
      <c r="B1376" t="s">
        <v>159</v>
      </c>
    </row>
    <row r="1377" spans="1:2" x14ac:dyDescent="0.3">
      <c r="A1377" t="s">
        <v>113</v>
      </c>
      <c r="B1377" t="s">
        <v>159</v>
      </c>
    </row>
    <row r="1378" spans="1:2" x14ac:dyDescent="0.3">
      <c r="A1378" t="s">
        <v>113</v>
      </c>
      <c r="B1378" t="s">
        <v>159</v>
      </c>
    </row>
    <row r="1379" spans="1:2" x14ac:dyDescent="0.3">
      <c r="A1379" t="s">
        <v>113</v>
      </c>
      <c r="B1379" t="s">
        <v>159</v>
      </c>
    </row>
    <row r="1380" spans="1:2" x14ac:dyDescent="0.3">
      <c r="A1380" t="s">
        <v>113</v>
      </c>
      <c r="B1380" t="s">
        <v>159</v>
      </c>
    </row>
    <row r="1381" spans="1:2" x14ac:dyDescent="0.3">
      <c r="A1381" t="s">
        <v>113</v>
      </c>
      <c r="B1381" t="s">
        <v>159</v>
      </c>
    </row>
    <row r="1382" spans="1:2" x14ac:dyDescent="0.3">
      <c r="A1382" t="s">
        <v>113</v>
      </c>
      <c r="B1382" t="s">
        <v>159</v>
      </c>
    </row>
    <row r="1383" spans="1:2" x14ac:dyDescent="0.3">
      <c r="A1383" t="s">
        <v>113</v>
      </c>
      <c r="B1383" t="s">
        <v>159</v>
      </c>
    </row>
    <row r="1384" spans="1:2" x14ac:dyDescent="0.3">
      <c r="A1384" t="s">
        <v>113</v>
      </c>
      <c r="B1384" t="s">
        <v>159</v>
      </c>
    </row>
    <row r="1385" spans="1:2" x14ac:dyDescent="0.3">
      <c r="A1385" t="s">
        <v>113</v>
      </c>
      <c r="B1385" t="s">
        <v>159</v>
      </c>
    </row>
    <row r="1386" spans="1:2" x14ac:dyDescent="0.3">
      <c r="A1386" t="s">
        <v>113</v>
      </c>
      <c r="B1386" t="s">
        <v>159</v>
      </c>
    </row>
    <row r="1387" spans="1:2" x14ac:dyDescent="0.3">
      <c r="A1387" t="s">
        <v>113</v>
      </c>
      <c r="B1387" t="s">
        <v>159</v>
      </c>
    </row>
    <row r="1388" spans="1:2" x14ac:dyDescent="0.3">
      <c r="A1388" t="s">
        <v>113</v>
      </c>
      <c r="B1388" t="s">
        <v>159</v>
      </c>
    </row>
    <row r="1389" spans="1:2" x14ac:dyDescent="0.3">
      <c r="A1389" t="s">
        <v>113</v>
      </c>
      <c r="B1389" t="s">
        <v>159</v>
      </c>
    </row>
    <row r="1390" spans="1:2" x14ac:dyDescent="0.3">
      <c r="A1390" t="s">
        <v>113</v>
      </c>
      <c r="B1390" t="s">
        <v>159</v>
      </c>
    </row>
    <row r="1391" spans="1:2" x14ac:dyDescent="0.3">
      <c r="A1391" t="s">
        <v>113</v>
      </c>
      <c r="B1391" t="s">
        <v>159</v>
      </c>
    </row>
    <row r="1392" spans="1:2" x14ac:dyDescent="0.3">
      <c r="A1392" t="s">
        <v>113</v>
      </c>
      <c r="B1392" t="s">
        <v>159</v>
      </c>
    </row>
    <row r="1393" spans="1:2" x14ac:dyDescent="0.3">
      <c r="A1393" t="s">
        <v>113</v>
      </c>
      <c r="B1393" t="s">
        <v>159</v>
      </c>
    </row>
    <row r="1394" spans="1:2" x14ac:dyDescent="0.3">
      <c r="A1394" t="s">
        <v>113</v>
      </c>
      <c r="B1394" t="s">
        <v>159</v>
      </c>
    </row>
    <row r="1395" spans="1:2" x14ac:dyDescent="0.3">
      <c r="A1395" t="s">
        <v>113</v>
      </c>
      <c r="B1395" t="s">
        <v>159</v>
      </c>
    </row>
    <row r="1396" spans="1:2" x14ac:dyDescent="0.3">
      <c r="A1396" t="s">
        <v>113</v>
      </c>
      <c r="B1396" t="s">
        <v>159</v>
      </c>
    </row>
    <row r="1397" spans="1:2" x14ac:dyDescent="0.3">
      <c r="A1397" t="s">
        <v>113</v>
      </c>
      <c r="B1397" t="s">
        <v>159</v>
      </c>
    </row>
    <row r="1398" spans="1:2" x14ac:dyDescent="0.3">
      <c r="A1398" t="s">
        <v>113</v>
      </c>
      <c r="B1398" t="s">
        <v>159</v>
      </c>
    </row>
    <row r="1399" spans="1:2" x14ac:dyDescent="0.3">
      <c r="A1399" t="s">
        <v>113</v>
      </c>
      <c r="B1399" t="s">
        <v>159</v>
      </c>
    </row>
    <row r="1400" spans="1:2" x14ac:dyDescent="0.3">
      <c r="A1400" t="s">
        <v>113</v>
      </c>
      <c r="B1400" t="s">
        <v>159</v>
      </c>
    </row>
    <row r="1401" spans="1:2" x14ac:dyDescent="0.3">
      <c r="A1401" t="s">
        <v>113</v>
      </c>
      <c r="B1401" t="s">
        <v>159</v>
      </c>
    </row>
    <row r="1402" spans="1:2" x14ac:dyDescent="0.3">
      <c r="A1402" t="s">
        <v>113</v>
      </c>
      <c r="B1402" t="s">
        <v>159</v>
      </c>
    </row>
    <row r="1403" spans="1:2" x14ac:dyDescent="0.3">
      <c r="A1403" t="s">
        <v>113</v>
      </c>
      <c r="B1403" t="s">
        <v>159</v>
      </c>
    </row>
    <row r="1404" spans="1:2" x14ac:dyDescent="0.3">
      <c r="A1404" t="s">
        <v>113</v>
      </c>
      <c r="B1404" t="s">
        <v>159</v>
      </c>
    </row>
    <row r="1405" spans="1:2" x14ac:dyDescent="0.3">
      <c r="A1405" t="s">
        <v>113</v>
      </c>
      <c r="B1405" t="s">
        <v>159</v>
      </c>
    </row>
    <row r="1406" spans="1:2" x14ac:dyDescent="0.3">
      <c r="A1406" t="s">
        <v>113</v>
      </c>
      <c r="B1406" t="s">
        <v>159</v>
      </c>
    </row>
    <row r="1407" spans="1:2" x14ac:dyDescent="0.3">
      <c r="A1407" t="s">
        <v>113</v>
      </c>
      <c r="B1407" t="s">
        <v>159</v>
      </c>
    </row>
    <row r="1408" spans="1:2" x14ac:dyDescent="0.3">
      <c r="A1408" t="s">
        <v>113</v>
      </c>
      <c r="B1408" t="s">
        <v>159</v>
      </c>
    </row>
    <row r="1409" spans="1:2" x14ac:dyDescent="0.3">
      <c r="A1409" t="s">
        <v>113</v>
      </c>
      <c r="B1409" t="s">
        <v>159</v>
      </c>
    </row>
    <row r="1410" spans="1:2" x14ac:dyDescent="0.3">
      <c r="A1410" t="s">
        <v>113</v>
      </c>
      <c r="B1410" t="s">
        <v>159</v>
      </c>
    </row>
    <row r="1411" spans="1:2" x14ac:dyDescent="0.3">
      <c r="A1411" t="s">
        <v>113</v>
      </c>
      <c r="B1411" t="s">
        <v>159</v>
      </c>
    </row>
    <row r="1412" spans="1:2" x14ac:dyDescent="0.3">
      <c r="A1412" t="s">
        <v>113</v>
      </c>
      <c r="B1412" t="s">
        <v>159</v>
      </c>
    </row>
    <row r="1413" spans="1:2" x14ac:dyDescent="0.3">
      <c r="A1413" t="s">
        <v>113</v>
      </c>
      <c r="B1413" t="s">
        <v>159</v>
      </c>
    </row>
    <row r="1414" spans="1:2" x14ac:dyDescent="0.3">
      <c r="A1414" t="s">
        <v>113</v>
      </c>
      <c r="B1414" t="s">
        <v>159</v>
      </c>
    </row>
    <row r="1415" spans="1:2" x14ac:dyDescent="0.3">
      <c r="A1415" t="s">
        <v>113</v>
      </c>
      <c r="B1415" t="s">
        <v>159</v>
      </c>
    </row>
    <row r="1416" spans="1:2" x14ac:dyDescent="0.3">
      <c r="A1416" t="s">
        <v>113</v>
      </c>
      <c r="B1416" t="s">
        <v>159</v>
      </c>
    </row>
    <row r="1417" spans="1:2" x14ac:dyDescent="0.3">
      <c r="A1417" t="s">
        <v>113</v>
      </c>
      <c r="B1417" t="s">
        <v>159</v>
      </c>
    </row>
    <row r="1418" spans="1:2" x14ac:dyDescent="0.3">
      <c r="A1418" t="s">
        <v>113</v>
      </c>
      <c r="B1418" t="s">
        <v>159</v>
      </c>
    </row>
    <row r="1419" spans="1:2" x14ac:dyDescent="0.3">
      <c r="A1419" t="s">
        <v>113</v>
      </c>
      <c r="B1419" t="s">
        <v>159</v>
      </c>
    </row>
    <row r="1420" spans="1:2" x14ac:dyDescent="0.3">
      <c r="A1420" t="s">
        <v>113</v>
      </c>
      <c r="B1420" t="s">
        <v>159</v>
      </c>
    </row>
    <row r="1421" spans="1:2" x14ac:dyDescent="0.3">
      <c r="A1421" t="s">
        <v>113</v>
      </c>
      <c r="B1421" t="s">
        <v>159</v>
      </c>
    </row>
    <row r="1422" spans="1:2" x14ac:dyDescent="0.3">
      <c r="A1422" t="s">
        <v>113</v>
      </c>
      <c r="B1422" t="s">
        <v>159</v>
      </c>
    </row>
    <row r="1423" spans="1:2" x14ac:dyDescent="0.3">
      <c r="A1423" t="s">
        <v>113</v>
      </c>
      <c r="B1423" t="s">
        <v>159</v>
      </c>
    </row>
    <row r="1424" spans="1:2" x14ac:dyDescent="0.3">
      <c r="A1424" t="s">
        <v>113</v>
      </c>
      <c r="B1424" t="s">
        <v>159</v>
      </c>
    </row>
    <row r="1425" spans="1:2" x14ac:dyDescent="0.3">
      <c r="A1425" t="s">
        <v>113</v>
      </c>
      <c r="B1425" t="s">
        <v>159</v>
      </c>
    </row>
    <row r="1426" spans="1:2" x14ac:dyDescent="0.3">
      <c r="A1426" t="s">
        <v>113</v>
      </c>
      <c r="B1426" t="s">
        <v>159</v>
      </c>
    </row>
    <row r="1427" spans="1:2" x14ac:dyDescent="0.3">
      <c r="A1427" t="s">
        <v>113</v>
      </c>
      <c r="B1427" t="s">
        <v>159</v>
      </c>
    </row>
    <row r="1428" spans="1:2" x14ac:dyDescent="0.3">
      <c r="A1428" t="s">
        <v>113</v>
      </c>
      <c r="B1428" t="s">
        <v>159</v>
      </c>
    </row>
    <row r="1429" spans="1:2" x14ac:dyDescent="0.3">
      <c r="A1429" t="s">
        <v>113</v>
      </c>
      <c r="B1429" t="s">
        <v>159</v>
      </c>
    </row>
    <row r="1430" spans="1:2" x14ac:dyDescent="0.3">
      <c r="A1430" t="s">
        <v>113</v>
      </c>
      <c r="B1430" t="s">
        <v>159</v>
      </c>
    </row>
    <row r="1431" spans="1:2" x14ac:dyDescent="0.3">
      <c r="A1431" t="s">
        <v>113</v>
      </c>
      <c r="B1431" t="s">
        <v>159</v>
      </c>
    </row>
    <row r="1432" spans="1:2" x14ac:dyDescent="0.3">
      <c r="A1432" t="s">
        <v>113</v>
      </c>
      <c r="B1432" t="s">
        <v>159</v>
      </c>
    </row>
    <row r="1433" spans="1:2" x14ac:dyDescent="0.3">
      <c r="A1433" t="s">
        <v>113</v>
      </c>
      <c r="B1433" t="s">
        <v>159</v>
      </c>
    </row>
    <row r="1434" spans="1:2" x14ac:dyDescent="0.3">
      <c r="A1434" t="s">
        <v>113</v>
      </c>
      <c r="B1434" t="s">
        <v>159</v>
      </c>
    </row>
    <row r="1435" spans="1:2" x14ac:dyDescent="0.3">
      <c r="A1435" t="s">
        <v>113</v>
      </c>
      <c r="B1435" t="s">
        <v>159</v>
      </c>
    </row>
    <row r="1436" spans="1:2" x14ac:dyDescent="0.3">
      <c r="A1436" t="s">
        <v>113</v>
      </c>
      <c r="B1436" t="s">
        <v>159</v>
      </c>
    </row>
    <row r="1437" spans="1:2" x14ac:dyDescent="0.3">
      <c r="A1437" t="s">
        <v>113</v>
      </c>
      <c r="B1437" t="s">
        <v>159</v>
      </c>
    </row>
    <row r="1438" spans="1:2" x14ac:dyDescent="0.3">
      <c r="A1438" t="s">
        <v>113</v>
      </c>
      <c r="B1438" t="s">
        <v>159</v>
      </c>
    </row>
    <row r="1439" spans="1:2" x14ac:dyDescent="0.3">
      <c r="A1439" t="s">
        <v>113</v>
      </c>
      <c r="B1439" t="s">
        <v>159</v>
      </c>
    </row>
    <row r="1440" spans="1:2" x14ac:dyDescent="0.3">
      <c r="A1440" t="s">
        <v>113</v>
      </c>
      <c r="B1440" t="s">
        <v>159</v>
      </c>
    </row>
    <row r="1441" spans="1:2" x14ac:dyDescent="0.3">
      <c r="A1441" t="s">
        <v>113</v>
      </c>
      <c r="B1441" t="s">
        <v>159</v>
      </c>
    </row>
    <row r="1442" spans="1:2" x14ac:dyDescent="0.3">
      <c r="A1442" t="s">
        <v>113</v>
      </c>
      <c r="B1442" t="s">
        <v>159</v>
      </c>
    </row>
    <row r="1443" spans="1:2" x14ac:dyDescent="0.3">
      <c r="A1443" t="s">
        <v>113</v>
      </c>
      <c r="B1443" t="s">
        <v>159</v>
      </c>
    </row>
    <row r="1444" spans="1:2" x14ac:dyDescent="0.3">
      <c r="A1444" t="s">
        <v>113</v>
      </c>
      <c r="B1444" t="s">
        <v>159</v>
      </c>
    </row>
    <row r="1445" spans="1:2" x14ac:dyDescent="0.3">
      <c r="A1445" t="s">
        <v>113</v>
      </c>
      <c r="B1445" t="s">
        <v>159</v>
      </c>
    </row>
    <row r="1446" spans="1:2" x14ac:dyDescent="0.3">
      <c r="A1446" t="s">
        <v>113</v>
      </c>
      <c r="B1446" t="s">
        <v>159</v>
      </c>
    </row>
    <row r="1447" spans="1:2" x14ac:dyDescent="0.3">
      <c r="A1447" t="s">
        <v>113</v>
      </c>
      <c r="B1447" t="s">
        <v>159</v>
      </c>
    </row>
    <row r="1448" spans="1:2" x14ac:dyDescent="0.3">
      <c r="A1448" t="s">
        <v>113</v>
      </c>
      <c r="B1448" t="s">
        <v>159</v>
      </c>
    </row>
    <row r="1449" spans="1:2" x14ac:dyDescent="0.3">
      <c r="A1449" t="s">
        <v>113</v>
      </c>
      <c r="B1449" t="s">
        <v>159</v>
      </c>
    </row>
    <row r="1450" spans="1:2" x14ac:dyDescent="0.3">
      <c r="A1450" t="s">
        <v>113</v>
      </c>
      <c r="B1450" t="s">
        <v>159</v>
      </c>
    </row>
    <row r="1451" spans="1:2" x14ac:dyDescent="0.3">
      <c r="A1451" t="s">
        <v>113</v>
      </c>
      <c r="B1451" t="s">
        <v>159</v>
      </c>
    </row>
    <row r="1452" spans="1:2" x14ac:dyDescent="0.3">
      <c r="A1452" t="s">
        <v>113</v>
      </c>
      <c r="B1452" t="s">
        <v>159</v>
      </c>
    </row>
    <row r="1453" spans="1:2" x14ac:dyDescent="0.3">
      <c r="A1453" t="s">
        <v>113</v>
      </c>
      <c r="B1453" t="s">
        <v>159</v>
      </c>
    </row>
    <row r="1454" spans="1:2" x14ac:dyDescent="0.3">
      <c r="A1454" t="s">
        <v>113</v>
      </c>
      <c r="B1454" t="s">
        <v>159</v>
      </c>
    </row>
    <row r="1455" spans="1:2" x14ac:dyDescent="0.3">
      <c r="A1455" t="s">
        <v>113</v>
      </c>
      <c r="B1455" t="s">
        <v>159</v>
      </c>
    </row>
    <row r="1456" spans="1:2" x14ac:dyDescent="0.3">
      <c r="A1456" t="s">
        <v>113</v>
      </c>
      <c r="B1456" t="s">
        <v>159</v>
      </c>
    </row>
    <row r="1457" spans="1:2" x14ac:dyDescent="0.3">
      <c r="A1457" t="s">
        <v>113</v>
      </c>
      <c r="B1457" t="s">
        <v>159</v>
      </c>
    </row>
    <row r="1458" spans="1:2" x14ac:dyDescent="0.3">
      <c r="A1458" t="s">
        <v>113</v>
      </c>
      <c r="B1458" t="s">
        <v>159</v>
      </c>
    </row>
    <row r="1459" spans="1:2" x14ac:dyDescent="0.3">
      <c r="A1459" t="s">
        <v>113</v>
      </c>
      <c r="B1459" t="s">
        <v>159</v>
      </c>
    </row>
    <row r="1460" spans="1:2" x14ac:dyDescent="0.3">
      <c r="A1460" t="s">
        <v>113</v>
      </c>
      <c r="B1460" t="s">
        <v>159</v>
      </c>
    </row>
    <row r="1461" spans="1:2" x14ac:dyDescent="0.3">
      <c r="A1461" t="s">
        <v>113</v>
      </c>
      <c r="B1461" t="s">
        <v>159</v>
      </c>
    </row>
    <row r="1462" spans="1:2" x14ac:dyDescent="0.3">
      <c r="A1462" t="s">
        <v>113</v>
      </c>
      <c r="B1462" t="s">
        <v>159</v>
      </c>
    </row>
    <row r="1463" spans="1:2" x14ac:dyDescent="0.3">
      <c r="A1463" t="s">
        <v>113</v>
      </c>
      <c r="B1463" t="s">
        <v>159</v>
      </c>
    </row>
    <row r="1464" spans="1:2" x14ac:dyDescent="0.3">
      <c r="A1464" t="s">
        <v>113</v>
      </c>
      <c r="B1464" t="s">
        <v>159</v>
      </c>
    </row>
    <row r="1465" spans="1:2" x14ac:dyDescent="0.3">
      <c r="A1465" t="s">
        <v>113</v>
      </c>
      <c r="B1465" t="s">
        <v>159</v>
      </c>
    </row>
    <row r="1466" spans="1:2" x14ac:dyDescent="0.3">
      <c r="A1466" t="s">
        <v>113</v>
      </c>
      <c r="B1466" t="s">
        <v>159</v>
      </c>
    </row>
    <row r="1467" spans="1:2" x14ac:dyDescent="0.3">
      <c r="A1467" t="s">
        <v>113</v>
      </c>
      <c r="B1467" t="s">
        <v>159</v>
      </c>
    </row>
    <row r="1468" spans="1:2" x14ac:dyDescent="0.3">
      <c r="A1468" t="s">
        <v>113</v>
      </c>
      <c r="B1468" t="s">
        <v>159</v>
      </c>
    </row>
    <row r="1469" spans="1:2" x14ac:dyDescent="0.3">
      <c r="A1469" t="s">
        <v>113</v>
      </c>
      <c r="B1469" t="s">
        <v>159</v>
      </c>
    </row>
    <row r="1470" spans="1:2" x14ac:dyDescent="0.3">
      <c r="A1470" t="s">
        <v>113</v>
      </c>
      <c r="B1470" t="s">
        <v>159</v>
      </c>
    </row>
    <row r="1471" spans="1:2" x14ac:dyDescent="0.3">
      <c r="A1471" t="s">
        <v>113</v>
      </c>
      <c r="B1471" t="s">
        <v>159</v>
      </c>
    </row>
    <row r="1472" spans="1:2" x14ac:dyDescent="0.3">
      <c r="A1472" t="s">
        <v>113</v>
      </c>
      <c r="B1472" t="s">
        <v>159</v>
      </c>
    </row>
    <row r="1473" spans="1:2" x14ac:dyDescent="0.3">
      <c r="A1473" t="s">
        <v>113</v>
      </c>
      <c r="B1473" t="s">
        <v>159</v>
      </c>
    </row>
    <row r="1474" spans="1:2" x14ac:dyDescent="0.3">
      <c r="A1474" t="s">
        <v>113</v>
      </c>
      <c r="B1474" t="s">
        <v>159</v>
      </c>
    </row>
    <row r="1475" spans="1:2" x14ac:dyDescent="0.3">
      <c r="A1475" t="s">
        <v>113</v>
      </c>
      <c r="B1475" t="s">
        <v>159</v>
      </c>
    </row>
    <row r="1476" spans="1:2" x14ac:dyDescent="0.3">
      <c r="A1476" t="s">
        <v>113</v>
      </c>
      <c r="B1476" t="s">
        <v>159</v>
      </c>
    </row>
    <row r="1477" spans="1:2" x14ac:dyDescent="0.3">
      <c r="A1477" t="s">
        <v>113</v>
      </c>
      <c r="B1477" t="s">
        <v>159</v>
      </c>
    </row>
    <row r="1478" spans="1:2" x14ac:dyDescent="0.3">
      <c r="A1478" t="s">
        <v>113</v>
      </c>
      <c r="B1478" t="s">
        <v>159</v>
      </c>
    </row>
    <row r="1479" spans="1:2" x14ac:dyDescent="0.3">
      <c r="A1479" t="s">
        <v>113</v>
      </c>
      <c r="B1479" t="s">
        <v>159</v>
      </c>
    </row>
    <row r="1480" spans="1:2" x14ac:dyDescent="0.3">
      <c r="A1480" t="s">
        <v>113</v>
      </c>
      <c r="B1480" t="s">
        <v>159</v>
      </c>
    </row>
    <row r="1481" spans="1:2" x14ac:dyDescent="0.3">
      <c r="A1481" t="s">
        <v>113</v>
      </c>
      <c r="B1481" t="s">
        <v>159</v>
      </c>
    </row>
    <row r="1482" spans="1:2" x14ac:dyDescent="0.3">
      <c r="A1482" t="s">
        <v>113</v>
      </c>
      <c r="B1482" t="s">
        <v>159</v>
      </c>
    </row>
    <row r="1483" spans="1:2" x14ac:dyDescent="0.3">
      <c r="A1483" t="s">
        <v>113</v>
      </c>
      <c r="B1483" t="s">
        <v>159</v>
      </c>
    </row>
    <row r="1484" spans="1:2" x14ac:dyDescent="0.3">
      <c r="A1484" t="s">
        <v>113</v>
      </c>
      <c r="B1484" t="s">
        <v>159</v>
      </c>
    </row>
    <row r="1485" spans="1:2" x14ac:dyDescent="0.3">
      <c r="A1485" t="s">
        <v>113</v>
      </c>
      <c r="B1485" t="s">
        <v>159</v>
      </c>
    </row>
    <row r="1486" spans="1:2" x14ac:dyDescent="0.3">
      <c r="A1486" t="s">
        <v>113</v>
      </c>
      <c r="B1486" t="s">
        <v>159</v>
      </c>
    </row>
    <row r="1487" spans="1:2" x14ac:dyDescent="0.3">
      <c r="A1487" t="s">
        <v>113</v>
      </c>
      <c r="B1487" t="s">
        <v>159</v>
      </c>
    </row>
    <row r="1488" spans="1:2" x14ac:dyDescent="0.3">
      <c r="A1488" t="s">
        <v>113</v>
      </c>
      <c r="B1488" t="s">
        <v>159</v>
      </c>
    </row>
    <row r="1489" spans="1:2" x14ac:dyDescent="0.3">
      <c r="A1489" t="s">
        <v>113</v>
      </c>
      <c r="B1489" t="s">
        <v>159</v>
      </c>
    </row>
    <row r="1490" spans="1:2" x14ac:dyDescent="0.3">
      <c r="A1490" t="s">
        <v>113</v>
      </c>
      <c r="B1490" t="s">
        <v>159</v>
      </c>
    </row>
    <row r="1491" spans="1:2" x14ac:dyDescent="0.3">
      <c r="A1491" t="s">
        <v>113</v>
      </c>
      <c r="B1491" t="s">
        <v>159</v>
      </c>
    </row>
    <row r="1492" spans="1:2" x14ac:dyDescent="0.3">
      <c r="A1492" t="s">
        <v>113</v>
      </c>
      <c r="B1492" t="s">
        <v>159</v>
      </c>
    </row>
    <row r="1493" spans="1:2" x14ac:dyDescent="0.3">
      <c r="A1493" t="s">
        <v>113</v>
      </c>
      <c r="B1493" t="s">
        <v>159</v>
      </c>
    </row>
    <row r="1494" spans="1:2" x14ac:dyDescent="0.3">
      <c r="A1494" t="s">
        <v>113</v>
      </c>
      <c r="B1494" t="s">
        <v>159</v>
      </c>
    </row>
    <row r="1495" spans="1:2" x14ac:dyDescent="0.3">
      <c r="A1495" t="s">
        <v>113</v>
      </c>
      <c r="B1495" t="s">
        <v>159</v>
      </c>
    </row>
    <row r="1496" spans="1:2" x14ac:dyDescent="0.3">
      <c r="A1496" t="s">
        <v>113</v>
      </c>
      <c r="B1496" t="s">
        <v>159</v>
      </c>
    </row>
    <row r="1497" spans="1:2" x14ac:dyDescent="0.3">
      <c r="A1497" t="s">
        <v>113</v>
      </c>
      <c r="B1497" t="s">
        <v>159</v>
      </c>
    </row>
    <row r="1498" spans="1:2" x14ac:dyDescent="0.3">
      <c r="A1498" t="s">
        <v>113</v>
      </c>
      <c r="B1498" t="s">
        <v>159</v>
      </c>
    </row>
    <row r="1499" spans="1:2" x14ac:dyDescent="0.3">
      <c r="A1499" t="s">
        <v>113</v>
      </c>
      <c r="B1499" t="s">
        <v>159</v>
      </c>
    </row>
    <row r="1500" spans="1:2" x14ac:dyDescent="0.3">
      <c r="A1500" t="s">
        <v>113</v>
      </c>
      <c r="B1500" t="s">
        <v>159</v>
      </c>
    </row>
    <row r="1501" spans="1:2" x14ac:dyDescent="0.3">
      <c r="A1501" t="s">
        <v>113</v>
      </c>
      <c r="B1501" t="s">
        <v>159</v>
      </c>
    </row>
    <row r="1502" spans="1:2" x14ac:dyDescent="0.3">
      <c r="A1502" t="s">
        <v>113</v>
      </c>
      <c r="B1502" t="s">
        <v>159</v>
      </c>
    </row>
    <row r="1503" spans="1:2" x14ac:dyDescent="0.3">
      <c r="A1503" t="s">
        <v>113</v>
      </c>
      <c r="B1503" t="s">
        <v>159</v>
      </c>
    </row>
    <row r="1504" spans="1:2" x14ac:dyDescent="0.3">
      <c r="A1504" t="s">
        <v>113</v>
      </c>
      <c r="B1504" t="s">
        <v>159</v>
      </c>
    </row>
    <row r="1505" spans="1:2" x14ac:dyDescent="0.3">
      <c r="A1505" t="s">
        <v>113</v>
      </c>
      <c r="B1505" t="s">
        <v>159</v>
      </c>
    </row>
    <row r="1506" spans="1:2" x14ac:dyDescent="0.3">
      <c r="A1506" t="s">
        <v>113</v>
      </c>
      <c r="B1506" t="s">
        <v>159</v>
      </c>
    </row>
    <row r="1507" spans="1:2" x14ac:dyDescent="0.3">
      <c r="A1507" t="s">
        <v>113</v>
      </c>
      <c r="B1507" t="s">
        <v>159</v>
      </c>
    </row>
    <row r="1508" spans="1:2" x14ac:dyDescent="0.3">
      <c r="A1508" t="s">
        <v>113</v>
      </c>
      <c r="B1508" t="s">
        <v>159</v>
      </c>
    </row>
    <row r="1509" spans="1:2" x14ac:dyDescent="0.3">
      <c r="A1509" t="s">
        <v>113</v>
      </c>
      <c r="B1509" t="s">
        <v>159</v>
      </c>
    </row>
    <row r="1510" spans="1:2" x14ac:dyDescent="0.3">
      <c r="A1510" t="s">
        <v>113</v>
      </c>
      <c r="B1510" t="s">
        <v>159</v>
      </c>
    </row>
    <row r="1511" spans="1:2" x14ac:dyDescent="0.3">
      <c r="A1511" t="s">
        <v>113</v>
      </c>
      <c r="B1511" t="s">
        <v>159</v>
      </c>
    </row>
    <row r="1512" spans="1:2" x14ac:dyDescent="0.3">
      <c r="A1512" t="s">
        <v>113</v>
      </c>
      <c r="B1512" t="s">
        <v>159</v>
      </c>
    </row>
    <row r="1513" spans="1:2" x14ac:dyDescent="0.3">
      <c r="A1513" t="s">
        <v>113</v>
      </c>
      <c r="B1513" t="s">
        <v>159</v>
      </c>
    </row>
    <row r="1514" spans="1:2" x14ac:dyDescent="0.3">
      <c r="A1514" t="s">
        <v>113</v>
      </c>
      <c r="B1514" t="s">
        <v>159</v>
      </c>
    </row>
    <row r="1515" spans="1:2" x14ac:dyDescent="0.3">
      <c r="A1515" t="s">
        <v>113</v>
      </c>
      <c r="B1515" t="s">
        <v>159</v>
      </c>
    </row>
    <row r="1516" spans="1:2" x14ac:dyDescent="0.3">
      <c r="A1516" t="s">
        <v>113</v>
      </c>
      <c r="B1516" t="s">
        <v>159</v>
      </c>
    </row>
    <row r="1517" spans="1:2" x14ac:dyDescent="0.3">
      <c r="A1517" t="s">
        <v>113</v>
      </c>
      <c r="B1517" t="s">
        <v>159</v>
      </c>
    </row>
    <row r="1518" spans="1:2" x14ac:dyDescent="0.3">
      <c r="A1518" t="s">
        <v>113</v>
      </c>
      <c r="B1518" t="s">
        <v>159</v>
      </c>
    </row>
    <row r="1519" spans="1:2" x14ac:dyDescent="0.3">
      <c r="A1519" t="s">
        <v>113</v>
      </c>
      <c r="B1519" t="s">
        <v>159</v>
      </c>
    </row>
    <row r="1520" spans="1:2" x14ac:dyDescent="0.3">
      <c r="A1520" t="s">
        <v>113</v>
      </c>
      <c r="B1520" t="s">
        <v>159</v>
      </c>
    </row>
    <row r="1521" spans="1:2" x14ac:dyDescent="0.3">
      <c r="A1521" t="s">
        <v>113</v>
      </c>
      <c r="B1521" t="s">
        <v>159</v>
      </c>
    </row>
    <row r="1522" spans="1:2" x14ac:dyDescent="0.3">
      <c r="A1522" t="s">
        <v>113</v>
      </c>
      <c r="B1522" t="s">
        <v>159</v>
      </c>
    </row>
    <row r="1523" spans="1:2" x14ac:dyDescent="0.3">
      <c r="A1523" t="s">
        <v>113</v>
      </c>
      <c r="B1523" t="s">
        <v>159</v>
      </c>
    </row>
    <row r="1524" spans="1:2" x14ac:dyDescent="0.3">
      <c r="A1524" t="s">
        <v>113</v>
      </c>
      <c r="B1524" t="s">
        <v>159</v>
      </c>
    </row>
    <row r="1525" spans="1:2" x14ac:dyDescent="0.3">
      <c r="A1525" t="s">
        <v>113</v>
      </c>
      <c r="B1525" t="s">
        <v>159</v>
      </c>
    </row>
    <row r="1526" spans="1:2" x14ac:dyDescent="0.3">
      <c r="A1526" t="s">
        <v>113</v>
      </c>
      <c r="B1526" t="s">
        <v>159</v>
      </c>
    </row>
    <row r="1527" spans="1:2" x14ac:dyDescent="0.3">
      <c r="A1527" t="s">
        <v>113</v>
      </c>
      <c r="B1527" t="s">
        <v>159</v>
      </c>
    </row>
    <row r="1528" spans="1:2" x14ac:dyDescent="0.3">
      <c r="A1528" t="s">
        <v>113</v>
      </c>
      <c r="B1528" t="s">
        <v>159</v>
      </c>
    </row>
    <row r="1529" spans="1:2" x14ac:dyDescent="0.3">
      <c r="A1529" t="s">
        <v>113</v>
      </c>
      <c r="B1529" t="s">
        <v>159</v>
      </c>
    </row>
    <row r="1530" spans="1:2" x14ac:dyDescent="0.3">
      <c r="A1530" t="s">
        <v>113</v>
      </c>
      <c r="B1530" t="s">
        <v>159</v>
      </c>
    </row>
    <row r="1531" spans="1:2" x14ac:dyDescent="0.3">
      <c r="A1531" t="s">
        <v>113</v>
      </c>
      <c r="B1531" t="s">
        <v>159</v>
      </c>
    </row>
    <row r="1532" spans="1:2" x14ac:dyDescent="0.3">
      <c r="A1532" t="s">
        <v>113</v>
      </c>
      <c r="B1532" t="s">
        <v>159</v>
      </c>
    </row>
    <row r="1533" spans="1:2" x14ac:dyDescent="0.3">
      <c r="A1533" t="s">
        <v>113</v>
      </c>
      <c r="B1533" t="s">
        <v>159</v>
      </c>
    </row>
    <row r="1534" spans="1:2" x14ac:dyDescent="0.3">
      <c r="A1534" t="s">
        <v>113</v>
      </c>
      <c r="B1534" t="s">
        <v>159</v>
      </c>
    </row>
    <row r="1535" spans="1:2" x14ac:dyDescent="0.3">
      <c r="A1535" t="s">
        <v>113</v>
      </c>
      <c r="B1535" t="s">
        <v>159</v>
      </c>
    </row>
    <row r="1536" spans="1:2" x14ac:dyDescent="0.3">
      <c r="A1536" t="s">
        <v>113</v>
      </c>
      <c r="B1536" t="s">
        <v>159</v>
      </c>
    </row>
    <row r="1537" spans="1:2" x14ac:dyDescent="0.3">
      <c r="A1537" t="s">
        <v>113</v>
      </c>
      <c r="B1537" t="s">
        <v>159</v>
      </c>
    </row>
    <row r="1538" spans="1:2" x14ac:dyDescent="0.3">
      <c r="A1538" t="s">
        <v>113</v>
      </c>
      <c r="B1538" t="s">
        <v>159</v>
      </c>
    </row>
    <row r="1539" spans="1:2" x14ac:dyDescent="0.3">
      <c r="A1539" t="s">
        <v>113</v>
      </c>
      <c r="B1539" t="s">
        <v>159</v>
      </c>
    </row>
    <row r="1540" spans="1:2" x14ac:dyDescent="0.3">
      <c r="A1540" t="s">
        <v>113</v>
      </c>
      <c r="B1540" t="s">
        <v>159</v>
      </c>
    </row>
    <row r="1541" spans="1:2" x14ac:dyDescent="0.3">
      <c r="A1541" t="s">
        <v>113</v>
      </c>
      <c r="B1541" t="s">
        <v>159</v>
      </c>
    </row>
    <row r="1542" spans="1:2" x14ac:dyDescent="0.3">
      <c r="A1542" t="s">
        <v>113</v>
      </c>
      <c r="B1542" t="s">
        <v>159</v>
      </c>
    </row>
    <row r="1543" spans="1:2" x14ac:dyDescent="0.3">
      <c r="A1543" t="s">
        <v>113</v>
      </c>
      <c r="B1543" t="s">
        <v>159</v>
      </c>
    </row>
    <row r="1544" spans="1:2" x14ac:dyDescent="0.3">
      <c r="A1544" t="s">
        <v>113</v>
      </c>
      <c r="B1544" t="s">
        <v>159</v>
      </c>
    </row>
    <row r="1545" spans="1:2" x14ac:dyDescent="0.3">
      <c r="A1545" t="s">
        <v>113</v>
      </c>
      <c r="B1545" t="s">
        <v>159</v>
      </c>
    </row>
    <row r="1546" spans="1:2" x14ac:dyDescent="0.3">
      <c r="A1546" t="s">
        <v>113</v>
      </c>
      <c r="B1546" t="s">
        <v>159</v>
      </c>
    </row>
    <row r="1547" spans="1:2" x14ac:dyDescent="0.3">
      <c r="A1547" t="s">
        <v>113</v>
      </c>
      <c r="B1547" t="s">
        <v>159</v>
      </c>
    </row>
    <row r="1548" spans="1:2" x14ac:dyDescent="0.3">
      <c r="A1548" t="s">
        <v>113</v>
      </c>
      <c r="B1548" t="s">
        <v>159</v>
      </c>
    </row>
    <row r="1549" spans="1:2" x14ac:dyDescent="0.3">
      <c r="A1549" t="s">
        <v>113</v>
      </c>
      <c r="B1549" t="s">
        <v>159</v>
      </c>
    </row>
    <row r="1550" spans="1:2" x14ac:dyDescent="0.3">
      <c r="A1550" t="s">
        <v>113</v>
      </c>
      <c r="B1550" t="s">
        <v>159</v>
      </c>
    </row>
    <row r="1551" spans="1:2" x14ac:dyDescent="0.3">
      <c r="A1551" t="s">
        <v>113</v>
      </c>
      <c r="B1551" t="s">
        <v>159</v>
      </c>
    </row>
    <row r="1552" spans="1:2" x14ac:dyDescent="0.3">
      <c r="A1552" t="s">
        <v>113</v>
      </c>
      <c r="B1552" t="s">
        <v>159</v>
      </c>
    </row>
    <row r="1553" spans="1:2" x14ac:dyDescent="0.3">
      <c r="A1553" t="s">
        <v>113</v>
      </c>
      <c r="B1553" t="s">
        <v>159</v>
      </c>
    </row>
    <row r="1554" spans="1:2" x14ac:dyDescent="0.3">
      <c r="A1554" t="s">
        <v>113</v>
      </c>
      <c r="B1554" t="s">
        <v>159</v>
      </c>
    </row>
    <row r="1555" spans="1:2" x14ac:dyDescent="0.3">
      <c r="A1555" t="s">
        <v>113</v>
      </c>
      <c r="B1555" t="s">
        <v>159</v>
      </c>
    </row>
    <row r="1556" spans="1:2" x14ac:dyDescent="0.3">
      <c r="A1556" t="s">
        <v>113</v>
      </c>
      <c r="B1556" t="s">
        <v>159</v>
      </c>
    </row>
    <row r="1557" spans="1:2" x14ac:dyDescent="0.3">
      <c r="A1557" t="s">
        <v>113</v>
      </c>
      <c r="B1557" t="s">
        <v>159</v>
      </c>
    </row>
    <row r="1558" spans="1:2" x14ac:dyDescent="0.3">
      <c r="A1558" t="s">
        <v>113</v>
      </c>
      <c r="B1558" t="s">
        <v>159</v>
      </c>
    </row>
    <row r="1559" spans="1:2" x14ac:dyDescent="0.3">
      <c r="A1559" t="s">
        <v>113</v>
      </c>
      <c r="B1559" t="s">
        <v>159</v>
      </c>
    </row>
    <row r="1560" spans="1:2" x14ac:dyDescent="0.3">
      <c r="A1560" t="s">
        <v>113</v>
      </c>
      <c r="B1560" t="s">
        <v>159</v>
      </c>
    </row>
    <row r="1561" spans="1:2" x14ac:dyDescent="0.3">
      <c r="A1561" t="s">
        <v>113</v>
      </c>
      <c r="B1561" t="s">
        <v>159</v>
      </c>
    </row>
    <row r="1562" spans="1:2" x14ac:dyDescent="0.3">
      <c r="A1562" t="s">
        <v>113</v>
      </c>
      <c r="B1562" t="s">
        <v>159</v>
      </c>
    </row>
    <row r="1563" spans="1:2" x14ac:dyDescent="0.3">
      <c r="A1563" t="s">
        <v>113</v>
      </c>
      <c r="B1563" t="s">
        <v>159</v>
      </c>
    </row>
    <row r="1564" spans="1:2" x14ac:dyDescent="0.3">
      <c r="A1564" t="s">
        <v>113</v>
      </c>
      <c r="B1564" t="s">
        <v>159</v>
      </c>
    </row>
    <row r="1565" spans="1:2" x14ac:dyDescent="0.3">
      <c r="A1565" t="s">
        <v>113</v>
      </c>
      <c r="B1565" t="s">
        <v>159</v>
      </c>
    </row>
    <row r="1566" spans="1:2" x14ac:dyDescent="0.3">
      <c r="A1566" t="s">
        <v>113</v>
      </c>
      <c r="B1566" t="s">
        <v>159</v>
      </c>
    </row>
    <row r="1567" spans="1:2" x14ac:dyDescent="0.3">
      <c r="A1567" t="s">
        <v>113</v>
      </c>
      <c r="B1567" t="s">
        <v>159</v>
      </c>
    </row>
    <row r="1568" spans="1:2" x14ac:dyDescent="0.3">
      <c r="A1568" t="s">
        <v>113</v>
      </c>
      <c r="B1568" t="s">
        <v>159</v>
      </c>
    </row>
    <row r="1569" spans="1:2" x14ac:dyDescent="0.3">
      <c r="A1569" t="s">
        <v>113</v>
      </c>
      <c r="B1569" t="s">
        <v>159</v>
      </c>
    </row>
    <row r="1570" spans="1:2" x14ac:dyDescent="0.3">
      <c r="A1570" t="s">
        <v>113</v>
      </c>
      <c r="B1570" t="s">
        <v>159</v>
      </c>
    </row>
    <row r="1571" spans="1:2" x14ac:dyDescent="0.3">
      <c r="A1571" t="s">
        <v>113</v>
      </c>
      <c r="B1571" t="s">
        <v>159</v>
      </c>
    </row>
    <row r="1572" spans="1:2" x14ac:dyDescent="0.3">
      <c r="A1572" t="s">
        <v>113</v>
      </c>
      <c r="B1572" t="s">
        <v>159</v>
      </c>
    </row>
    <row r="1573" spans="1:2" x14ac:dyDescent="0.3">
      <c r="A1573" t="s">
        <v>113</v>
      </c>
      <c r="B1573" t="s">
        <v>159</v>
      </c>
    </row>
    <row r="1574" spans="1:2" x14ac:dyDescent="0.3">
      <c r="A1574" t="s">
        <v>113</v>
      </c>
      <c r="B1574" t="s">
        <v>159</v>
      </c>
    </row>
    <row r="1575" spans="1:2" x14ac:dyDescent="0.3">
      <c r="A1575" t="s">
        <v>113</v>
      </c>
      <c r="B1575" t="s">
        <v>159</v>
      </c>
    </row>
    <row r="1576" spans="1:2" x14ac:dyDescent="0.3">
      <c r="A1576" t="s">
        <v>113</v>
      </c>
      <c r="B1576" t="s">
        <v>159</v>
      </c>
    </row>
    <row r="1577" spans="1:2" x14ac:dyDescent="0.3">
      <c r="A1577" t="s">
        <v>113</v>
      </c>
      <c r="B1577" t="s">
        <v>159</v>
      </c>
    </row>
    <row r="1578" spans="1:2" x14ac:dyDescent="0.3">
      <c r="A1578" t="s">
        <v>113</v>
      </c>
      <c r="B1578" t="s">
        <v>159</v>
      </c>
    </row>
    <row r="1579" spans="1:2" x14ac:dyDescent="0.3">
      <c r="A1579" t="s">
        <v>113</v>
      </c>
      <c r="B1579" t="s">
        <v>159</v>
      </c>
    </row>
    <row r="1580" spans="1:2" x14ac:dyDescent="0.3">
      <c r="A1580" t="s">
        <v>113</v>
      </c>
      <c r="B1580" t="s">
        <v>159</v>
      </c>
    </row>
    <row r="1581" spans="1:2" x14ac:dyDescent="0.3">
      <c r="A1581" t="s">
        <v>113</v>
      </c>
      <c r="B1581" t="s">
        <v>159</v>
      </c>
    </row>
    <row r="1582" spans="1:2" x14ac:dyDescent="0.3">
      <c r="A1582" t="s">
        <v>113</v>
      </c>
      <c r="B1582" t="s">
        <v>159</v>
      </c>
    </row>
    <row r="1583" spans="1:2" x14ac:dyDescent="0.3">
      <c r="A1583" t="s">
        <v>113</v>
      </c>
      <c r="B1583" t="s">
        <v>159</v>
      </c>
    </row>
    <row r="1584" spans="1:2" x14ac:dyDescent="0.3">
      <c r="A1584" t="s">
        <v>113</v>
      </c>
      <c r="B1584" t="s">
        <v>159</v>
      </c>
    </row>
    <row r="1585" spans="1:2" x14ac:dyDescent="0.3">
      <c r="A1585" t="s">
        <v>113</v>
      </c>
      <c r="B1585" t="s">
        <v>159</v>
      </c>
    </row>
    <row r="1586" spans="1:2" x14ac:dyDescent="0.3">
      <c r="A1586" t="s">
        <v>113</v>
      </c>
      <c r="B1586" t="s">
        <v>159</v>
      </c>
    </row>
    <row r="1587" spans="1:2" x14ac:dyDescent="0.3">
      <c r="A1587" t="s">
        <v>113</v>
      </c>
      <c r="B1587" t="s">
        <v>159</v>
      </c>
    </row>
    <row r="1588" spans="1:2" x14ac:dyDescent="0.3">
      <c r="A1588" t="s">
        <v>113</v>
      </c>
      <c r="B1588" t="s">
        <v>159</v>
      </c>
    </row>
    <row r="1589" spans="1:2" x14ac:dyDescent="0.3">
      <c r="A1589" t="s">
        <v>113</v>
      </c>
      <c r="B1589" t="s">
        <v>159</v>
      </c>
    </row>
    <row r="1590" spans="1:2" x14ac:dyDescent="0.3">
      <c r="A1590" t="s">
        <v>113</v>
      </c>
      <c r="B1590" t="s">
        <v>159</v>
      </c>
    </row>
    <row r="1591" spans="1:2" x14ac:dyDescent="0.3">
      <c r="A1591" t="s">
        <v>113</v>
      </c>
      <c r="B1591" t="s">
        <v>159</v>
      </c>
    </row>
    <row r="1592" spans="1:2" x14ac:dyDescent="0.3">
      <c r="A1592" t="s">
        <v>113</v>
      </c>
      <c r="B1592" t="s">
        <v>159</v>
      </c>
    </row>
    <row r="1593" spans="1:2" x14ac:dyDescent="0.3">
      <c r="A1593" t="s">
        <v>113</v>
      </c>
      <c r="B1593" t="s">
        <v>159</v>
      </c>
    </row>
    <row r="1594" spans="1:2" x14ac:dyDescent="0.3">
      <c r="A1594" t="s">
        <v>113</v>
      </c>
      <c r="B1594" t="s">
        <v>159</v>
      </c>
    </row>
    <row r="1595" spans="1:2" x14ac:dyDescent="0.3">
      <c r="A1595" t="s">
        <v>113</v>
      </c>
      <c r="B1595" t="s">
        <v>159</v>
      </c>
    </row>
    <row r="1596" spans="1:2" x14ac:dyDescent="0.3">
      <c r="A1596" t="s">
        <v>113</v>
      </c>
      <c r="B1596" t="s">
        <v>159</v>
      </c>
    </row>
    <row r="1597" spans="1:2" x14ac:dyDescent="0.3">
      <c r="A1597" t="s">
        <v>113</v>
      </c>
      <c r="B1597" t="s">
        <v>159</v>
      </c>
    </row>
    <row r="1598" spans="1:2" x14ac:dyDescent="0.3">
      <c r="A1598" t="s">
        <v>113</v>
      </c>
      <c r="B1598" t="s">
        <v>159</v>
      </c>
    </row>
    <row r="1599" spans="1:2" x14ac:dyDescent="0.3">
      <c r="A1599" t="s">
        <v>113</v>
      </c>
      <c r="B1599" t="s">
        <v>159</v>
      </c>
    </row>
    <row r="1600" spans="1:2" x14ac:dyDescent="0.3">
      <c r="A1600" t="s">
        <v>113</v>
      </c>
      <c r="B1600" t="s">
        <v>159</v>
      </c>
    </row>
    <row r="1601" spans="1:2" x14ac:dyDescent="0.3">
      <c r="A1601" t="s">
        <v>113</v>
      </c>
      <c r="B1601" t="s">
        <v>159</v>
      </c>
    </row>
    <row r="1602" spans="1:2" x14ac:dyDescent="0.3">
      <c r="A1602" t="s">
        <v>113</v>
      </c>
      <c r="B1602" t="s">
        <v>159</v>
      </c>
    </row>
    <row r="1603" spans="1:2" x14ac:dyDescent="0.3">
      <c r="A1603" t="s">
        <v>113</v>
      </c>
      <c r="B1603" t="s">
        <v>159</v>
      </c>
    </row>
    <row r="1604" spans="1:2" x14ac:dyDescent="0.3">
      <c r="A1604" t="s">
        <v>113</v>
      </c>
      <c r="B1604" t="s">
        <v>159</v>
      </c>
    </row>
    <row r="1605" spans="1:2" x14ac:dyDescent="0.3">
      <c r="A1605" t="s">
        <v>113</v>
      </c>
      <c r="B1605" t="s">
        <v>159</v>
      </c>
    </row>
    <row r="1606" spans="1:2" x14ac:dyDescent="0.3">
      <c r="A1606" t="s">
        <v>113</v>
      </c>
      <c r="B1606" t="s">
        <v>159</v>
      </c>
    </row>
    <row r="1607" spans="1:2" x14ac:dyDescent="0.3">
      <c r="A1607" t="s">
        <v>113</v>
      </c>
      <c r="B1607" t="s">
        <v>159</v>
      </c>
    </row>
    <row r="1608" spans="1:2" x14ac:dyDescent="0.3">
      <c r="A1608" t="s">
        <v>113</v>
      </c>
      <c r="B1608" t="s">
        <v>159</v>
      </c>
    </row>
    <row r="1609" spans="1:2" x14ac:dyDescent="0.3">
      <c r="A1609" t="s">
        <v>113</v>
      </c>
      <c r="B1609" t="s">
        <v>159</v>
      </c>
    </row>
    <row r="1610" spans="1:2" x14ac:dyDescent="0.3">
      <c r="A1610" t="s">
        <v>113</v>
      </c>
      <c r="B1610" t="s">
        <v>159</v>
      </c>
    </row>
    <row r="1611" spans="1:2" x14ac:dyDescent="0.3">
      <c r="A1611" t="s">
        <v>113</v>
      </c>
      <c r="B1611" t="s">
        <v>159</v>
      </c>
    </row>
    <row r="1612" spans="1:2" x14ac:dyDescent="0.3">
      <c r="A1612" t="s">
        <v>113</v>
      </c>
      <c r="B1612" t="s">
        <v>159</v>
      </c>
    </row>
    <row r="1613" spans="1:2" x14ac:dyDescent="0.3">
      <c r="A1613" t="s">
        <v>113</v>
      </c>
      <c r="B1613" t="s">
        <v>159</v>
      </c>
    </row>
    <row r="1614" spans="1:2" x14ac:dyDescent="0.3">
      <c r="A1614" t="s">
        <v>113</v>
      </c>
      <c r="B1614" t="s">
        <v>159</v>
      </c>
    </row>
    <row r="1615" spans="1:2" x14ac:dyDescent="0.3">
      <c r="A1615" t="s">
        <v>113</v>
      </c>
      <c r="B1615" t="s">
        <v>159</v>
      </c>
    </row>
    <row r="1616" spans="1:2" x14ac:dyDescent="0.3">
      <c r="A1616" t="s">
        <v>113</v>
      </c>
      <c r="B1616" t="s">
        <v>159</v>
      </c>
    </row>
    <row r="1617" spans="1:2" x14ac:dyDescent="0.3">
      <c r="A1617" t="s">
        <v>113</v>
      </c>
      <c r="B1617" t="s">
        <v>159</v>
      </c>
    </row>
    <row r="1618" spans="1:2" x14ac:dyDescent="0.3">
      <c r="A1618" t="s">
        <v>113</v>
      </c>
      <c r="B1618" t="s">
        <v>159</v>
      </c>
    </row>
    <row r="1619" spans="1:2" x14ac:dyDescent="0.3">
      <c r="A1619" t="s">
        <v>113</v>
      </c>
      <c r="B1619" t="s">
        <v>159</v>
      </c>
    </row>
    <row r="1620" spans="1:2" x14ac:dyDescent="0.3">
      <c r="A1620" t="s">
        <v>113</v>
      </c>
      <c r="B1620" t="s">
        <v>159</v>
      </c>
    </row>
    <row r="1621" spans="1:2" x14ac:dyDescent="0.3">
      <c r="A1621" t="s">
        <v>113</v>
      </c>
      <c r="B1621" t="s">
        <v>159</v>
      </c>
    </row>
    <row r="1622" spans="1:2" x14ac:dyDescent="0.3">
      <c r="A1622" t="s">
        <v>113</v>
      </c>
      <c r="B1622" t="s">
        <v>159</v>
      </c>
    </row>
    <row r="1623" spans="1:2" x14ac:dyDescent="0.3">
      <c r="A1623" t="s">
        <v>113</v>
      </c>
      <c r="B1623" t="s">
        <v>159</v>
      </c>
    </row>
    <row r="1624" spans="1:2" x14ac:dyDescent="0.3">
      <c r="A1624" t="s">
        <v>113</v>
      </c>
      <c r="B1624" t="s">
        <v>159</v>
      </c>
    </row>
    <row r="1625" spans="1:2" x14ac:dyDescent="0.3">
      <c r="A1625" t="s">
        <v>113</v>
      </c>
      <c r="B1625" t="s">
        <v>159</v>
      </c>
    </row>
    <row r="1626" spans="1:2" x14ac:dyDescent="0.3">
      <c r="A1626" t="s">
        <v>113</v>
      </c>
      <c r="B1626" t="s">
        <v>159</v>
      </c>
    </row>
    <row r="1627" spans="1:2" x14ac:dyDescent="0.3">
      <c r="A1627" t="s">
        <v>113</v>
      </c>
      <c r="B1627" t="s">
        <v>159</v>
      </c>
    </row>
    <row r="1628" spans="1:2" x14ac:dyDescent="0.3">
      <c r="A1628" t="s">
        <v>113</v>
      </c>
      <c r="B1628" t="s">
        <v>159</v>
      </c>
    </row>
    <row r="1629" spans="1:2" x14ac:dyDescent="0.3">
      <c r="A1629" t="s">
        <v>113</v>
      </c>
      <c r="B1629" t="s">
        <v>159</v>
      </c>
    </row>
    <row r="1630" spans="1:2" x14ac:dyDescent="0.3">
      <c r="A1630" t="s">
        <v>113</v>
      </c>
      <c r="B1630" t="s">
        <v>159</v>
      </c>
    </row>
    <row r="1631" spans="1:2" x14ac:dyDescent="0.3">
      <c r="A1631" t="s">
        <v>113</v>
      </c>
      <c r="B1631" t="s">
        <v>159</v>
      </c>
    </row>
    <row r="1632" spans="1:2" x14ac:dyDescent="0.3">
      <c r="A1632" t="s">
        <v>113</v>
      </c>
      <c r="B1632" t="s">
        <v>159</v>
      </c>
    </row>
    <row r="1633" spans="1:2" x14ac:dyDescent="0.3">
      <c r="A1633" t="s">
        <v>113</v>
      </c>
      <c r="B1633" t="s">
        <v>159</v>
      </c>
    </row>
    <row r="1634" spans="1:2" x14ac:dyDescent="0.3">
      <c r="A1634" t="s">
        <v>113</v>
      </c>
      <c r="B1634" t="s">
        <v>159</v>
      </c>
    </row>
    <row r="1635" spans="1:2" x14ac:dyDescent="0.3">
      <c r="A1635" t="s">
        <v>113</v>
      </c>
      <c r="B1635" t="s">
        <v>159</v>
      </c>
    </row>
    <row r="1636" spans="1:2" x14ac:dyDescent="0.3">
      <c r="A1636" t="s">
        <v>113</v>
      </c>
      <c r="B1636" t="s">
        <v>159</v>
      </c>
    </row>
    <row r="1637" spans="1:2" x14ac:dyDescent="0.3">
      <c r="A1637" t="s">
        <v>113</v>
      </c>
      <c r="B1637" t="s">
        <v>159</v>
      </c>
    </row>
    <row r="1638" spans="1:2" x14ac:dyDescent="0.3">
      <c r="A1638" t="s">
        <v>113</v>
      </c>
      <c r="B1638" t="s">
        <v>159</v>
      </c>
    </row>
    <row r="1639" spans="1:2" x14ac:dyDescent="0.3">
      <c r="A1639" t="s">
        <v>113</v>
      </c>
      <c r="B1639" t="s">
        <v>159</v>
      </c>
    </row>
    <row r="1640" spans="1:2" x14ac:dyDescent="0.3">
      <c r="A1640" t="s">
        <v>113</v>
      </c>
      <c r="B1640" t="s">
        <v>159</v>
      </c>
    </row>
    <row r="1641" spans="1:2" x14ac:dyDescent="0.3">
      <c r="A1641" t="s">
        <v>113</v>
      </c>
      <c r="B1641" t="s">
        <v>159</v>
      </c>
    </row>
    <row r="1642" spans="1:2" x14ac:dyDescent="0.3">
      <c r="A1642" t="s">
        <v>113</v>
      </c>
      <c r="B1642" t="s">
        <v>159</v>
      </c>
    </row>
    <row r="1643" spans="1:2" x14ac:dyDescent="0.3">
      <c r="A1643" t="s">
        <v>113</v>
      </c>
      <c r="B1643" t="s">
        <v>159</v>
      </c>
    </row>
    <row r="1644" spans="1:2" x14ac:dyDescent="0.3">
      <c r="A1644" t="s">
        <v>113</v>
      </c>
      <c r="B1644" t="s">
        <v>159</v>
      </c>
    </row>
    <row r="1645" spans="1:2" x14ac:dyDescent="0.3">
      <c r="A1645" t="s">
        <v>113</v>
      </c>
      <c r="B1645" t="s">
        <v>159</v>
      </c>
    </row>
    <row r="1646" spans="1:2" x14ac:dyDescent="0.3">
      <c r="A1646" t="s">
        <v>113</v>
      </c>
      <c r="B1646" t="s">
        <v>159</v>
      </c>
    </row>
    <row r="1647" spans="1:2" x14ac:dyDescent="0.3">
      <c r="A1647" t="s">
        <v>113</v>
      </c>
      <c r="B1647" t="s">
        <v>159</v>
      </c>
    </row>
    <row r="1648" spans="1:2" x14ac:dyDescent="0.3">
      <c r="A1648" t="s">
        <v>113</v>
      </c>
      <c r="B1648" t="s">
        <v>159</v>
      </c>
    </row>
    <row r="1649" spans="1:2" x14ac:dyDescent="0.3">
      <c r="A1649" t="s">
        <v>113</v>
      </c>
      <c r="B1649" t="s">
        <v>159</v>
      </c>
    </row>
    <row r="1650" spans="1:2" x14ac:dyDescent="0.3">
      <c r="A1650" t="s">
        <v>113</v>
      </c>
      <c r="B1650" t="s">
        <v>159</v>
      </c>
    </row>
    <row r="1651" spans="1:2" x14ac:dyDescent="0.3">
      <c r="A1651" t="s">
        <v>113</v>
      </c>
      <c r="B1651" t="s">
        <v>159</v>
      </c>
    </row>
    <row r="1652" spans="1:2" x14ac:dyDescent="0.3">
      <c r="A1652" t="s">
        <v>113</v>
      </c>
      <c r="B1652" t="s">
        <v>159</v>
      </c>
    </row>
    <row r="1653" spans="1:2" x14ac:dyDescent="0.3">
      <c r="A1653" t="s">
        <v>113</v>
      </c>
      <c r="B1653" t="s">
        <v>159</v>
      </c>
    </row>
    <row r="1654" spans="1:2" x14ac:dyDescent="0.3">
      <c r="A1654" t="s">
        <v>113</v>
      </c>
      <c r="B1654" t="s">
        <v>159</v>
      </c>
    </row>
    <row r="1655" spans="1:2" x14ac:dyDescent="0.3">
      <c r="A1655" t="s">
        <v>113</v>
      </c>
      <c r="B1655" t="s">
        <v>159</v>
      </c>
    </row>
    <row r="1656" spans="1:2" x14ac:dyDescent="0.3">
      <c r="A1656" t="s">
        <v>113</v>
      </c>
      <c r="B1656" t="s">
        <v>159</v>
      </c>
    </row>
    <row r="1657" spans="1:2" x14ac:dyDescent="0.3">
      <c r="A1657" t="s">
        <v>113</v>
      </c>
      <c r="B1657" t="s">
        <v>159</v>
      </c>
    </row>
    <row r="1658" spans="1:2" x14ac:dyDescent="0.3">
      <c r="A1658" t="s">
        <v>113</v>
      </c>
      <c r="B1658" t="s">
        <v>159</v>
      </c>
    </row>
    <row r="1659" spans="1:2" x14ac:dyDescent="0.3">
      <c r="A1659" t="s">
        <v>113</v>
      </c>
      <c r="B1659" t="s">
        <v>159</v>
      </c>
    </row>
    <row r="1660" spans="1:2" x14ac:dyDescent="0.3">
      <c r="A1660" t="s">
        <v>113</v>
      </c>
      <c r="B1660" t="s">
        <v>159</v>
      </c>
    </row>
    <row r="1661" spans="1:2" x14ac:dyDescent="0.3">
      <c r="A1661" t="s">
        <v>113</v>
      </c>
      <c r="B1661" t="s">
        <v>159</v>
      </c>
    </row>
    <row r="1662" spans="1:2" x14ac:dyDescent="0.3">
      <c r="A1662" t="s">
        <v>113</v>
      </c>
      <c r="B1662" t="s">
        <v>159</v>
      </c>
    </row>
    <row r="1663" spans="1:2" x14ac:dyDescent="0.3">
      <c r="A1663" t="s">
        <v>113</v>
      </c>
      <c r="B1663" t="s">
        <v>159</v>
      </c>
    </row>
    <row r="1664" spans="1:2" x14ac:dyDescent="0.3">
      <c r="A1664" t="s">
        <v>113</v>
      </c>
      <c r="B1664" t="s">
        <v>159</v>
      </c>
    </row>
    <row r="1665" spans="1:2" x14ac:dyDescent="0.3">
      <c r="A1665" t="s">
        <v>113</v>
      </c>
      <c r="B1665" t="s">
        <v>159</v>
      </c>
    </row>
    <row r="1666" spans="1:2" x14ac:dyDescent="0.3">
      <c r="A1666" t="s">
        <v>113</v>
      </c>
      <c r="B1666" t="s">
        <v>159</v>
      </c>
    </row>
    <row r="1667" spans="1:2" x14ac:dyDescent="0.3">
      <c r="A1667" t="s">
        <v>113</v>
      </c>
      <c r="B1667" t="s">
        <v>159</v>
      </c>
    </row>
    <row r="1668" spans="1:2" x14ac:dyDescent="0.3">
      <c r="A1668" t="s">
        <v>113</v>
      </c>
      <c r="B1668" t="s">
        <v>159</v>
      </c>
    </row>
    <row r="1669" spans="1:2" x14ac:dyDescent="0.3">
      <c r="A1669" t="s">
        <v>113</v>
      </c>
      <c r="B1669" t="s">
        <v>159</v>
      </c>
    </row>
    <row r="1670" spans="1:2" x14ac:dyDescent="0.3">
      <c r="A1670" t="s">
        <v>113</v>
      </c>
      <c r="B1670" t="s">
        <v>159</v>
      </c>
    </row>
    <row r="1671" spans="1:2" x14ac:dyDescent="0.3">
      <c r="A1671" t="s">
        <v>113</v>
      </c>
      <c r="B1671" t="s">
        <v>159</v>
      </c>
    </row>
    <row r="1672" spans="1:2" x14ac:dyDescent="0.3">
      <c r="A1672" t="s">
        <v>113</v>
      </c>
      <c r="B1672" t="s">
        <v>159</v>
      </c>
    </row>
    <row r="1673" spans="1:2" x14ac:dyDescent="0.3">
      <c r="A1673" t="s">
        <v>113</v>
      </c>
      <c r="B1673" t="s">
        <v>159</v>
      </c>
    </row>
    <row r="1674" spans="1:2" x14ac:dyDescent="0.3">
      <c r="A1674" t="s">
        <v>113</v>
      </c>
      <c r="B1674" t="s">
        <v>159</v>
      </c>
    </row>
    <row r="1675" spans="1:2" x14ac:dyDescent="0.3">
      <c r="A1675" t="s">
        <v>113</v>
      </c>
      <c r="B1675" t="s">
        <v>159</v>
      </c>
    </row>
    <row r="1676" spans="1:2" x14ac:dyDescent="0.3">
      <c r="A1676" t="s">
        <v>113</v>
      </c>
      <c r="B1676" t="s">
        <v>159</v>
      </c>
    </row>
    <row r="1677" spans="1:2" x14ac:dyDescent="0.3">
      <c r="A1677" t="s">
        <v>113</v>
      </c>
      <c r="B1677" t="s">
        <v>159</v>
      </c>
    </row>
    <row r="1678" spans="1:2" x14ac:dyDescent="0.3">
      <c r="A1678" t="s">
        <v>113</v>
      </c>
      <c r="B1678" t="s">
        <v>159</v>
      </c>
    </row>
    <row r="1679" spans="1:2" x14ac:dyDescent="0.3">
      <c r="A1679" t="s">
        <v>113</v>
      </c>
      <c r="B1679" t="s">
        <v>159</v>
      </c>
    </row>
    <row r="1680" spans="1:2" x14ac:dyDescent="0.3">
      <c r="A1680" t="s">
        <v>113</v>
      </c>
      <c r="B1680" t="s">
        <v>159</v>
      </c>
    </row>
    <row r="1681" spans="1:2" x14ac:dyDescent="0.3">
      <c r="A1681" t="s">
        <v>113</v>
      </c>
      <c r="B1681" t="s">
        <v>159</v>
      </c>
    </row>
    <row r="1682" spans="1:2" x14ac:dyDescent="0.3">
      <c r="A1682" t="s">
        <v>113</v>
      </c>
      <c r="B1682" t="s">
        <v>159</v>
      </c>
    </row>
    <row r="1683" spans="1:2" x14ac:dyDescent="0.3">
      <c r="A1683" t="s">
        <v>113</v>
      </c>
      <c r="B1683" t="s">
        <v>159</v>
      </c>
    </row>
    <row r="1684" spans="1:2" x14ac:dyDescent="0.3">
      <c r="A1684" t="s">
        <v>113</v>
      </c>
      <c r="B1684" t="s">
        <v>159</v>
      </c>
    </row>
    <row r="1685" spans="1:2" x14ac:dyDescent="0.3">
      <c r="A1685" t="s">
        <v>113</v>
      </c>
      <c r="B1685" t="s">
        <v>159</v>
      </c>
    </row>
    <row r="1686" spans="1:2" x14ac:dyDescent="0.3">
      <c r="A1686" t="s">
        <v>113</v>
      </c>
      <c r="B1686" t="s">
        <v>159</v>
      </c>
    </row>
    <row r="1687" spans="1:2" x14ac:dyDescent="0.3">
      <c r="A1687" t="s">
        <v>113</v>
      </c>
      <c r="B1687" t="s">
        <v>159</v>
      </c>
    </row>
    <row r="1688" spans="1:2" x14ac:dyDescent="0.3">
      <c r="A1688" t="s">
        <v>113</v>
      </c>
      <c r="B1688" t="s">
        <v>159</v>
      </c>
    </row>
    <row r="1689" spans="1:2" x14ac:dyDescent="0.3">
      <c r="A1689" t="s">
        <v>113</v>
      </c>
      <c r="B1689" t="s">
        <v>159</v>
      </c>
    </row>
    <row r="1690" spans="1:2" x14ac:dyDescent="0.3">
      <c r="A1690" t="s">
        <v>113</v>
      </c>
      <c r="B1690" t="s">
        <v>159</v>
      </c>
    </row>
    <row r="1691" spans="1:2" x14ac:dyDescent="0.3">
      <c r="A1691" t="s">
        <v>113</v>
      </c>
      <c r="B1691" t="s">
        <v>159</v>
      </c>
    </row>
    <row r="1692" spans="1:2" x14ac:dyDescent="0.3">
      <c r="A1692" t="s">
        <v>113</v>
      </c>
      <c r="B1692" t="s">
        <v>159</v>
      </c>
    </row>
    <row r="1693" spans="1:2" x14ac:dyDescent="0.3">
      <c r="A1693" t="s">
        <v>113</v>
      </c>
      <c r="B1693" t="s">
        <v>159</v>
      </c>
    </row>
    <row r="1694" spans="1:2" x14ac:dyDescent="0.3">
      <c r="A1694" t="s">
        <v>113</v>
      </c>
      <c r="B1694" t="s">
        <v>159</v>
      </c>
    </row>
    <row r="1695" spans="1:2" x14ac:dyDescent="0.3">
      <c r="A1695" t="s">
        <v>113</v>
      </c>
      <c r="B1695" t="s">
        <v>159</v>
      </c>
    </row>
    <row r="1696" spans="1:2" x14ac:dyDescent="0.3">
      <c r="A1696" t="s">
        <v>113</v>
      </c>
      <c r="B1696" t="s">
        <v>159</v>
      </c>
    </row>
    <row r="1697" spans="1:2" x14ac:dyDescent="0.3">
      <c r="A1697" t="s">
        <v>113</v>
      </c>
      <c r="B1697" t="s">
        <v>159</v>
      </c>
    </row>
    <row r="1698" spans="1:2" x14ac:dyDescent="0.3">
      <c r="A1698" t="s">
        <v>113</v>
      </c>
      <c r="B1698" t="s">
        <v>159</v>
      </c>
    </row>
    <row r="1699" spans="1:2" x14ac:dyDescent="0.3">
      <c r="A1699" t="s">
        <v>113</v>
      </c>
      <c r="B1699" t="s">
        <v>159</v>
      </c>
    </row>
    <row r="1700" spans="1:2" x14ac:dyDescent="0.3">
      <c r="A1700" t="s">
        <v>113</v>
      </c>
      <c r="B1700" t="s">
        <v>159</v>
      </c>
    </row>
    <row r="1701" spans="1:2" x14ac:dyDescent="0.3">
      <c r="A1701" t="s">
        <v>113</v>
      </c>
      <c r="B1701" t="s">
        <v>159</v>
      </c>
    </row>
    <row r="1702" spans="1:2" x14ac:dyDescent="0.3">
      <c r="A1702" t="s">
        <v>113</v>
      </c>
      <c r="B1702" t="s">
        <v>159</v>
      </c>
    </row>
    <row r="1703" spans="1:2" x14ac:dyDescent="0.3">
      <c r="A1703" t="s">
        <v>113</v>
      </c>
      <c r="B1703" t="s">
        <v>159</v>
      </c>
    </row>
    <row r="1704" spans="1:2" x14ac:dyDescent="0.3">
      <c r="A1704" t="s">
        <v>113</v>
      </c>
      <c r="B1704" t="s">
        <v>159</v>
      </c>
    </row>
    <row r="1705" spans="1:2" x14ac:dyDescent="0.3">
      <c r="A1705" t="s">
        <v>113</v>
      </c>
      <c r="B1705" t="s">
        <v>159</v>
      </c>
    </row>
    <row r="1706" spans="1:2" x14ac:dyDescent="0.3">
      <c r="A1706" t="s">
        <v>113</v>
      </c>
      <c r="B1706" t="s">
        <v>159</v>
      </c>
    </row>
    <row r="1707" spans="1:2" x14ac:dyDescent="0.3">
      <c r="A1707" t="s">
        <v>113</v>
      </c>
      <c r="B1707" t="s">
        <v>159</v>
      </c>
    </row>
    <row r="1708" spans="1:2" x14ac:dyDescent="0.3">
      <c r="A1708" t="s">
        <v>113</v>
      </c>
      <c r="B1708" t="s">
        <v>159</v>
      </c>
    </row>
    <row r="1709" spans="1:2" x14ac:dyDescent="0.3">
      <c r="A1709" t="s">
        <v>113</v>
      </c>
      <c r="B1709" t="s">
        <v>159</v>
      </c>
    </row>
    <row r="1710" spans="1:2" x14ac:dyDescent="0.3">
      <c r="A1710" t="s">
        <v>113</v>
      </c>
      <c r="B1710" t="s">
        <v>159</v>
      </c>
    </row>
    <row r="1711" spans="1:2" x14ac:dyDescent="0.3">
      <c r="A1711" t="s">
        <v>113</v>
      </c>
      <c r="B1711" t="s">
        <v>159</v>
      </c>
    </row>
    <row r="1712" spans="1:2" x14ac:dyDescent="0.3">
      <c r="A1712" t="s">
        <v>113</v>
      </c>
      <c r="B1712" t="s">
        <v>159</v>
      </c>
    </row>
    <row r="1713" spans="1:2" x14ac:dyDescent="0.3">
      <c r="A1713" t="s">
        <v>113</v>
      </c>
      <c r="B1713" t="s">
        <v>159</v>
      </c>
    </row>
    <row r="1714" spans="1:2" x14ac:dyDescent="0.3">
      <c r="A1714" t="s">
        <v>113</v>
      </c>
      <c r="B1714" t="s">
        <v>159</v>
      </c>
    </row>
    <row r="1715" spans="1:2" x14ac:dyDescent="0.3">
      <c r="A1715" t="s">
        <v>113</v>
      </c>
      <c r="B1715" t="s">
        <v>159</v>
      </c>
    </row>
    <row r="1716" spans="1:2" x14ac:dyDescent="0.3">
      <c r="A1716" t="s">
        <v>113</v>
      </c>
      <c r="B1716" t="s">
        <v>159</v>
      </c>
    </row>
    <row r="1717" spans="1:2" x14ac:dyDescent="0.3">
      <c r="A1717" t="s">
        <v>113</v>
      </c>
      <c r="B1717" t="s">
        <v>159</v>
      </c>
    </row>
    <row r="1718" spans="1:2" x14ac:dyDescent="0.3">
      <c r="A1718" t="s">
        <v>113</v>
      </c>
      <c r="B1718" t="s">
        <v>159</v>
      </c>
    </row>
    <row r="1719" spans="1:2" x14ac:dyDescent="0.3">
      <c r="A1719" t="s">
        <v>113</v>
      </c>
      <c r="B1719" t="s">
        <v>159</v>
      </c>
    </row>
    <row r="1720" spans="1:2" x14ac:dyDescent="0.3">
      <c r="A1720" t="s">
        <v>113</v>
      </c>
      <c r="B1720" t="s">
        <v>159</v>
      </c>
    </row>
    <row r="1721" spans="1:2" x14ac:dyDescent="0.3">
      <c r="A1721" t="s">
        <v>113</v>
      </c>
      <c r="B1721" t="s">
        <v>159</v>
      </c>
    </row>
    <row r="1722" spans="1:2" x14ac:dyDescent="0.3">
      <c r="A1722" t="s">
        <v>113</v>
      </c>
      <c r="B1722" t="s">
        <v>159</v>
      </c>
    </row>
    <row r="1723" spans="1:2" x14ac:dyDescent="0.3">
      <c r="A1723" t="s">
        <v>113</v>
      </c>
      <c r="B1723" t="s">
        <v>159</v>
      </c>
    </row>
    <row r="1724" spans="1:2" x14ac:dyDescent="0.3">
      <c r="A1724" t="s">
        <v>113</v>
      </c>
      <c r="B1724" t="s">
        <v>159</v>
      </c>
    </row>
    <row r="1725" spans="1:2" x14ac:dyDescent="0.3">
      <c r="A1725" t="s">
        <v>113</v>
      </c>
      <c r="B1725" t="s">
        <v>159</v>
      </c>
    </row>
    <row r="1726" spans="1:2" x14ac:dyDescent="0.3">
      <c r="A1726" t="s">
        <v>113</v>
      </c>
      <c r="B1726" t="s">
        <v>159</v>
      </c>
    </row>
    <row r="1727" spans="1:2" x14ac:dyDescent="0.3">
      <c r="A1727" t="s">
        <v>113</v>
      </c>
      <c r="B1727" t="s">
        <v>159</v>
      </c>
    </row>
    <row r="1728" spans="1:2" x14ac:dyDescent="0.3">
      <c r="A1728" t="s">
        <v>113</v>
      </c>
      <c r="B1728" t="s">
        <v>159</v>
      </c>
    </row>
    <row r="1729" spans="1:2" x14ac:dyDescent="0.3">
      <c r="A1729" t="s">
        <v>113</v>
      </c>
      <c r="B1729" t="s">
        <v>159</v>
      </c>
    </row>
    <row r="1730" spans="1:2" x14ac:dyDescent="0.3">
      <c r="A1730" t="s">
        <v>113</v>
      </c>
      <c r="B1730" t="s">
        <v>159</v>
      </c>
    </row>
    <row r="1731" spans="1:2" x14ac:dyDescent="0.3">
      <c r="A1731" t="s">
        <v>113</v>
      </c>
      <c r="B1731" t="s">
        <v>159</v>
      </c>
    </row>
    <row r="1732" spans="1:2" x14ac:dyDescent="0.3">
      <c r="A1732" t="s">
        <v>113</v>
      </c>
      <c r="B1732" t="s">
        <v>159</v>
      </c>
    </row>
    <row r="1733" spans="1:2" x14ac:dyDescent="0.3">
      <c r="A1733" t="s">
        <v>113</v>
      </c>
      <c r="B1733" t="s">
        <v>159</v>
      </c>
    </row>
    <row r="1734" spans="1:2" x14ac:dyDescent="0.3">
      <c r="A1734" t="s">
        <v>113</v>
      </c>
      <c r="B1734" t="s">
        <v>159</v>
      </c>
    </row>
    <row r="1735" spans="1:2" x14ac:dyDescent="0.3">
      <c r="A1735" t="s">
        <v>113</v>
      </c>
      <c r="B1735" t="s">
        <v>159</v>
      </c>
    </row>
    <row r="1736" spans="1:2" x14ac:dyDescent="0.3">
      <c r="A1736" t="s">
        <v>113</v>
      </c>
      <c r="B1736" t="s">
        <v>159</v>
      </c>
    </row>
    <row r="1737" spans="1:2" x14ac:dyDescent="0.3">
      <c r="A1737" t="s">
        <v>113</v>
      </c>
      <c r="B1737" t="s">
        <v>159</v>
      </c>
    </row>
    <row r="1738" spans="1:2" x14ac:dyDescent="0.3">
      <c r="A1738" t="s">
        <v>113</v>
      </c>
      <c r="B1738" t="s">
        <v>159</v>
      </c>
    </row>
    <row r="1739" spans="1:2" x14ac:dyDescent="0.3">
      <c r="A1739" t="s">
        <v>113</v>
      </c>
      <c r="B1739" t="s">
        <v>159</v>
      </c>
    </row>
    <row r="1740" spans="1:2" x14ac:dyDescent="0.3">
      <c r="A1740" t="s">
        <v>113</v>
      </c>
      <c r="B1740" t="s">
        <v>159</v>
      </c>
    </row>
    <row r="1741" spans="1:2" x14ac:dyDescent="0.3">
      <c r="A1741" t="s">
        <v>113</v>
      </c>
      <c r="B1741" t="s">
        <v>159</v>
      </c>
    </row>
    <row r="1742" spans="1:2" x14ac:dyDescent="0.3">
      <c r="A1742" t="s">
        <v>113</v>
      </c>
      <c r="B1742" t="s">
        <v>159</v>
      </c>
    </row>
    <row r="1743" spans="1:2" x14ac:dyDescent="0.3">
      <c r="A1743" t="s">
        <v>113</v>
      </c>
      <c r="B1743" t="s">
        <v>159</v>
      </c>
    </row>
    <row r="1744" spans="1:2" x14ac:dyDescent="0.3">
      <c r="A1744" t="s">
        <v>113</v>
      </c>
      <c r="B1744" t="s">
        <v>159</v>
      </c>
    </row>
    <row r="1745" spans="1:2" x14ac:dyDescent="0.3">
      <c r="A1745" t="s">
        <v>113</v>
      </c>
      <c r="B1745" t="s">
        <v>159</v>
      </c>
    </row>
    <row r="1746" spans="1:2" x14ac:dyDescent="0.3">
      <c r="A1746" t="s">
        <v>113</v>
      </c>
      <c r="B1746" t="s">
        <v>159</v>
      </c>
    </row>
    <row r="1747" spans="1:2" x14ac:dyDescent="0.3">
      <c r="A1747" t="s">
        <v>113</v>
      </c>
      <c r="B1747" t="s">
        <v>158</v>
      </c>
    </row>
    <row r="1748" spans="1:2" x14ac:dyDescent="0.3">
      <c r="A1748" t="s">
        <v>113</v>
      </c>
      <c r="B1748" t="s">
        <v>159</v>
      </c>
    </row>
    <row r="1749" spans="1:2" x14ac:dyDescent="0.3">
      <c r="A1749" t="s">
        <v>113</v>
      </c>
      <c r="B1749" t="s">
        <v>159</v>
      </c>
    </row>
    <row r="1750" spans="1:2" x14ac:dyDescent="0.3">
      <c r="A1750" t="s">
        <v>113</v>
      </c>
      <c r="B1750" t="s">
        <v>159</v>
      </c>
    </row>
    <row r="1751" spans="1:2" x14ac:dyDescent="0.3">
      <c r="A1751" t="s">
        <v>113</v>
      </c>
      <c r="B1751" t="s">
        <v>159</v>
      </c>
    </row>
    <row r="1752" spans="1:2" x14ac:dyDescent="0.3">
      <c r="A1752" t="s">
        <v>113</v>
      </c>
      <c r="B1752" t="s">
        <v>159</v>
      </c>
    </row>
    <row r="1753" spans="1:2" x14ac:dyDescent="0.3">
      <c r="A1753" t="s">
        <v>113</v>
      </c>
      <c r="B1753" t="s">
        <v>159</v>
      </c>
    </row>
    <row r="1754" spans="1:2" x14ac:dyDescent="0.3">
      <c r="A1754" t="s">
        <v>113</v>
      </c>
      <c r="B1754" t="s">
        <v>159</v>
      </c>
    </row>
    <row r="1755" spans="1:2" x14ac:dyDescent="0.3">
      <c r="A1755" t="s">
        <v>113</v>
      </c>
      <c r="B1755" t="s">
        <v>159</v>
      </c>
    </row>
    <row r="1756" spans="1:2" x14ac:dyDescent="0.3">
      <c r="A1756" t="s">
        <v>113</v>
      </c>
      <c r="B1756" t="s">
        <v>159</v>
      </c>
    </row>
    <row r="1757" spans="1:2" x14ac:dyDescent="0.3">
      <c r="A1757" t="s">
        <v>113</v>
      </c>
      <c r="B1757" t="s">
        <v>159</v>
      </c>
    </row>
    <row r="1758" spans="1:2" x14ac:dyDescent="0.3">
      <c r="A1758" t="s">
        <v>113</v>
      </c>
      <c r="B1758" t="s">
        <v>159</v>
      </c>
    </row>
    <row r="1759" spans="1:2" x14ac:dyDescent="0.3">
      <c r="A1759" t="s">
        <v>113</v>
      </c>
      <c r="B1759" t="s">
        <v>159</v>
      </c>
    </row>
    <row r="1760" spans="1:2" x14ac:dyDescent="0.3">
      <c r="A1760" t="s">
        <v>113</v>
      </c>
      <c r="B1760" t="s">
        <v>159</v>
      </c>
    </row>
    <row r="1761" spans="1:2" x14ac:dyDescent="0.3">
      <c r="A1761" t="s">
        <v>113</v>
      </c>
      <c r="B1761" t="s">
        <v>159</v>
      </c>
    </row>
    <row r="1762" spans="1:2" x14ac:dyDescent="0.3">
      <c r="A1762" t="s">
        <v>113</v>
      </c>
      <c r="B1762" t="s">
        <v>159</v>
      </c>
    </row>
    <row r="1763" spans="1:2" x14ac:dyDescent="0.3">
      <c r="A1763" t="s">
        <v>113</v>
      </c>
      <c r="B1763" t="s">
        <v>159</v>
      </c>
    </row>
    <row r="1764" spans="1:2" x14ac:dyDescent="0.3">
      <c r="A1764" t="s">
        <v>113</v>
      </c>
      <c r="B1764" t="s">
        <v>159</v>
      </c>
    </row>
    <row r="1765" spans="1:2" x14ac:dyDescent="0.3">
      <c r="A1765" t="s">
        <v>113</v>
      </c>
      <c r="B1765" t="s">
        <v>159</v>
      </c>
    </row>
    <row r="1766" spans="1:2" x14ac:dyDescent="0.3">
      <c r="A1766" t="s">
        <v>113</v>
      </c>
      <c r="B1766" t="s">
        <v>159</v>
      </c>
    </row>
    <row r="1767" spans="1:2" x14ac:dyDescent="0.3">
      <c r="A1767" t="s">
        <v>113</v>
      </c>
      <c r="B1767" t="s">
        <v>159</v>
      </c>
    </row>
    <row r="1768" spans="1:2" x14ac:dyDescent="0.3">
      <c r="A1768" t="s">
        <v>113</v>
      </c>
      <c r="B1768" t="s">
        <v>159</v>
      </c>
    </row>
    <row r="1769" spans="1:2" x14ac:dyDescent="0.3">
      <c r="A1769" t="s">
        <v>113</v>
      </c>
      <c r="B1769" t="s">
        <v>159</v>
      </c>
    </row>
    <row r="1770" spans="1:2" x14ac:dyDescent="0.3">
      <c r="A1770" t="s">
        <v>113</v>
      </c>
      <c r="B1770" t="s">
        <v>159</v>
      </c>
    </row>
    <row r="1771" spans="1:2" x14ac:dyDescent="0.3">
      <c r="A1771" t="s">
        <v>113</v>
      </c>
      <c r="B1771" t="s">
        <v>159</v>
      </c>
    </row>
    <row r="1772" spans="1:2" x14ac:dyDescent="0.3">
      <c r="A1772" t="s">
        <v>113</v>
      </c>
      <c r="B1772" t="s">
        <v>159</v>
      </c>
    </row>
    <row r="1773" spans="1:2" x14ac:dyDescent="0.3">
      <c r="A1773" t="s">
        <v>113</v>
      </c>
      <c r="B1773" t="s">
        <v>159</v>
      </c>
    </row>
    <row r="1774" spans="1:2" x14ac:dyDescent="0.3">
      <c r="A1774" t="s">
        <v>113</v>
      </c>
      <c r="B1774" t="s">
        <v>159</v>
      </c>
    </row>
    <row r="1775" spans="1:2" x14ac:dyDescent="0.3">
      <c r="A1775" t="s">
        <v>113</v>
      </c>
      <c r="B1775" t="s">
        <v>159</v>
      </c>
    </row>
    <row r="1776" spans="1:2" x14ac:dyDescent="0.3">
      <c r="A1776" t="s">
        <v>113</v>
      </c>
      <c r="B1776" t="s">
        <v>159</v>
      </c>
    </row>
    <row r="1777" spans="1:2" x14ac:dyDescent="0.3">
      <c r="A1777" t="s">
        <v>113</v>
      </c>
      <c r="B1777" t="s">
        <v>159</v>
      </c>
    </row>
    <row r="1778" spans="1:2" x14ac:dyDescent="0.3">
      <c r="A1778" t="s">
        <v>113</v>
      </c>
      <c r="B1778" t="s">
        <v>159</v>
      </c>
    </row>
    <row r="1779" spans="1:2" x14ac:dyDescent="0.3">
      <c r="A1779" t="s">
        <v>113</v>
      </c>
      <c r="B1779" t="s">
        <v>159</v>
      </c>
    </row>
    <row r="1780" spans="1:2" x14ac:dyDescent="0.3">
      <c r="A1780" t="s">
        <v>113</v>
      </c>
      <c r="B1780" t="s">
        <v>159</v>
      </c>
    </row>
    <row r="1781" spans="1:2" x14ac:dyDescent="0.3">
      <c r="A1781" t="s">
        <v>113</v>
      </c>
      <c r="B1781" t="s">
        <v>159</v>
      </c>
    </row>
    <row r="1782" spans="1:2" x14ac:dyDescent="0.3">
      <c r="A1782" t="s">
        <v>113</v>
      </c>
      <c r="B1782" t="s">
        <v>159</v>
      </c>
    </row>
    <row r="1783" spans="1:2" x14ac:dyDescent="0.3">
      <c r="A1783" t="s">
        <v>113</v>
      </c>
      <c r="B1783" t="s">
        <v>159</v>
      </c>
    </row>
    <row r="1784" spans="1:2" x14ac:dyDescent="0.3">
      <c r="A1784" t="s">
        <v>113</v>
      </c>
      <c r="B1784" t="s">
        <v>159</v>
      </c>
    </row>
    <row r="1785" spans="1:2" x14ac:dyDescent="0.3">
      <c r="A1785" t="s">
        <v>113</v>
      </c>
      <c r="B1785" t="s">
        <v>159</v>
      </c>
    </row>
    <row r="1786" spans="1:2" x14ac:dyDescent="0.3">
      <c r="A1786" t="s">
        <v>113</v>
      </c>
      <c r="B1786" t="s">
        <v>159</v>
      </c>
    </row>
    <row r="1787" spans="1:2" x14ac:dyDescent="0.3">
      <c r="A1787" t="s">
        <v>113</v>
      </c>
      <c r="B1787" t="s">
        <v>159</v>
      </c>
    </row>
    <row r="1788" spans="1:2" x14ac:dyDescent="0.3">
      <c r="A1788" t="s">
        <v>113</v>
      </c>
      <c r="B1788" t="s">
        <v>159</v>
      </c>
    </row>
    <row r="1789" spans="1:2" x14ac:dyDescent="0.3">
      <c r="A1789" t="s">
        <v>113</v>
      </c>
      <c r="B1789" t="s">
        <v>159</v>
      </c>
    </row>
    <row r="1790" spans="1:2" x14ac:dyDescent="0.3">
      <c r="A1790" t="s">
        <v>113</v>
      </c>
      <c r="B1790" t="s">
        <v>159</v>
      </c>
    </row>
    <row r="1791" spans="1:2" x14ac:dyDescent="0.3">
      <c r="A1791" t="s">
        <v>113</v>
      </c>
      <c r="B1791" t="s">
        <v>159</v>
      </c>
    </row>
    <row r="1792" spans="1:2" x14ac:dyDescent="0.3">
      <c r="A1792" t="s">
        <v>113</v>
      </c>
      <c r="B1792" t="s">
        <v>159</v>
      </c>
    </row>
    <row r="1793" spans="1:2" x14ac:dyDescent="0.3">
      <c r="A1793" t="s">
        <v>113</v>
      </c>
      <c r="B1793" t="s">
        <v>159</v>
      </c>
    </row>
    <row r="1794" spans="1:2" x14ac:dyDescent="0.3">
      <c r="A1794" t="s">
        <v>113</v>
      </c>
      <c r="B1794" t="s">
        <v>158</v>
      </c>
    </row>
    <row r="1795" spans="1:2" x14ac:dyDescent="0.3">
      <c r="A1795" t="s">
        <v>113</v>
      </c>
      <c r="B1795" t="s">
        <v>159</v>
      </c>
    </row>
    <row r="1796" spans="1:2" x14ac:dyDescent="0.3">
      <c r="A1796" t="s">
        <v>113</v>
      </c>
      <c r="B1796" t="s">
        <v>159</v>
      </c>
    </row>
    <row r="1797" spans="1:2" x14ac:dyDescent="0.3">
      <c r="A1797" t="s">
        <v>113</v>
      </c>
      <c r="B1797" t="s">
        <v>159</v>
      </c>
    </row>
    <row r="1798" spans="1:2" x14ac:dyDescent="0.3">
      <c r="A1798" t="s">
        <v>113</v>
      </c>
      <c r="B1798" t="s">
        <v>159</v>
      </c>
    </row>
    <row r="1799" spans="1:2" x14ac:dyDescent="0.3">
      <c r="A1799" t="s">
        <v>113</v>
      </c>
      <c r="B1799" t="s">
        <v>159</v>
      </c>
    </row>
    <row r="1800" spans="1:2" x14ac:dyDescent="0.3">
      <c r="A1800" t="s">
        <v>113</v>
      </c>
      <c r="B1800" t="s">
        <v>159</v>
      </c>
    </row>
    <row r="1801" spans="1:2" x14ac:dyDescent="0.3">
      <c r="A1801" t="s">
        <v>113</v>
      </c>
      <c r="B1801" t="s">
        <v>159</v>
      </c>
    </row>
    <row r="1802" spans="1:2" x14ac:dyDescent="0.3">
      <c r="A1802" t="s">
        <v>113</v>
      </c>
      <c r="B1802" t="s">
        <v>159</v>
      </c>
    </row>
    <row r="1803" spans="1:2" x14ac:dyDescent="0.3">
      <c r="A1803" t="s">
        <v>113</v>
      </c>
      <c r="B1803" t="s">
        <v>159</v>
      </c>
    </row>
    <row r="1804" spans="1:2" x14ac:dyDescent="0.3">
      <c r="A1804" t="s">
        <v>113</v>
      </c>
      <c r="B1804" t="s">
        <v>159</v>
      </c>
    </row>
    <row r="1805" spans="1:2" x14ac:dyDescent="0.3">
      <c r="A1805" t="s">
        <v>113</v>
      </c>
      <c r="B1805" t="s">
        <v>159</v>
      </c>
    </row>
    <row r="1806" spans="1:2" x14ac:dyDescent="0.3">
      <c r="A1806" t="s">
        <v>113</v>
      </c>
      <c r="B1806" t="s">
        <v>159</v>
      </c>
    </row>
    <row r="1807" spans="1:2" x14ac:dyDescent="0.3">
      <c r="A1807" t="s">
        <v>113</v>
      </c>
      <c r="B1807" t="s">
        <v>159</v>
      </c>
    </row>
    <row r="1808" spans="1:2" x14ac:dyDescent="0.3">
      <c r="A1808" t="s">
        <v>113</v>
      </c>
      <c r="B1808" t="s">
        <v>159</v>
      </c>
    </row>
    <row r="1809" spans="1:2" x14ac:dyDescent="0.3">
      <c r="A1809" t="s">
        <v>113</v>
      </c>
      <c r="B1809" t="s">
        <v>159</v>
      </c>
    </row>
    <row r="1810" spans="1:2" x14ac:dyDescent="0.3">
      <c r="A1810" t="s">
        <v>113</v>
      </c>
      <c r="B1810" t="s">
        <v>159</v>
      </c>
    </row>
    <row r="1811" spans="1:2" x14ac:dyDescent="0.3">
      <c r="A1811" t="s">
        <v>113</v>
      </c>
      <c r="B1811" t="s">
        <v>159</v>
      </c>
    </row>
    <row r="1812" spans="1:2" x14ac:dyDescent="0.3">
      <c r="A1812" t="s">
        <v>113</v>
      </c>
      <c r="B1812" t="s">
        <v>159</v>
      </c>
    </row>
    <row r="1813" spans="1:2" x14ac:dyDescent="0.3">
      <c r="A1813" t="s">
        <v>113</v>
      </c>
      <c r="B1813" t="s">
        <v>159</v>
      </c>
    </row>
    <row r="1814" spans="1:2" x14ac:dyDescent="0.3">
      <c r="A1814" t="s">
        <v>113</v>
      </c>
      <c r="B1814" t="s">
        <v>159</v>
      </c>
    </row>
    <row r="1815" spans="1:2" x14ac:dyDescent="0.3">
      <c r="A1815" t="s">
        <v>113</v>
      </c>
      <c r="B1815" t="s">
        <v>159</v>
      </c>
    </row>
    <row r="1816" spans="1:2" x14ac:dyDescent="0.3">
      <c r="A1816" t="s">
        <v>113</v>
      </c>
      <c r="B1816" t="s">
        <v>159</v>
      </c>
    </row>
    <row r="1817" spans="1:2" x14ac:dyDescent="0.3">
      <c r="A1817" t="s">
        <v>113</v>
      </c>
      <c r="B1817" t="s">
        <v>159</v>
      </c>
    </row>
    <row r="1818" spans="1:2" x14ac:dyDescent="0.3">
      <c r="A1818" t="s">
        <v>113</v>
      </c>
      <c r="B1818" t="s">
        <v>159</v>
      </c>
    </row>
    <row r="1819" spans="1:2" x14ac:dyDescent="0.3">
      <c r="A1819" t="s">
        <v>113</v>
      </c>
      <c r="B1819" t="s">
        <v>159</v>
      </c>
    </row>
    <row r="1820" spans="1:2" x14ac:dyDescent="0.3">
      <c r="A1820" t="s">
        <v>113</v>
      </c>
      <c r="B1820" t="s">
        <v>159</v>
      </c>
    </row>
    <row r="1821" spans="1:2" x14ac:dyDescent="0.3">
      <c r="A1821" t="s">
        <v>113</v>
      </c>
      <c r="B1821" t="s">
        <v>159</v>
      </c>
    </row>
    <row r="1822" spans="1:2" x14ac:dyDescent="0.3">
      <c r="A1822" t="s">
        <v>113</v>
      </c>
      <c r="B1822" t="s">
        <v>159</v>
      </c>
    </row>
    <row r="1823" spans="1:2" x14ac:dyDescent="0.3">
      <c r="A1823" t="s">
        <v>113</v>
      </c>
      <c r="B1823" t="s">
        <v>159</v>
      </c>
    </row>
    <row r="1824" spans="1:2" x14ac:dyDescent="0.3">
      <c r="A1824" t="s">
        <v>113</v>
      </c>
      <c r="B1824" t="s">
        <v>159</v>
      </c>
    </row>
    <row r="1825" spans="1:2" x14ac:dyDescent="0.3">
      <c r="A1825" t="s">
        <v>113</v>
      </c>
      <c r="B1825" t="s">
        <v>159</v>
      </c>
    </row>
    <row r="1826" spans="1:2" x14ac:dyDescent="0.3">
      <c r="A1826" t="s">
        <v>113</v>
      </c>
      <c r="B1826" t="s">
        <v>159</v>
      </c>
    </row>
    <row r="1827" spans="1:2" x14ac:dyDescent="0.3">
      <c r="A1827" t="s">
        <v>113</v>
      </c>
      <c r="B1827" t="s">
        <v>159</v>
      </c>
    </row>
    <row r="1828" spans="1:2" x14ac:dyDescent="0.3">
      <c r="A1828" t="s">
        <v>113</v>
      </c>
      <c r="B1828" t="s">
        <v>159</v>
      </c>
    </row>
    <row r="1829" spans="1:2" x14ac:dyDescent="0.3">
      <c r="A1829" t="s">
        <v>113</v>
      </c>
      <c r="B1829" t="s">
        <v>159</v>
      </c>
    </row>
    <row r="1830" spans="1:2" x14ac:dyDescent="0.3">
      <c r="A1830" t="s">
        <v>113</v>
      </c>
      <c r="B1830" t="s">
        <v>159</v>
      </c>
    </row>
    <row r="1831" spans="1:2" x14ac:dyDescent="0.3">
      <c r="A1831" t="s">
        <v>113</v>
      </c>
      <c r="B1831" t="s">
        <v>158</v>
      </c>
    </row>
    <row r="1832" spans="1:2" x14ac:dyDescent="0.3">
      <c r="A1832" t="s">
        <v>113</v>
      </c>
      <c r="B1832" t="s">
        <v>159</v>
      </c>
    </row>
    <row r="1833" spans="1:2" x14ac:dyDescent="0.3">
      <c r="A1833" t="s">
        <v>113</v>
      </c>
      <c r="B1833" t="s">
        <v>159</v>
      </c>
    </row>
    <row r="1834" spans="1:2" x14ac:dyDescent="0.3">
      <c r="A1834" t="s">
        <v>113</v>
      </c>
      <c r="B1834" t="s">
        <v>159</v>
      </c>
    </row>
    <row r="1835" spans="1:2" x14ac:dyDescent="0.3">
      <c r="A1835" t="s">
        <v>113</v>
      </c>
      <c r="B1835" t="s">
        <v>159</v>
      </c>
    </row>
    <row r="1836" spans="1:2" x14ac:dyDescent="0.3">
      <c r="A1836" t="s">
        <v>113</v>
      </c>
      <c r="B1836" t="s">
        <v>159</v>
      </c>
    </row>
    <row r="1837" spans="1:2" x14ac:dyDescent="0.3">
      <c r="A1837" t="s">
        <v>113</v>
      </c>
      <c r="B1837" t="s">
        <v>159</v>
      </c>
    </row>
    <row r="1838" spans="1:2" x14ac:dyDescent="0.3">
      <c r="A1838" t="s">
        <v>113</v>
      </c>
      <c r="B1838" t="s">
        <v>159</v>
      </c>
    </row>
    <row r="1839" spans="1:2" x14ac:dyDescent="0.3">
      <c r="A1839" t="s">
        <v>113</v>
      </c>
      <c r="B1839" t="s">
        <v>159</v>
      </c>
    </row>
    <row r="1840" spans="1:2" x14ac:dyDescent="0.3">
      <c r="A1840" t="s">
        <v>113</v>
      </c>
      <c r="B1840" t="s">
        <v>159</v>
      </c>
    </row>
    <row r="1841" spans="1:2" x14ac:dyDescent="0.3">
      <c r="A1841" t="s">
        <v>113</v>
      </c>
      <c r="B1841" t="s">
        <v>159</v>
      </c>
    </row>
    <row r="1842" spans="1:2" x14ac:dyDescent="0.3">
      <c r="A1842" t="s">
        <v>113</v>
      </c>
      <c r="B1842" t="s">
        <v>158</v>
      </c>
    </row>
    <row r="1843" spans="1:2" x14ac:dyDescent="0.3">
      <c r="A1843" t="s">
        <v>113</v>
      </c>
      <c r="B1843" t="s">
        <v>159</v>
      </c>
    </row>
    <row r="1844" spans="1:2" x14ac:dyDescent="0.3">
      <c r="A1844" t="s">
        <v>113</v>
      </c>
      <c r="B1844" t="s">
        <v>159</v>
      </c>
    </row>
    <row r="1845" spans="1:2" x14ac:dyDescent="0.3">
      <c r="A1845" t="s">
        <v>113</v>
      </c>
      <c r="B1845" t="s">
        <v>159</v>
      </c>
    </row>
    <row r="1846" spans="1:2" x14ac:dyDescent="0.3">
      <c r="A1846" t="s">
        <v>113</v>
      </c>
      <c r="B1846" t="s">
        <v>159</v>
      </c>
    </row>
    <row r="1847" spans="1:2" x14ac:dyDescent="0.3">
      <c r="A1847" t="s">
        <v>113</v>
      </c>
      <c r="B1847" t="s">
        <v>159</v>
      </c>
    </row>
    <row r="1848" spans="1:2" x14ac:dyDescent="0.3">
      <c r="A1848" t="s">
        <v>113</v>
      </c>
      <c r="B1848" t="s">
        <v>159</v>
      </c>
    </row>
    <row r="1849" spans="1:2" x14ac:dyDescent="0.3">
      <c r="A1849" t="s">
        <v>113</v>
      </c>
      <c r="B1849" t="s">
        <v>158</v>
      </c>
    </row>
    <row r="1850" spans="1:2" x14ac:dyDescent="0.3">
      <c r="A1850" t="s">
        <v>113</v>
      </c>
      <c r="B1850" t="s">
        <v>159</v>
      </c>
    </row>
    <row r="1851" spans="1:2" x14ac:dyDescent="0.3">
      <c r="A1851" t="s">
        <v>113</v>
      </c>
      <c r="B1851" t="s">
        <v>159</v>
      </c>
    </row>
    <row r="1852" spans="1:2" x14ac:dyDescent="0.3">
      <c r="A1852" t="s">
        <v>113</v>
      </c>
      <c r="B1852" t="s">
        <v>159</v>
      </c>
    </row>
    <row r="1853" spans="1:2" x14ac:dyDescent="0.3">
      <c r="A1853" t="s">
        <v>113</v>
      </c>
      <c r="B1853" t="s">
        <v>159</v>
      </c>
    </row>
    <row r="1854" spans="1:2" x14ac:dyDescent="0.3">
      <c r="A1854" t="s">
        <v>113</v>
      </c>
      <c r="B1854" t="s">
        <v>159</v>
      </c>
    </row>
    <row r="1855" spans="1:2" x14ac:dyDescent="0.3">
      <c r="A1855" t="s">
        <v>113</v>
      </c>
      <c r="B1855" t="s">
        <v>159</v>
      </c>
    </row>
    <row r="1856" spans="1:2" x14ac:dyDescent="0.3">
      <c r="A1856" t="s">
        <v>113</v>
      </c>
      <c r="B1856" t="s">
        <v>159</v>
      </c>
    </row>
    <row r="1857" spans="1:2" x14ac:dyDescent="0.3">
      <c r="A1857" t="s">
        <v>113</v>
      </c>
      <c r="B1857" t="s">
        <v>159</v>
      </c>
    </row>
    <row r="1858" spans="1:2" x14ac:dyDescent="0.3">
      <c r="A1858" t="s">
        <v>113</v>
      </c>
      <c r="B1858" t="s">
        <v>159</v>
      </c>
    </row>
    <row r="1859" spans="1:2" x14ac:dyDescent="0.3">
      <c r="A1859" t="s">
        <v>113</v>
      </c>
      <c r="B1859" t="s">
        <v>158</v>
      </c>
    </row>
    <row r="1860" spans="1:2" x14ac:dyDescent="0.3">
      <c r="A1860" t="s">
        <v>113</v>
      </c>
      <c r="B1860" t="s">
        <v>159</v>
      </c>
    </row>
    <row r="1861" spans="1:2" x14ac:dyDescent="0.3">
      <c r="A1861" t="s">
        <v>113</v>
      </c>
      <c r="B1861" t="s">
        <v>159</v>
      </c>
    </row>
    <row r="1862" spans="1:2" x14ac:dyDescent="0.3">
      <c r="A1862" t="s">
        <v>113</v>
      </c>
      <c r="B1862" t="s">
        <v>159</v>
      </c>
    </row>
    <row r="1863" spans="1:2" x14ac:dyDescent="0.3">
      <c r="A1863" t="s">
        <v>113</v>
      </c>
      <c r="B1863" t="s">
        <v>159</v>
      </c>
    </row>
    <row r="1864" spans="1:2" x14ac:dyDescent="0.3">
      <c r="A1864" t="s">
        <v>113</v>
      </c>
      <c r="B1864" t="s">
        <v>159</v>
      </c>
    </row>
    <row r="1865" spans="1:2" x14ac:dyDescent="0.3">
      <c r="A1865" t="s">
        <v>113</v>
      </c>
      <c r="B1865" t="s">
        <v>159</v>
      </c>
    </row>
    <row r="1866" spans="1:2" x14ac:dyDescent="0.3">
      <c r="A1866" t="s">
        <v>113</v>
      </c>
      <c r="B1866" t="s">
        <v>159</v>
      </c>
    </row>
    <row r="1867" spans="1:2" x14ac:dyDescent="0.3">
      <c r="A1867" t="s">
        <v>113</v>
      </c>
      <c r="B1867" t="s">
        <v>159</v>
      </c>
    </row>
    <row r="1868" spans="1:2" x14ac:dyDescent="0.3">
      <c r="A1868" t="s">
        <v>113</v>
      </c>
      <c r="B1868" t="s">
        <v>159</v>
      </c>
    </row>
    <row r="1869" spans="1:2" x14ac:dyDescent="0.3">
      <c r="A1869" t="s">
        <v>113</v>
      </c>
      <c r="B1869" t="s">
        <v>159</v>
      </c>
    </row>
    <row r="1870" spans="1:2" x14ac:dyDescent="0.3">
      <c r="A1870" t="s">
        <v>113</v>
      </c>
      <c r="B1870" t="s">
        <v>159</v>
      </c>
    </row>
    <row r="1871" spans="1:2" x14ac:dyDescent="0.3">
      <c r="A1871" t="s">
        <v>113</v>
      </c>
      <c r="B1871" t="s">
        <v>158</v>
      </c>
    </row>
    <row r="1872" spans="1:2" x14ac:dyDescent="0.3">
      <c r="A1872" t="s">
        <v>113</v>
      </c>
      <c r="B1872" t="s">
        <v>158</v>
      </c>
    </row>
    <row r="1873" spans="1:2" x14ac:dyDescent="0.3">
      <c r="A1873" t="s">
        <v>113</v>
      </c>
      <c r="B1873" t="s">
        <v>158</v>
      </c>
    </row>
    <row r="1874" spans="1:2" x14ac:dyDescent="0.3">
      <c r="A1874" t="s">
        <v>113</v>
      </c>
      <c r="B1874" t="s">
        <v>159</v>
      </c>
    </row>
    <row r="1875" spans="1:2" x14ac:dyDescent="0.3">
      <c r="A1875" t="s">
        <v>113</v>
      </c>
      <c r="B1875" t="s">
        <v>159</v>
      </c>
    </row>
    <row r="1876" spans="1:2" x14ac:dyDescent="0.3">
      <c r="A1876" t="s">
        <v>113</v>
      </c>
      <c r="B1876" t="s">
        <v>159</v>
      </c>
    </row>
    <row r="1877" spans="1:2" x14ac:dyDescent="0.3">
      <c r="A1877" t="s">
        <v>113</v>
      </c>
      <c r="B1877" t="s">
        <v>159</v>
      </c>
    </row>
    <row r="1878" spans="1:2" x14ac:dyDescent="0.3">
      <c r="A1878" t="s">
        <v>113</v>
      </c>
      <c r="B1878" t="s">
        <v>158</v>
      </c>
    </row>
    <row r="1879" spans="1:2" x14ac:dyDescent="0.3">
      <c r="A1879" t="s">
        <v>113</v>
      </c>
      <c r="B1879" t="s">
        <v>159</v>
      </c>
    </row>
    <row r="1880" spans="1:2" x14ac:dyDescent="0.3">
      <c r="A1880" t="s">
        <v>113</v>
      </c>
      <c r="B1880" t="s">
        <v>159</v>
      </c>
    </row>
    <row r="1881" spans="1:2" x14ac:dyDescent="0.3">
      <c r="A1881" t="s">
        <v>113</v>
      </c>
      <c r="B1881" t="s">
        <v>159</v>
      </c>
    </row>
    <row r="1882" spans="1:2" x14ac:dyDescent="0.3">
      <c r="A1882" t="s">
        <v>113</v>
      </c>
      <c r="B1882" t="s">
        <v>159</v>
      </c>
    </row>
    <row r="1883" spans="1:2" x14ac:dyDescent="0.3">
      <c r="A1883" t="s">
        <v>113</v>
      </c>
      <c r="B1883" t="s">
        <v>159</v>
      </c>
    </row>
    <row r="1884" spans="1:2" x14ac:dyDescent="0.3">
      <c r="A1884" t="s">
        <v>113</v>
      </c>
      <c r="B1884" t="s">
        <v>158</v>
      </c>
    </row>
    <row r="1885" spans="1:2" x14ac:dyDescent="0.3">
      <c r="A1885" t="s">
        <v>113</v>
      </c>
      <c r="B1885" t="s">
        <v>159</v>
      </c>
    </row>
    <row r="1886" spans="1:2" x14ac:dyDescent="0.3">
      <c r="A1886" t="s">
        <v>113</v>
      </c>
      <c r="B1886" t="s">
        <v>158</v>
      </c>
    </row>
    <row r="1887" spans="1:2" x14ac:dyDescent="0.3">
      <c r="A1887" t="s">
        <v>113</v>
      </c>
      <c r="B1887" t="s">
        <v>159</v>
      </c>
    </row>
    <row r="1888" spans="1:2" x14ac:dyDescent="0.3">
      <c r="A1888" t="s">
        <v>113</v>
      </c>
      <c r="B1888" t="s">
        <v>159</v>
      </c>
    </row>
    <row r="1889" spans="1:2" x14ac:dyDescent="0.3">
      <c r="A1889" t="s">
        <v>113</v>
      </c>
      <c r="B1889" t="s">
        <v>159</v>
      </c>
    </row>
    <row r="1890" spans="1:2" x14ac:dyDescent="0.3">
      <c r="A1890" t="s">
        <v>113</v>
      </c>
      <c r="B1890" t="s">
        <v>159</v>
      </c>
    </row>
    <row r="1891" spans="1:2" x14ac:dyDescent="0.3">
      <c r="A1891" t="s">
        <v>113</v>
      </c>
      <c r="B1891" t="s">
        <v>159</v>
      </c>
    </row>
    <row r="1892" spans="1:2" x14ac:dyDescent="0.3">
      <c r="A1892" t="s">
        <v>113</v>
      </c>
      <c r="B1892" t="s">
        <v>158</v>
      </c>
    </row>
    <row r="1893" spans="1:2" x14ac:dyDescent="0.3">
      <c r="A1893" t="s">
        <v>113</v>
      </c>
      <c r="B1893" t="s">
        <v>159</v>
      </c>
    </row>
    <row r="1894" spans="1:2" x14ac:dyDescent="0.3">
      <c r="A1894" t="s">
        <v>113</v>
      </c>
      <c r="B1894" t="s">
        <v>159</v>
      </c>
    </row>
    <row r="1895" spans="1:2" x14ac:dyDescent="0.3">
      <c r="A1895" t="s">
        <v>113</v>
      </c>
      <c r="B1895" t="s">
        <v>159</v>
      </c>
    </row>
    <row r="1896" spans="1:2" x14ac:dyDescent="0.3">
      <c r="A1896" t="s">
        <v>113</v>
      </c>
      <c r="B1896" t="s">
        <v>159</v>
      </c>
    </row>
    <row r="1897" spans="1:2" x14ac:dyDescent="0.3">
      <c r="A1897" t="s">
        <v>113</v>
      </c>
      <c r="B1897" t="s">
        <v>158</v>
      </c>
    </row>
    <row r="1898" spans="1:2" x14ac:dyDescent="0.3">
      <c r="A1898" t="s">
        <v>113</v>
      </c>
      <c r="B1898" t="s">
        <v>158</v>
      </c>
    </row>
    <row r="1899" spans="1:2" x14ac:dyDescent="0.3">
      <c r="A1899" t="s">
        <v>113</v>
      </c>
      <c r="B1899" t="s">
        <v>159</v>
      </c>
    </row>
    <row r="1900" spans="1:2" x14ac:dyDescent="0.3">
      <c r="A1900" t="s">
        <v>113</v>
      </c>
      <c r="B1900" t="s">
        <v>159</v>
      </c>
    </row>
    <row r="1901" spans="1:2" x14ac:dyDescent="0.3">
      <c r="A1901" t="s">
        <v>113</v>
      </c>
      <c r="B1901" t="s">
        <v>159</v>
      </c>
    </row>
    <row r="1902" spans="1:2" x14ac:dyDescent="0.3">
      <c r="A1902" t="s">
        <v>113</v>
      </c>
      <c r="B1902" t="s">
        <v>159</v>
      </c>
    </row>
    <row r="1903" spans="1:2" x14ac:dyDescent="0.3">
      <c r="A1903" t="s">
        <v>113</v>
      </c>
      <c r="B1903" t="s">
        <v>158</v>
      </c>
    </row>
    <row r="1904" spans="1:2" x14ac:dyDescent="0.3">
      <c r="A1904" t="s">
        <v>113</v>
      </c>
      <c r="B1904" t="s">
        <v>159</v>
      </c>
    </row>
    <row r="1905" spans="1:2" x14ac:dyDescent="0.3">
      <c r="A1905" t="s">
        <v>113</v>
      </c>
      <c r="B1905" t="s">
        <v>159</v>
      </c>
    </row>
    <row r="1906" spans="1:2" x14ac:dyDescent="0.3">
      <c r="A1906" t="s">
        <v>113</v>
      </c>
      <c r="B1906" t="s">
        <v>159</v>
      </c>
    </row>
    <row r="1907" spans="1:2" x14ac:dyDescent="0.3">
      <c r="A1907" t="s">
        <v>113</v>
      </c>
      <c r="B1907" t="s">
        <v>159</v>
      </c>
    </row>
    <row r="1908" spans="1:2" x14ac:dyDescent="0.3">
      <c r="A1908" t="s">
        <v>113</v>
      </c>
      <c r="B1908" t="s">
        <v>159</v>
      </c>
    </row>
    <row r="1909" spans="1:2" x14ac:dyDescent="0.3">
      <c r="A1909" t="s">
        <v>113</v>
      </c>
      <c r="B1909" t="s">
        <v>158</v>
      </c>
    </row>
    <row r="1910" spans="1:2" x14ac:dyDescent="0.3">
      <c r="A1910" t="s">
        <v>113</v>
      </c>
      <c r="B1910" t="s">
        <v>159</v>
      </c>
    </row>
    <row r="1911" spans="1:2" x14ac:dyDescent="0.3">
      <c r="A1911" t="s">
        <v>113</v>
      </c>
      <c r="B1911" t="s">
        <v>159</v>
      </c>
    </row>
    <row r="1912" spans="1:2" x14ac:dyDescent="0.3">
      <c r="A1912" t="s">
        <v>113</v>
      </c>
      <c r="B1912" t="s">
        <v>159</v>
      </c>
    </row>
    <row r="1913" spans="1:2" x14ac:dyDescent="0.3">
      <c r="A1913" t="s">
        <v>113</v>
      </c>
      <c r="B1913" t="s">
        <v>159</v>
      </c>
    </row>
    <row r="1914" spans="1:2" x14ac:dyDescent="0.3">
      <c r="A1914" t="s">
        <v>113</v>
      </c>
      <c r="B1914" t="s">
        <v>158</v>
      </c>
    </row>
    <row r="1915" spans="1:2" x14ac:dyDescent="0.3">
      <c r="A1915" t="s">
        <v>113</v>
      </c>
      <c r="B1915" t="s">
        <v>158</v>
      </c>
    </row>
    <row r="1916" spans="1:2" x14ac:dyDescent="0.3">
      <c r="A1916" t="s">
        <v>113</v>
      </c>
      <c r="B1916" t="s">
        <v>158</v>
      </c>
    </row>
    <row r="1917" spans="1:2" x14ac:dyDescent="0.3">
      <c r="A1917" t="s">
        <v>113</v>
      </c>
      <c r="B1917" t="s">
        <v>159</v>
      </c>
    </row>
    <row r="1918" spans="1:2" x14ac:dyDescent="0.3">
      <c r="A1918" t="s">
        <v>113</v>
      </c>
      <c r="B1918" t="s">
        <v>159</v>
      </c>
    </row>
    <row r="1919" spans="1:2" x14ac:dyDescent="0.3">
      <c r="A1919" t="s">
        <v>113</v>
      </c>
      <c r="B1919" t="s">
        <v>159</v>
      </c>
    </row>
    <row r="1920" spans="1:2" x14ac:dyDescent="0.3">
      <c r="A1920" t="s">
        <v>113</v>
      </c>
      <c r="B1920" t="s">
        <v>159</v>
      </c>
    </row>
    <row r="1921" spans="1:2" x14ac:dyDescent="0.3">
      <c r="A1921" t="s">
        <v>113</v>
      </c>
      <c r="B1921" t="s">
        <v>158</v>
      </c>
    </row>
    <row r="1922" spans="1:2" x14ac:dyDescent="0.3">
      <c r="A1922" t="s">
        <v>113</v>
      </c>
      <c r="B1922" t="s">
        <v>158</v>
      </c>
    </row>
    <row r="1923" spans="1:2" x14ac:dyDescent="0.3">
      <c r="A1923" t="s">
        <v>113</v>
      </c>
      <c r="B1923" t="s">
        <v>159</v>
      </c>
    </row>
    <row r="1924" spans="1:2" x14ac:dyDescent="0.3">
      <c r="A1924" t="s">
        <v>113</v>
      </c>
      <c r="B1924" t="s">
        <v>159</v>
      </c>
    </row>
    <row r="1925" spans="1:2" x14ac:dyDescent="0.3">
      <c r="A1925" t="s">
        <v>113</v>
      </c>
      <c r="B1925" t="s">
        <v>158</v>
      </c>
    </row>
    <row r="1926" spans="1:2" x14ac:dyDescent="0.3">
      <c r="A1926" t="s">
        <v>113</v>
      </c>
      <c r="B1926" t="s">
        <v>159</v>
      </c>
    </row>
    <row r="1927" spans="1:2" x14ac:dyDescent="0.3">
      <c r="A1927" t="s">
        <v>113</v>
      </c>
      <c r="B1927" t="s">
        <v>159</v>
      </c>
    </row>
    <row r="1928" spans="1:2" x14ac:dyDescent="0.3">
      <c r="A1928" t="s">
        <v>113</v>
      </c>
      <c r="B1928" t="s">
        <v>158</v>
      </c>
    </row>
    <row r="1929" spans="1:2" x14ac:dyDescent="0.3">
      <c r="A1929" t="s">
        <v>113</v>
      </c>
      <c r="B1929" t="s">
        <v>158</v>
      </c>
    </row>
    <row r="1930" spans="1:2" x14ac:dyDescent="0.3">
      <c r="A1930" t="s">
        <v>113</v>
      </c>
      <c r="B1930" t="s">
        <v>158</v>
      </c>
    </row>
    <row r="1931" spans="1:2" x14ac:dyDescent="0.3">
      <c r="A1931" t="s">
        <v>113</v>
      </c>
      <c r="B1931" t="s">
        <v>158</v>
      </c>
    </row>
    <row r="1932" spans="1:2" x14ac:dyDescent="0.3">
      <c r="A1932" t="s">
        <v>113</v>
      </c>
      <c r="B1932" t="s">
        <v>158</v>
      </c>
    </row>
    <row r="1933" spans="1:2" x14ac:dyDescent="0.3">
      <c r="A1933" t="s">
        <v>113</v>
      </c>
      <c r="B1933" t="s">
        <v>159</v>
      </c>
    </row>
    <row r="1934" spans="1:2" x14ac:dyDescent="0.3">
      <c r="A1934" t="s">
        <v>113</v>
      </c>
      <c r="B1934" t="s">
        <v>159</v>
      </c>
    </row>
    <row r="1935" spans="1:2" x14ac:dyDescent="0.3">
      <c r="A1935" t="s">
        <v>113</v>
      </c>
      <c r="B1935" t="s">
        <v>158</v>
      </c>
    </row>
    <row r="1936" spans="1:2" x14ac:dyDescent="0.3">
      <c r="A1936" t="s">
        <v>113</v>
      </c>
      <c r="B1936" t="s">
        <v>158</v>
      </c>
    </row>
    <row r="1937" spans="1:2" x14ac:dyDescent="0.3">
      <c r="A1937" t="s">
        <v>113</v>
      </c>
      <c r="B1937" t="s">
        <v>158</v>
      </c>
    </row>
    <row r="1938" spans="1:2" x14ac:dyDescent="0.3">
      <c r="A1938" t="s">
        <v>113</v>
      </c>
      <c r="B1938" t="s">
        <v>159</v>
      </c>
    </row>
    <row r="1939" spans="1:2" x14ac:dyDescent="0.3">
      <c r="A1939" t="s">
        <v>113</v>
      </c>
      <c r="B1939" t="s">
        <v>159</v>
      </c>
    </row>
    <row r="1940" spans="1:2" x14ac:dyDescent="0.3">
      <c r="A1940" t="s">
        <v>113</v>
      </c>
      <c r="B1940" t="s">
        <v>158</v>
      </c>
    </row>
    <row r="1941" spans="1:2" x14ac:dyDescent="0.3">
      <c r="A1941" t="s">
        <v>113</v>
      </c>
      <c r="B1941" t="s">
        <v>158</v>
      </c>
    </row>
    <row r="1942" spans="1:2" x14ac:dyDescent="0.3">
      <c r="A1942" t="s">
        <v>113</v>
      </c>
      <c r="B1942" t="s">
        <v>159</v>
      </c>
    </row>
    <row r="1943" spans="1:2" x14ac:dyDescent="0.3">
      <c r="A1943" t="s">
        <v>113</v>
      </c>
      <c r="B1943" t="s">
        <v>159</v>
      </c>
    </row>
    <row r="1944" spans="1:2" x14ac:dyDescent="0.3">
      <c r="A1944" t="s">
        <v>113</v>
      </c>
      <c r="B1944" t="s">
        <v>158</v>
      </c>
    </row>
    <row r="1945" spans="1:2" x14ac:dyDescent="0.3">
      <c r="A1945" t="s">
        <v>113</v>
      </c>
      <c r="B1945" t="s">
        <v>158</v>
      </c>
    </row>
    <row r="1946" spans="1:2" x14ac:dyDescent="0.3">
      <c r="A1946" t="s">
        <v>113</v>
      </c>
      <c r="B1946" t="s">
        <v>158</v>
      </c>
    </row>
    <row r="1947" spans="1:2" x14ac:dyDescent="0.3">
      <c r="A1947" t="s">
        <v>113</v>
      </c>
      <c r="B1947" t="s">
        <v>159</v>
      </c>
    </row>
    <row r="1948" spans="1:2" x14ac:dyDescent="0.3">
      <c r="A1948" t="s">
        <v>113</v>
      </c>
      <c r="B1948" t="s">
        <v>158</v>
      </c>
    </row>
    <row r="1949" spans="1:2" x14ac:dyDescent="0.3">
      <c r="A1949" t="s">
        <v>113</v>
      </c>
      <c r="B1949" t="s">
        <v>159</v>
      </c>
    </row>
    <row r="1950" spans="1:2" x14ac:dyDescent="0.3">
      <c r="A1950" t="s">
        <v>113</v>
      </c>
      <c r="B1950" t="s">
        <v>158</v>
      </c>
    </row>
    <row r="1951" spans="1:2" x14ac:dyDescent="0.3">
      <c r="A1951" t="s">
        <v>113</v>
      </c>
      <c r="B1951" t="s">
        <v>158</v>
      </c>
    </row>
    <row r="1952" spans="1:2" x14ac:dyDescent="0.3">
      <c r="A1952" t="s">
        <v>113</v>
      </c>
      <c r="B1952" t="s">
        <v>159</v>
      </c>
    </row>
    <row r="1953" spans="1:2" x14ac:dyDescent="0.3">
      <c r="A1953" t="s">
        <v>113</v>
      </c>
      <c r="B1953" t="s">
        <v>159</v>
      </c>
    </row>
    <row r="1954" spans="1:2" x14ac:dyDescent="0.3">
      <c r="A1954" t="s">
        <v>113</v>
      </c>
      <c r="B1954" t="s">
        <v>158</v>
      </c>
    </row>
    <row r="1955" spans="1:2" x14ac:dyDescent="0.3">
      <c r="A1955" t="s">
        <v>113</v>
      </c>
      <c r="B1955" t="s">
        <v>158</v>
      </c>
    </row>
    <row r="1956" spans="1:2" x14ac:dyDescent="0.3">
      <c r="A1956" t="s">
        <v>113</v>
      </c>
      <c r="B1956" t="s">
        <v>158</v>
      </c>
    </row>
    <row r="1957" spans="1:2" x14ac:dyDescent="0.3">
      <c r="A1957" t="s">
        <v>113</v>
      </c>
      <c r="B1957" t="s">
        <v>158</v>
      </c>
    </row>
    <row r="1958" spans="1:2" x14ac:dyDescent="0.3">
      <c r="A1958" t="s">
        <v>113</v>
      </c>
      <c r="B1958" t="s">
        <v>158</v>
      </c>
    </row>
    <row r="1959" spans="1:2" x14ac:dyDescent="0.3">
      <c r="A1959" t="s">
        <v>113</v>
      </c>
      <c r="B1959" t="s">
        <v>158</v>
      </c>
    </row>
    <row r="1960" spans="1:2" x14ac:dyDescent="0.3">
      <c r="A1960" t="s">
        <v>113</v>
      </c>
      <c r="B1960" t="s">
        <v>159</v>
      </c>
    </row>
    <row r="1961" spans="1:2" x14ac:dyDescent="0.3">
      <c r="A1961" t="s">
        <v>113</v>
      </c>
      <c r="B1961" t="s">
        <v>159</v>
      </c>
    </row>
    <row r="1962" spans="1:2" x14ac:dyDescent="0.3">
      <c r="A1962" t="s">
        <v>113</v>
      </c>
      <c r="B1962" t="s">
        <v>158</v>
      </c>
    </row>
    <row r="1963" spans="1:2" x14ac:dyDescent="0.3">
      <c r="A1963" t="s">
        <v>113</v>
      </c>
      <c r="B1963" t="s">
        <v>158</v>
      </c>
    </row>
    <row r="1964" spans="1:2" x14ac:dyDescent="0.3">
      <c r="A1964" t="s">
        <v>113</v>
      </c>
      <c r="B1964" t="s">
        <v>159</v>
      </c>
    </row>
    <row r="1965" spans="1:2" x14ac:dyDescent="0.3">
      <c r="A1965" t="s">
        <v>113</v>
      </c>
      <c r="B1965" t="s">
        <v>159</v>
      </c>
    </row>
    <row r="1966" spans="1:2" x14ac:dyDescent="0.3">
      <c r="A1966" t="s">
        <v>113</v>
      </c>
      <c r="B1966" t="s">
        <v>159</v>
      </c>
    </row>
    <row r="1967" spans="1:2" x14ac:dyDescent="0.3">
      <c r="A1967" t="s">
        <v>113</v>
      </c>
      <c r="B1967" t="s">
        <v>158</v>
      </c>
    </row>
    <row r="1968" spans="1:2" x14ac:dyDescent="0.3">
      <c r="A1968" t="s">
        <v>113</v>
      </c>
      <c r="B1968" t="s">
        <v>159</v>
      </c>
    </row>
    <row r="1969" spans="1:2" x14ac:dyDescent="0.3">
      <c r="A1969" t="s">
        <v>113</v>
      </c>
      <c r="B1969" t="s">
        <v>159</v>
      </c>
    </row>
    <row r="1970" spans="1:2" x14ac:dyDescent="0.3">
      <c r="A1970" t="s">
        <v>113</v>
      </c>
      <c r="B1970" t="s">
        <v>159</v>
      </c>
    </row>
    <row r="1971" spans="1:2" x14ac:dyDescent="0.3">
      <c r="A1971" t="s">
        <v>113</v>
      </c>
      <c r="B1971" t="s">
        <v>159</v>
      </c>
    </row>
    <row r="1972" spans="1:2" x14ac:dyDescent="0.3">
      <c r="A1972" t="s">
        <v>113</v>
      </c>
      <c r="B1972" t="s">
        <v>158</v>
      </c>
    </row>
    <row r="1973" spans="1:2" x14ac:dyDescent="0.3">
      <c r="A1973" t="s">
        <v>113</v>
      </c>
      <c r="B1973" t="s">
        <v>158</v>
      </c>
    </row>
    <row r="1974" spans="1:2" x14ac:dyDescent="0.3">
      <c r="A1974" t="s">
        <v>113</v>
      </c>
      <c r="B1974" t="s">
        <v>159</v>
      </c>
    </row>
    <row r="1975" spans="1:2" x14ac:dyDescent="0.3">
      <c r="A1975" t="s">
        <v>113</v>
      </c>
      <c r="B1975" t="s">
        <v>159</v>
      </c>
    </row>
    <row r="1976" spans="1:2" x14ac:dyDescent="0.3">
      <c r="A1976" t="s">
        <v>113</v>
      </c>
      <c r="B1976" t="s">
        <v>158</v>
      </c>
    </row>
    <row r="1977" spans="1:2" x14ac:dyDescent="0.3">
      <c r="A1977" t="s">
        <v>113</v>
      </c>
      <c r="B1977" t="s">
        <v>158</v>
      </c>
    </row>
    <row r="1978" spans="1:2" x14ac:dyDescent="0.3">
      <c r="A1978" t="s">
        <v>113</v>
      </c>
      <c r="B1978" t="s">
        <v>158</v>
      </c>
    </row>
    <row r="1979" spans="1:2" x14ac:dyDescent="0.3">
      <c r="A1979" t="s">
        <v>113</v>
      </c>
      <c r="B1979" t="s">
        <v>158</v>
      </c>
    </row>
    <row r="1980" spans="1:2" x14ac:dyDescent="0.3">
      <c r="A1980" t="s">
        <v>113</v>
      </c>
      <c r="B1980" t="s">
        <v>158</v>
      </c>
    </row>
    <row r="1981" spans="1:2" x14ac:dyDescent="0.3">
      <c r="A1981" t="s">
        <v>113</v>
      </c>
      <c r="B1981" t="s">
        <v>158</v>
      </c>
    </row>
    <row r="1982" spans="1:2" x14ac:dyDescent="0.3">
      <c r="A1982" t="s">
        <v>113</v>
      </c>
      <c r="B1982" t="s">
        <v>158</v>
      </c>
    </row>
    <row r="1983" spans="1:2" x14ac:dyDescent="0.3">
      <c r="A1983" t="s">
        <v>113</v>
      </c>
      <c r="B1983" t="s">
        <v>158</v>
      </c>
    </row>
    <row r="1984" spans="1:2" x14ac:dyDescent="0.3">
      <c r="A1984" t="s">
        <v>113</v>
      </c>
      <c r="B1984" t="s">
        <v>158</v>
      </c>
    </row>
    <row r="1985" spans="1:2" x14ac:dyDescent="0.3">
      <c r="A1985" t="s">
        <v>113</v>
      </c>
      <c r="B1985" t="s">
        <v>159</v>
      </c>
    </row>
    <row r="1986" spans="1:2" x14ac:dyDescent="0.3">
      <c r="A1986" t="s">
        <v>113</v>
      </c>
      <c r="B1986" t="s">
        <v>158</v>
      </c>
    </row>
    <row r="1987" spans="1:2" x14ac:dyDescent="0.3">
      <c r="A1987" t="s">
        <v>113</v>
      </c>
      <c r="B1987" t="s">
        <v>158</v>
      </c>
    </row>
    <row r="1988" spans="1:2" x14ac:dyDescent="0.3">
      <c r="A1988" t="s">
        <v>113</v>
      </c>
      <c r="B1988" t="s">
        <v>159</v>
      </c>
    </row>
    <row r="1989" spans="1:2" x14ac:dyDescent="0.3">
      <c r="A1989" t="s">
        <v>113</v>
      </c>
      <c r="B1989" t="s">
        <v>158</v>
      </c>
    </row>
    <row r="1990" spans="1:2" x14ac:dyDescent="0.3">
      <c r="A1990" t="s">
        <v>113</v>
      </c>
      <c r="B1990" t="s">
        <v>158</v>
      </c>
    </row>
    <row r="1991" spans="1:2" x14ac:dyDescent="0.3">
      <c r="A1991" t="s">
        <v>113</v>
      </c>
      <c r="B1991" t="s">
        <v>158</v>
      </c>
    </row>
    <row r="1992" spans="1:2" x14ac:dyDescent="0.3">
      <c r="A1992" t="s">
        <v>113</v>
      </c>
      <c r="B1992" t="s">
        <v>159</v>
      </c>
    </row>
    <row r="1993" spans="1:2" x14ac:dyDescent="0.3">
      <c r="A1993" t="s">
        <v>113</v>
      </c>
      <c r="B1993" t="s">
        <v>158</v>
      </c>
    </row>
    <row r="1994" spans="1:2" x14ac:dyDescent="0.3">
      <c r="A1994" t="s">
        <v>113</v>
      </c>
      <c r="B1994" t="s">
        <v>158</v>
      </c>
    </row>
    <row r="1995" spans="1:2" x14ac:dyDescent="0.3">
      <c r="A1995" t="s">
        <v>113</v>
      </c>
      <c r="B1995" t="s">
        <v>158</v>
      </c>
    </row>
    <row r="1996" spans="1:2" x14ac:dyDescent="0.3">
      <c r="A1996" t="s">
        <v>113</v>
      </c>
      <c r="B1996" t="s">
        <v>159</v>
      </c>
    </row>
    <row r="1997" spans="1:2" x14ac:dyDescent="0.3">
      <c r="A1997" t="s">
        <v>113</v>
      </c>
      <c r="B1997" t="s">
        <v>159</v>
      </c>
    </row>
    <row r="1998" spans="1:2" x14ac:dyDescent="0.3">
      <c r="A1998" t="s">
        <v>113</v>
      </c>
      <c r="B1998" t="s">
        <v>159</v>
      </c>
    </row>
    <row r="1999" spans="1:2" x14ac:dyDescent="0.3">
      <c r="A1999" t="s">
        <v>113</v>
      </c>
      <c r="B1999" t="s">
        <v>159</v>
      </c>
    </row>
    <row r="2000" spans="1:2" x14ac:dyDescent="0.3">
      <c r="A2000" t="s">
        <v>113</v>
      </c>
      <c r="B2000" t="s">
        <v>158</v>
      </c>
    </row>
    <row r="2001" spans="1:2" x14ac:dyDescent="0.3">
      <c r="A2001" t="s">
        <v>113</v>
      </c>
      <c r="B2001" t="s">
        <v>158</v>
      </c>
    </row>
    <row r="2002" spans="1:2" x14ac:dyDescent="0.3">
      <c r="A2002" t="s">
        <v>113</v>
      </c>
      <c r="B2002" t="s">
        <v>158</v>
      </c>
    </row>
    <row r="2003" spans="1:2" x14ac:dyDescent="0.3">
      <c r="A2003" t="s">
        <v>113</v>
      </c>
      <c r="B2003" t="s">
        <v>159</v>
      </c>
    </row>
    <row r="2004" spans="1:2" x14ac:dyDescent="0.3">
      <c r="A2004" t="s">
        <v>113</v>
      </c>
      <c r="B2004" t="s">
        <v>158</v>
      </c>
    </row>
    <row r="2005" spans="1:2" x14ac:dyDescent="0.3">
      <c r="A2005" t="s">
        <v>113</v>
      </c>
      <c r="B2005" t="s">
        <v>158</v>
      </c>
    </row>
    <row r="2006" spans="1:2" x14ac:dyDescent="0.3">
      <c r="A2006" t="s">
        <v>113</v>
      </c>
      <c r="B2006" t="s">
        <v>158</v>
      </c>
    </row>
    <row r="2007" spans="1:2" x14ac:dyDescent="0.3">
      <c r="A2007" t="s">
        <v>113</v>
      </c>
      <c r="B2007" t="s">
        <v>158</v>
      </c>
    </row>
    <row r="2008" spans="1:2" x14ac:dyDescent="0.3">
      <c r="A2008" t="s">
        <v>113</v>
      </c>
      <c r="B2008" t="s">
        <v>159</v>
      </c>
    </row>
    <row r="2009" spans="1:2" x14ac:dyDescent="0.3">
      <c r="A2009" t="s">
        <v>113</v>
      </c>
      <c r="B2009" t="s">
        <v>159</v>
      </c>
    </row>
    <row r="2010" spans="1:2" x14ac:dyDescent="0.3">
      <c r="A2010" t="s">
        <v>113</v>
      </c>
      <c r="B2010" t="s">
        <v>158</v>
      </c>
    </row>
    <row r="2011" spans="1:2" x14ac:dyDescent="0.3">
      <c r="A2011" t="s">
        <v>113</v>
      </c>
      <c r="B2011" t="s">
        <v>158</v>
      </c>
    </row>
    <row r="2012" spans="1:2" x14ac:dyDescent="0.3">
      <c r="A2012" t="s">
        <v>113</v>
      </c>
      <c r="B2012" t="s">
        <v>158</v>
      </c>
    </row>
    <row r="2013" spans="1:2" x14ac:dyDescent="0.3">
      <c r="A2013" t="s">
        <v>113</v>
      </c>
      <c r="B2013" t="s">
        <v>159</v>
      </c>
    </row>
    <row r="2014" spans="1:2" x14ac:dyDescent="0.3">
      <c r="A2014" t="s">
        <v>113</v>
      </c>
      <c r="B2014" t="s">
        <v>158</v>
      </c>
    </row>
    <row r="2015" spans="1:2" x14ac:dyDescent="0.3">
      <c r="A2015" t="s">
        <v>113</v>
      </c>
      <c r="B2015" t="s">
        <v>158</v>
      </c>
    </row>
    <row r="2016" spans="1:2" x14ac:dyDescent="0.3">
      <c r="A2016" t="s">
        <v>113</v>
      </c>
      <c r="B2016" t="s">
        <v>158</v>
      </c>
    </row>
    <row r="2017" spans="1:2" x14ac:dyDescent="0.3">
      <c r="A2017" t="s">
        <v>113</v>
      </c>
      <c r="B2017" t="s">
        <v>158</v>
      </c>
    </row>
    <row r="2018" spans="1:2" x14ac:dyDescent="0.3">
      <c r="A2018" t="s">
        <v>113</v>
      </c>
      <c r="B2018" t="s">
        <v>158</v>
      </c>
    </row>
    <row r="2019" spans="1:2" x14ac:dyDescent="0.3">
      <c r="A2019" t="s">
        <v>113</v>
      </c>
      <c r="B2019" t="s">
        <v>158</v>
      </c>
    </row>
    <row r="2020" spans="1:2" x14ac:dyDescent="0.3">
      <c r="A2020" t="s">
        <v>113</v>
      </c>
      <c r="B2020" t="s">
        <v>158</v>
      </c>
    </row>
    <row r="2021" spans="1:2" x14ac:dyDescent="0.3">
      <c r="A2021" t="s">
        <v>113</v>
      </c>
      <c r="B2021" t="s">
        <v>159</v>
      </c>
    </row>
    <row r="2022" spans="1:2" x14ac:dyDescent="0.3">
      <c r="A2022" t="s">
        <v>113</v>
      </c>
      <c r="B2022" t="s">
        <v>158</v>
      </c>
    </row>
    <row r="2023" spans="1:2" x14ac:dyDescent="0.3">
      <c r="A2023" t="s">
        <v>113</v>
      </c>
      <c r="B2023" t="s">
        <v>159</v>
      </c>
    </row>
    <row r="2024" spans="1:2" x14ac:dyDescent="0.3">
      <c r="A2024" t="s">
        <v>113</v>
      </c>
      <c r="B2024" t="s">
        <v>158</v>
      </c>
    </row>
    <row r="2025" spans="1:2" x14ac:dyDescent="0.3">
      <c r="A2025" t="s">
        <v>113</v>
      </c>
      <c r="B2025" t="s">
        <v>158</v>
      </c>
    </row>
    <row r="2026" spans="1:2" x14ac:dyDescent="0.3">
      <c r="A2026" t="s">
        <v>113</v>
      </c>
      <c r="B2026" t="s">
        <v>158</v>
      </c>
    </row>
    <row r="2027" spans="1:2" x14ac:dyDescent="0.3">
      <c r="A2027" t="s">
        <v>113</v>
      </c>
      <c r="B2027" t="s">
        <v>158</v>
      </c>
    </row>
    <row r="2028" spans="1:2" x14ac:dyDescent="0.3">
      <c r="A2028" t="s">
        <v>114</v>
      </c>
      <c r="B2028" t="s">
        <v>159</v>
      </c>
    </row>
    <row r="2029" spans="1:2" x14ac:dyDescent="0.3">
      <c r="A2029" t="s">
        <v>114</v>
      </c>
      <c r="B2029" t="s">
        <v>159</v>
      </c>
    </row>
    <row r="2030" spans="1:2" x14ac:dyDescent="0.3">
      <c r="A2030" t="s">
        <v>114</v>
      </c>
      <c r="B2030" t="s">
        <v>159</v>
      </c>
    </row>
    <row r="2031" spans="1:2" x14ac:dyDescent="0.3">
      <c r="A2031" t="s">
        <v>114</v>
      </c>
      <c r="B2031" t="s">
        <v>159</v>
      </c>
    </row>
    <row r="2032" spans="1:2" x14ac:dyDescent="0.3">
      <c r="A2032" t="s">
        <v>114</v>
      </c>
      <c r="B2032" t="s">
        <v>159</v>
      </c>
    </row>
    <row r="2033" spans="1:2" x14ac:dyDescent="0.3">
      <c r="A2033" t="s">
        <v>114</v>
      </c>
      <c r="B2033" t="s">
        <v>159</v>
      </c>
    </row>
    <row r="2034" spans="1:2" x14ac:dyDescent="0.3">
      <c r="A2034" t="s">
        <v>114</v>
      </c>
      <c r="B2034" t="s">
        <v>159</v>
      </c>
    </row>
    <row r="2035" spans="1:2" x14ac:dyDescent="0.3">
      <c r="A2035" t="s">
        <v>114</v>
      </c>
      <c r="B2035" t="s">
        <v>159</v>
      </c>
    </row>
    <row r="2036" spans="1:2" x14ac:dyDescent="0.3">
      <c r="A2036" t="s">
        <v>114</v>
      </c>
      <c r="B2036" t="s">
        <v>159</v>
      </c>
    </row>
    <row r="2037" spans="1:2" x14ac:dyDescent="0.3">
      <c r="A2037" t="s">
        <v>114</v>
      </c>
      <c r="B2037" t="s">
        <v>159</v>
      </c>
    </row>
    <row r="2038" spans="1:2" x14ac:dyDescent="0.3">
      <c r="A2038" t="s">
        <v>114</v>
      </c>
      <c r="B2038" t="s">
        <v>159</v>
      </c>
    </row>
    <row r="2039" spans="1:2" x14ac:dyDescent="0.3">
      <c r="A2039" t="s">
        <v>114</v>
      </c>
      <c r="B2039" t="s">
        <v>159</v>
      </c>
    </row>
    <row r="2040" spans="1:2" x14ac:dyDescent="0.3">
      <c r="A2040" t="s">
        <v>114</v>
      </c>
      <c r="B2040" t="s">
        <v>159</v>
      </c>
    </row>
    <row r="2041" spans="1:2" x14ac:dyDescent="0.3">
      <c r="A2041" t="s">
        <v>114</v>
      </c>
      <c r="B2041" t="s">
        <v>159</v>
      </c>
    </row>
    <row r="2042" spans="1:2" x14ac:dyDescent="0.3">
      <c r="A2042" t="s">
        <v>114</v>
      </c>
      <c r="B2042" t="s">
        <v>159</v>
      </c>
    </row>
    <row r="2043" spans="1:2" x14ac:dyDescent="0.3">
      <c r="A2043" t="s">
        <v>114</v>
      </c>
      <c r="B2043" t="s">
        <v>159</v>
      </c>
    </row>
    <row r="2044" spans="1:2" x14ac:dyDescent="0.3">
      <c r="A2044" t="s">
        <v>114</v>
      </c>
      <c r="B2044" t="s">
        <v>159</v>
      </c>
    </row>
    <row r="2045" spans="1:2" x14ac:dyDescent="0.3">
      <c r="A2045" t="s">
        <v>114</v>
      </c>
      <c r="B2045" t="s">
        <v>159</v>
      </c>
    </row>
    <row r="2046" spans="1:2" x14ac:dyDescent="0.3">
      <c r="A2046" t="s">
        <v>114</v>
      </c>
      <c r="B2046" t="s">
        <v>159</v>
      </c>
    </row>
    <row r="2047" spans="1:2" x14ac:dyDescent="0.3">
      <c r="A2047" t="s">
        <v>114</v>
      </c>
      <c r="B2047" t="s">
        <v>159</v>
      </c>
    </row>
    <row r="2048" spans="1:2" x14ac:dyDescent="0.3">
      <c r="A2048" t="s">
        <v>114</v>
      </c>
      <c r="B2048" t="s">
        <v>159</v>
      </c>
    </row>
    <row r="2049" spans="1:2" x14ac:dyDescent="0.3">
      <c r="A2049" t="s">
        <v>114</v>
      </c>
      <c r="B2049" t="s">
        <v>159</v>
      </c>
    </row>
    <row r="2050" spans="1:2" x14ac:dyDescent="0.3">
      <c r="A2050" t="s">
        <v>114</v>
      </c>
      <c r="B2050" t="s">
        <v>159</v>
      </c>
    </row>
    <row r="2051" spans="1:2" x14ac:dyDescent="0.3">
      <c r="A2051" t="s">
        <v>114</v>
      </c>
      <c r="B2051" t="s">
        <v>159</v>
      </c>
    </row>
    <row r="2052" spans="1:2" x14ac:dyDescent="0.3">
      <c r="A2052" t="s">
        <v>114</v>
      </c>
      <c r="B2052" t="s">
        <v>159</v>
      </c>
    </row>
    <row r="2053" spans="1:2" x14ac:dyDescent="0.3">
      <c r="A2053" t="s">
        <v>114</v>
      </c>
      <c r="B2053" t="s">
        <v>159</v>
      </c>
    </row>
    <row r="2054" spans="1:2" x14ac:dyDescent="0.3">
      <c r="A2054" t="s">
        <v>114</v>
      </c>
      <c r="B2054" t="s">
        <v>159</v>
      </c>
    </row>
    <row r="2055" spans="1:2" x14ac:dyDescent="0.3">
      <c r="A2055" t="s">
        <v>114</v>
      </c>
      <c r="B2055" t="s">
        <v>159</v>
      </c>
    </row>
    <row r="2056" spans="1:2" x14ac:dyDescent="0.3">
      <c r="A2056" t="s">
        <v>114</v>
      </c>
      <c r="B2056" t="s">
        <v>159</v>
      </c>
    </row>
    <row r="2057" spans="1:2" x14ac:dyDescent="0.3">
      <c r="A2057" t="s">
        <v>114</v>
      </c>
      <c r="B2057" t="s">
        <v>159</v>
      </c>
    </row>
    <row r="2058" spans="1:2" x14ac:dyDescent="0.3">
      <c r="A2058" t="s">
        <v>114</v>
      </c>
      <c r="B2058" t="s">
        <v>159</v>
      </c>
    </row>
    <row r="2059" spans="1:2" x14ac:dyDescent="0.3">
      <c r="A2059" t="s">
        <v>114</v>
      </c>
      <c r="B2059" t="s">
        <v>159</v>
      </c>
    </row>
    <row r="2060" spans="1:2" x14ac:dyDescent="0.3">
      <c r="A2060" t="s">
        <v>114</v>
      </c>
      <c r="B2060" t="s">
        <v>159</v>
      </c>
    </row>
    <row r="2061" spans="1:2" x14ac:dyDescent="0.3">
      <c r="A2061" t="s">
        <v>114</v>
      </c>
      <c r="B2061" t="s">
        <v>159</v>
      </c>
    </row>
    <row r="2062" spans="1:2" x14ac:dyDescent="0.3">
      <c r="A2062" t="s">
        <v>114</v>
      </c>
      <c r="B2062" t="s">
        <v>159</v>
      </c>
    </row>
    <row r="2063" spans="1:2" x14ac:dyDescent="0.3">
      <c r="A2063" t="s">
        <v>114</v>
      </c>
      <c r="B2063" t="s">
        <v>159</v>
      </c>
    </row>
    <row r="2064" spans="1:2" x14ac:dyDescent="0.3">
      <c r="A2064" t="s">
        <v>114</v>
      </c>
      <c r="B2064" t="s">
        <v>159</v>
      </c>
    </row>
    <row r="2065" spans="1:2" x14ac:dyDescent="0.3">
      <c r="A2065" t="s">
        <v>114</v>
      </c>
      <c r="B2065" t="s">
        <v>159</v>
      </c>
    </row>
    <row r="2066" spans="1:2" x14ac:dyDescent="0.3">
      <c r="A2066" t="s">
        <v>114</v>
      </c>
      <c r="B2066" t="s">
        <v>159</v>
      </c>
    </row>
    <row r="2067" spans="1:2" x14ac:dyDescent="0.3">
      <c r="A2067" t="s">
        <v>114</v>
      </c>
      <c r="B2067" t="s">
        <v>159</v>
      </c>
    </row>
    <row r="2068" spans="1:2" x14ac:dyDescent="0.3">
      <c r="A2068" t="s">
        <v>114</v>
      </c>
      <c r="B2068" t="s">
        <v>159</v>
      </c>
    </row>
    <row r="2069" spans="1:2" x14ac:dyDescent="0.3">
      <c r="A2069" t="s">
        <v>114</v>
      </c>
      <c r="B2069" t="s">
        <v>159</v>
      </c>
    </row>
    <row r="2070" spans="1:2" x14ac:dyDescent="0.3">
      <c r="A2070" t="s">
        <v>114</v>
      </c>
      <c r="B2070" t="s">
        <v>159</v>
      </c>
    </row>
    <row r="2071" spans="1:2" x14ac:dyDescent="0.3">
      <c r="A2071" t="s">
        <v>114</v>
      </c>
      <c r="B2071" t="s">
        <v>159</v>
      </c>
    </row>
    <row r="2072" spans="1:2" x14ac:dyDescent="0.3">
      <c r="A2072" t="s">
        <v>114</v>
      </c>
      <c r="B2072" t="s">
        <v>159</v>
      </c>
    </row>
    <row r="2073" spans="1:2" x14ac:dyDescent="0.3">
      <c r="A2073" t="s">
        <v>114</v>
      </c>
      <c r="B2073" t="s">
        <v>159</v>
      </c>
    </row>
    <row r="2074" spans="1:2" x14ac:dyDescent="0.3">
      <c r="A2074" t="s">
        <v>114</v>
      </c>
      <c r="B2074" t="s">
        <v>159</v>
      </c>
    </row>
    <row r="2075" spans="1:2" x14ac:dyDescent="0.3">
      <c r="A2075" t="s">
        <v>114</v>
      </c>
      <c r="B2075" t="s">
        <v>159</v>
      </c>
    </row>
    <row r="2076" spans="1:2" x14ac:dyDescent="0.3">
      <c r="A2076" t="s">
        <v>114</v>
      </c>
      <c r="B2076" t="s">
        <v>159</v>
      </c>
    </row>
    <row r="2077" spans="1:2" x14ac:dyDescent="0.3">
      <c r="A2077" t="s">
        <v>114</v>
      </c>
      <c r="B2077" t="s">
        <v>159</v>
      </c>
    </row>
    <row r="2078" spans="1:2" x14ac:dyDescent="0.3">
      <c r="A2078" t="s">
        <v>114</v>
      </c>
      <c r="B2078" t="s">
        <v>159</v>
      </c>
    </row>
    <row r="2079" spans="1:2" x14ac:dyDescent="0.3">
      <c r="A2079" t="s">
        <v>114</v>
      </c>
      <c r="B2079" t="s">
        <v>159</v>
      </c>
    </row>
    <row r="2080" spans="1:2" x14ac:dyDescent="0.3">
      <c r="A2080" t="s">
        <v>114</v>
      </c>
      <c r="B2080" t="s">
        <v>159</v>
      </c>
    </row>
    <row r="2081" spans="1:2" x14ac:dyDescent="0.3">
      <c r="A2081" t="s">
        <v>114</v>
      </c>
      <c r="B2081" t="s">
        <v>159</v>
      </c>
    </row>
    <row r="2082" spans="1:2" x14ac:dyDescent="0.3">
      <c r="A2082" t="s">
        <v>114</v>
      </c>
      <c r="B2082" t="s">
        <v>159</v>
      </c>
    </row>
    <row r="2083" spans="1:2" x14ac:dyDescent="0.3">
      <c r="A2083" t="s">
        <v>114</v>
      </c>
      <c r="B2083" t="s">
        <v>159</v>
      </c>
    </row>
    <row r="2084" spans="1:2" x14ac:dyDescent="0.3">
      <c r="A2084" t="s">
        <v>114</v>
      </c>
      <c r="B2084" t="s">
        <v>159</v>
      </c>
    </row>
    <row r="2085" spans="1:2" x14ac:dyDescent="0.3">
      <c r="A2085" t="s">
        <v>114</v>
      </c>
      <c r="B2085" t="s">
        <v>159</v>
      </c>
    </row>
    <row r="2086" spans="1:2" x14ac:dyDescent="0.3">
      <c r="A2086" t="s">
        <v>114</v>
      </c>
      <c r="B2086" t="s">
        <v>159</v>
      </c>
    </row>
    <row r="2087" spans="1:2" x14ac:dyDescent="0.3">
      <c r="A2087" t="s">
        <v>114</v>
      </c>
      <c r="B2087" t="s">
        <v>159</v>
      </c>
    </row>
    <row r="2088" spans="1:2" x14ac:dyDescent="0.3">
      <c r="A2088" t="s">
        <v>114</v>
      </c>
      <c r="B2088" t="s">
        <v>159</v>
      </c>
    </row>
    <row r="2089" spans="1:2" x14ac:dyDescent="0.3">
      <c r="A2089" t="s">
        <v>114</v>
      </c>
      <c r="B2089" t="s">
        <v>159</v>
      </c>
    </row>
    <row r="2090" spans="1:2" x14ac:dyDescent="0.3">
      <c r="A2090" t="s">
        <v>114</v>
      </c>
      <c r="B2090" t="s">
        <v>159</v>
      </c>
    </row>
    <row r="2091" spans="1:2" x14ac:dyDescent="0.3">
      <c r="A2091" t="s">
        <v>114</v>
      </c>
      <c r="B2091" t="s">
        <v>159</v>
      </c>
    </row>
    <row r="2092" spans="1:2" x14ac:dyDescent="0.3">
      <c r="A2092" t="s">
        <v>114</v>
      </c>
      <c r="B2092" t="s">
        <v>159</v>
      </c>
    </row>
    <row r="2093" spans="1:2" x14ac:dyDescent="0.3">
      <c r="A2093" t="s">
        <v>114</v>
      </c>
      <c r="B2093" t="s">
        <v>159</v>
      </c>
    </row>
    <row r="2094" spans="1:2" x14ac:dyDescent="0.3">
      <c r="A2094" t="s">
        <v>114</v>
      </c>
      <c r="B2094" t="s">
        <v>159</v>
      </c>
    </row>
    <row r="2095" spans="1:2" x14ac:dyDescent="0.3">
      <c r="A2095" t="s">
        <v>114</v>
      </c>
      <c r="B2095" t="s">
        <v>159</v>
      </c>
    </row>
    <row r="2096" spans="1:2" x14ac:dyDescent="0.3">
      <c r="A2096" t="s">
        <v>114</v>
      </c>
      <c r="B2096" t="s">
        <v>159</v>
      </c>
    </row>
    <row r="2097" spans="1:2" x14ac:dyDescent="0.3">
      <c r="A2097" t="s">
        <v>114</v>
      </c>
      <c r="B2097" t="s">
        <v>159</v>
      </c>
    </row>
    <row r="2098" spans="1:2" x14ac:dyDescent="0.3">
      <c r="A2098" t="s">
        <v>114</v>
      </c>
      <c r="B2098" t="s">
        <v>159</v>
      </c>
    </row>
    <row r="2099" spans="1:2" x14ac:dyDescent="0.3">
      <c r="A2099" t="s">
        <v>114</v>
      </c>
      <c r="B2099" t="s">
        <v>159</v>
      </c>
    </row>
    <row r="2100" spans="1:2" x14ac:dyDescent="0.3">
      <c r="A2100" t="s">
        <v>114</v>
      </c>
      <c r="B2100" t="s">
        <v>159</v>
      </c>
    </row>
    <row r="2101" spans="1:2" x14ac:dyDescent="0.3">
      <c r="A2101" t="s">
        <v>114</v>
      </c>
      <c r="B2101" t="s">
        <v>159</v>
      </c>
    </row>
    <row r="2102" spans="1:2" x14ac:dyDescent="0.3">
      <c r="A2102" t="s">
        <v>114</v>
      </c>
      <c r="B2102" t="s">
        <v>159</v>
      </c>
    </row>
    <row r="2103" spans="1:2" x14ac:dyDescent="0.3">
      <c r="A2103" t="s">
        <v>114</v>
      </c>
      <c r="B2103" t="s">
        <v>159</v>
      </c>
    </row>
    <row r="2104" spans="1:2" x14ac:dyDescent="0.3">
      <c r="A2104" t="s">
        <v>114</v>
      </c>
      <c r="B2104" t="s">
        <v>159</v>
      </c>
    </row>
    <row r="2105" spans="1:2" x14ac:dyDescent="0.3">
      <c r="A2105" t="s">
        <v>114</v>
      </c>
      <c r="B2105" t="s">
        <v>159</v>
      </c>
    </row>
    <row r="2106" spans="1:2" x14ac:dyDescent="0.3">
      <c r="A2106" t="s">
        <v>114</v>
      </c>
      <c r="B2106" t="s">
        <v>159</v>
      </c>
    </row>
    <row r="2107" spans="1:2" x14ac:dyDescent="0.3">
      <c r="A2107" t="s">
        <v>114</v>
      </c>
      <c r="B2107" t="s">
        <v>159</v>
      </c>
    </row>
    <row r="2108" spans="1:2" x14ac:dyDescent="0.3">
      <c r="A2108" t="s">
        <v>114</v>
      </c>
      <c r="B2108" t="s">
        <v>159</v>
      </c>
    </row>
    <row r="2109" spans="1:2" x14ac:dyDescent="0.3">
      <c r="A2109" t="s">
        <v>114</v>
      </c>
      <c r="B2109" t="s">
        <v>159</v>
      </c>
    </row>
    <row r="2110" spans="1:2" x14ac:dyDescent="0.3">
      <c r="A2110" t="s">
        <v>114</v>
      </c>
      <c r="B2110" t="s">
        <v>159</v>
      </c>
    </row>
    <row r="2111" spans="1:2" x14ac:dyDescent="0.3">
      <c r="A2111" t="s">
        <v>114</v>
      </c>
      <c r="B2111" t="s">
        <v>159</v>
      </c>
    </row>
    <row r="2112" spans="1:2" x14ac:dyDescent="0.3">
      <c r="A2112" t="s">
        <v>114</v>
      </c>
      <c r="B2112" t="s">
        <v>159</v>
      </c>
    </row>
    <row r="2113" spans="1:2" x14ac:dyDescent="0.3">
      <c r="A2113" t="s">
        <v>114</v>
      </c>
      <c r="B2113" t="s">
        <v>159</v>
      </c>
    </row>
    <row r="2114" spans="1:2" x14ac:dyDescent="0.3">
      <c r="A2114" t="s">
        <v>114</v>
      </c>
      <c r="B2114" t="s">
        <v>159</v>
      </c>
    </row>
    <row r="2115" spans="1:2" x14ac:dyDescent="0.3">
      <c r="A2115" t="s">
        <v>114</v>
      </c>
      <c r="B2115" t="s">
        <v>159</v>
      </c>
    </row>
    <row r="2116" spans="1:2" x14ac:dyDescent="0.3">
      <c r="A2116" t="s">
        <v>114</v>
      </c>
      <c r="B2116" t="s">
        <v>159</v>
      </c>
    </row>
    <row r="2117" spans="1:2" x14ac:dyDescent="0.3">
      <c r="A2117" t="s">
        <v>114</v>
      </c>
      <c r="B2117" t="s">
        <v>159</v>
      </c>
    </row>
    <row r="2118" spans="1:2" x14ac:dyDescent="0.3">
      <c r="A2118" t="s">
        <v>114</v>
      </c>
      <c r="B2118" t="s">
        <v>159</v>
      </c>
    </row>
    <row r="2119" spans="1:2" x14ac:dyDescent="0.3">
      <c r="A2119" t="s">
        <v>114</v>
      </c>
      <c r="B2119" t="s">
        <v>159</v>
      </c>
    </row>
    <row r="2120" spans="1:2" x14ac:dyDescent="0.3">
      <c r="A2120" t="s">
        <v>114</v>
      </c>
      <c r="B2120" t="s">
        <v>159</v>
      </c>
    </row>
    <row r="2121" spans="1:2" x14ac:dyDescent="0.3">
      <c r="A2121" t="s">
        <v>114</v>
      </c>
      <c r="B2121" t="s">
        <v>159</v>
      </c>
    </row>
    <row r="2122" spans="1:2" x14ac:dyDescent="0.3">
      <c r="A2122" t="s">
        <v>114</v>
      </c>
      <c r="B2122" t="s">
        <v>159</v>
      </c>
    </row>
    <row r="2123" spans="1:2" x14ac:dyDescent="0.3">
      <c r="A2123" t="s">
        <v>114</v>
      </c>
      <c r="B2123" t="s">
        <v>159</v>
      </c>
    </row>
    <row r="2124" spans="1:2" x14ac:dyDescent="0.3">
      <c r="A2124" t="s">
        <v>114</v>
      </c>
      <c r="B2124" t="s">
        <v>159</v>
      </c>
    </row>
    <row r="2125" spans="1:2" x14ac:dyDescent="0.3">
      <c r="A2125" t="s">
        <v>114</v>
      </c>
      <c r="B2125" t="s">
        <v>159</v>
      </c>
    </row>
    <row r="2126" spans="1:2" x14ac:dyDescent="0.3">
      <c r="A2126" t="s">
        <v>114</v>
      </c>
      <c r="B2126" t="s">
        <v>159</v>
      </c>
    </row>
    <row r="2127" spans="1:2" x14ac:dyDescent="0.3">
      <c r="A2127" t="s">
        <v>114</v>
      </c>
      <c r="B2127" t="s">
        <v>159</v>
      </c>
    </row>
    <row r="2128" spans="1:2" x14ac:dyDescent="0.3">
      <c r="A2128" t="s">
        <v>114</v>
      </c>
      <c r="B2128" t="s">
        <v>159</v>
      </c>
    </row>
    <row r="2129" spans="1:2" x14ac:dyDescent="0.3">
      <c r="A2129" t="s">
        <v>114</v>
      </c>
      <c r="B2129" t="s">
        <v>159</v>
      </c>
    </row>
    <row r="2130" spans="1:2" x14ac:dyDescent="0.3">
      <c r="A2130" t="s">
        <v>114</v>
      </c>
      <c r="B2130" t="s">
        <v>159</v>
      </c>
    </row>
    <row r="2131" spans="1:2" x14ac:dyDescent="0.3">
      <c r="A2131" t="s">
        <v>114</v>
      </c>
      <c r="B2131" t="s">
        <v>159</v>
      </c>
    </row>
    <row r="2132" spans="1:2" x14ac:dyDescent="0.3">
      <c r="A2132" t="s">
        <v>114</v>
      </c>
      <c r="B2132" t="s">
        <v>159</v>
      </c>
    </row>
    <row r="2133" spans="1:2" x14ac:dyDescent="0.3">
      <c r="A2133" t="s">
        <v>114</v>
      </c>
      <c r="B2133" t="s">
        <v>159</v>
      </c>
    </row>
    <row r="2134" spans="1:2" x14ac:dyDescent="0.3">
      <c r="A2134" t="s">
        <v>114</v>
      </c>
      <c r="B2134" t="s">
        <v>159</v>
      </c>
    </row>
    <row r="2135" spans="1:2" x14ac:dyDescent="0.3">
      <c r="A2135" t="s">
        <v>114</v>
      </c>
      <c r="B2135" t="s">
        <v>159</v>
      </c>
    </row>
    <row r="2136" spans="1:2" x14ac:dyDescent="0.3">
      <c r="A2136" t="s">
        <v>114</v>
      </c>
      <c r="B2136" t="s">
        <v>159</v>
      </c>
    </row>
    <row r="2137" spans="1:2" x14ac:dyDescent="0.3">
      <c r="A2137" t="s">
        <v>114</v>
      </c>
      <c r="B2137" t="s">
        <v>159</v>
      </c>
    </row>
    <row r="2138" spans="1:2" x14ac:dyDescent="0.3">
      <c r="A2138" t="s">
        <v>114</v>
      </c>
      <c r="B2138" t="s">
        <v>159</v>
      </c>
    </row>
    <row r="2139" spans="1:2" x14ac:dyDescent="0.3">
      <c r="A2139" t="s">
        <v>114</v>
      </c>
      <c r="B2139" t="s">
        <v>159</v>
      </c>
    </row>
    <row r="2140" spans="1:2" x14ac:dyDescent="0.3">
      <c r="A2140" t="s">
        <v>114</v>
      </c>
      <c r="B2140" t="s">
        <v>159</v>
      </c>
    </row>
    <row r="2141" spans="1:2" x14ac:dyDescent="0.3">
      <c r="A2141" t="s">
        <v>114</v>
      </c>
      <c r="B2141" t="s">
        <v>159</v>
      </c>
    </row>
    <row r="2142" spans="1:2" x14ac:dyDescent="0.3">
      <c r="A2142" t="s">
        <v>114</v>
      </c>
      <c r="B2142" t="s">
        <v>159</v>
      </c>
    </row>
    <row r="2143" spans="1:2" x14ac:dyDescent="0.3">
      <c r="A2143" t="s">
        <v>114</v>
      </c>
      <c r="B2143" t="s">
        <v>159</v>
      </c>
    </row>
    <row r="2144" spans="1:2" x14ac:dyDescent="0.3">
      <c r="A2144" t="s">
        <v>114</v>
      </c>
      <c r="B2144" t="s">
        <v>159</v>
      </c>
    </row>
    <row r="2145" spans="1:2" x14ac:dyDescent="0.3">
      <c r="A2145" t="s">
        <v>114</v>
      </c>
      <c r="B2145" t="s">
        <v>159</v>
      </c>
    </row>
    <row r="2146" spans="1:2" x14ac:dyDescent="0.3">
      <c r="A2146" t="s">
        <v>114</v>
      </c>
      <c r="B2146" t="s">
        <v>159</v>
      </c>
    </row>
    <row r="2147" spans="1:2" x14ac:dyDescent="0.3">
      <c r="A2147" t="s">
        <v>114</v>
      </c>
      <c r="B2147" t="s">
        <v>159</v>
      </c>
    </row>
    <row r="2148" spans="1:2" x14ac:dyDescent="0.3">
      <c r="A2148" t="s">
        <v>114</v>
      </c>
      <c r="B2148" t="s">
        <v>159</v>
      </c>
    </row>
    <row r="2149" spans="1:2" x14ac:dyDescent="0.3">
      <c r="A2149" t="s">
        <v>114</v>
      </c>
      <c r="B2149" t="s">
        <v>159</v>
      </c>
    </row>
    <row r="2150" spans="1:2" x14ac:dyDescent="0.3">
      <c r="A2150" t="s">
        <v>114</v>
      </c>
      <c r="B2150" t="s">
        <v>159</v>
      </c>
    </row>
    <row r="2151" spans="1:2" x14ac:dyDescent="0.3">
      <c r="A2151" t="s">
        <v>114</v>
      </c>
      <c r="B2151" t="s">
        <v>159</v>
      </c>
    </row>
    <row r="2152" spans="1:2" x14ac:dyDescent="0.3">
      <c r="A2152" t="s">
        <v>114</v>
      </c>
      <c r="B2152" t="s">
        <v>159</v>
      </c>
    </row>
    <row r="2153" spans="1:2" x14ac:dyDescent="0.3">
      <c r="A2153" t="s">
        <v>114</v>
      </c>
      <c r="B2153" t="s">
        <v>159</v>
      </c>
    </row>
    <row r="2154" spans="1:2" x14ac:dyDescent="0.3">
      <c r="A2154" t="s">
        <v>114</v>
      </c>
      <c r="B2154" t="s">
        <v>159</v>
      </c>
    </row>
    <row r="2155" spans="1:2" x14ac:dyDescent="0.3">
      <c r="A2155" t="s">
        <v>114</v>
      </c>
      <c r="B2155" t="s">
        <v>159</v>
      </c>
    </row>
    <row r="2156" spans="1:2" x14ac:dyDescent="0.3">
      <c r="A2156" t="s">
        <v>114</v>
      </c>
      <c r="B2156" t="s">
        <v>159</v>
      </c>
    </row>
    <row r="2157" spans="1:2" x14ac:dyDescent="0.3">
      <c r="A2157" t="s">
        <v>114</v>
      </c>
      <c r="B2157" t="s">
        <v>159</v>
      </c>
    </row>
    <row r="2158" spans="1:2" x14ac:dyDescent="0.3">
      <c r="A2158" t="s">
        <v>114</v>
      </c>
      <c r="B2158" t="s">
        <v>159</v>
      </c>
    </row>
    <row r="2159" spans="1:2" x14ac:dyDescent="0.3">
      <c r="A2159" t="s">
        <v>114</v>
      </c>
      <c r="B2159" t="s">
        <v>159</v>
      </c>
    </row>
    <row r="2160" spans="1:2" x14ac:dyDescent="0.3">
      <c r="A2160" t="s">
        <v>114</v>
      </c>
      <c r="B2160" t="s">
        <v>159</v>
      </c>
    </row>
    <row r="2161" spans="1:2" x14ac:dyDescent="0.3">
      <c r="A2161" t="s">
        <v>114</v>
      </c>
      <c r="B2161" t="s">
        <v>159</v>
      </c>
    </row>
    <row r="2162" spans="1:2" x14ac:dyDescent="0.3">
      <c r="A2162" t="s">
        <v>114</v>
      </c>
      <c r="B2162" t="s">
        <v>159</v>
      </c>
    </row>
    <row r="2163" spans="1:2" x14ac:dyDescent="0.3">
      <c r="A2163" t="s">
        <v>114</v>
      </c>
      <c r="B2163" t="s">
        <v>159</v>
      </c>
    </row>
    <row r="2164" spans="1:2" x14ac:dyDescent="0.3">
      <c r="A2164" t="s">
        <v>114</v>
      </c>
      <c r="B2164" t="s">
        <v>159</v>
      </c>
    </row>
    <row r="2165" spans="1:2" x14ac:dyDescent="0.3">
      <c r="A2165" t="s">
        <v>114</v>
      </c>
      <c r="B2165" t="s">
        <v>159</v>
      </c>
    </row>
    <row r="2166" spans="1:2" x14ac:dyDescent="0.3">
      <c r="A2166" t="s">
        <v>114</v>
      </c>
      <c r="B2166" t="s">
        <v>159</v>
      </c>
    </row>
    <row r="2167" spans="1:2" x14ac:dyDescent="0.3">
      <c r="A2167" t="s">
        <v>114</v>
      </c>
      <c r="B2167" t="s">
        <v>159</v>
      </c>
    </row>
    <row r="2168" spans="1:2" x14ac:dyDescent="0.3">
      <c r="A2168" t="s">
        <v>114</v>
      </c>
      <c r="B2168" t="s">
        <v>159</v>
      </c>
    </row>
    <row r="2169" spans="1:2" x14ac:dyDescent="0.3">
      <c r="A2169" t="s">
        <v>114</v>
      </c>
      <c r="B2169" t="s">
        <v>159</v>
      </c>
    </row>
    <row r="2170" spans="1:2" x14ac:dyDescent="0.3">
      <c r="A2170" t="s">
        <v>114</v>
      </c>
      <c r="B2170" t="s">
        <v>159</v>
      </c>
    </row>
    <row r="2171" spans="1:2" x14ac:dyDescent="0.3">
      <c r="A2171" t="s">
        <v>114</v>
      </c>
      <c r="B2171" t="s">
        <v>159</v>
      </c>
    </row>
    <row r="2172" spans="1:2" x14ac:dyDescent="0.3">
      <c r="A2172" t="s">
        <v>114</v>
      </c>
      <c r="B2172" t="s">
        <v>159</v>
      </c>
    </row>
    <row r="2173" spans="1:2" x14ac:dyDescent="0.3">
      <c r="A2173" t="s">
        <v>114</v>
      </c>
      <c r="B2173" t="s">
        <v>159</v>
      </c>
    </row>
    <row r="2174" spans="1:2" x14ac:dyDescent="0.3">
      <c r="A2174" t="s">
        <v>114</v>
      </c>
      <c r="B2174" t="s">
        <v>159</v>
      </c>
    </row>
    <row r="2175" spans="1:2" x14ac:dyDescent="0.3">
      <c r="A2175" t="s">
        <v>114</v>
      </c>
      <c r="B2175" t="s">
        <v>159</v>
      </c>
    </row>
    <row r="2176" spans="1:2" x14ac:dyDescent="0.3">
      <c r="A2176" t="s">
        <v>114</v>
      </c>
      <c r="B2176" t="s">
        <v>159</v>
      </c>
    </row>
    <row r="2177" spans="1:2" x14ac:dyDescent="0.3">
      <c r="A2177" t="s">
        <v>114</v>
      </c>
      <c r="B2177" t="s">
        <v>159</v>
      </c>
    </row>
    <row r="2178" spans="1:2" x14ac:dyDescent="0.3">
      <c r="A2178" t="s">
        <v>114</v>
      </c>
      <c r="B2178" t="s">
        <v>159</v>
      </c>
    </row>
    <row r="2179" spans="1:2" x14ac:dyDescent="0.3">
      <c r="A2179" t="s">
        <v>114</v>
      </c>
      <c r="B2179" t="s">
        <v>159</v>
      </c>
    </row>
    <row r="2180" spans="1:2" x14ac:dyDescent="0.3">
      <c r="A2180" t="s">
        <v>114</v>
      </c>
      <c r="B2180" t="s">
        <v>159</v>
      </c>
    </row>
    <row r="2181" spans="1:2" x14ac:dyDescent="0.3">
      <c r="A2181" t="s">
        <v>114</v>
      </c>
      <c r="B2181" t="s">
        <v>159</v>
      </c>
    </row>
    <row r="2182" spans="1:2" x14ac:dyDescent="0.3">
      <c r="A2182" t="s">
        <v>114</v>
      </c>
      <c r="B2182" t="s">
        <v>159</v>
      </c>
    </row>
    <row r="2183" spans="1:2" x14ac:dyDescent="0.3">
      <c r="A2183" t="s">
        <v>114</v>
      </c>
      <c r="B2183" t="s">
        <v>159</v>
      </c>
    </row>
    <row r="2184" spans="1:2" x14ac:dyDescent="0.3">
      <c r="A2184" t="s">
        <v>114</v>
      </c>
      <c r="B2184" t="s">
        <v>159</v>
      </c>
    </row>
    <row r="2185" spans="1:2" x14ac:dyDescent="0.3">
      <c r="A2185" t="s">
        <v>114</v>
      </c>
      <c r="B2185" t="s">
        <v>159</v>
      </c>
    </row>
    <row r="2186" spans="1:2" x14ac:dyDescent="0.3">
      <c r="A2186" t="s">
        <v>114</v>
      </c>
      <c r="B2186" t="s">
        <v>159</v>
      </c>
    </row>
    <row r="2187" spans="1:2" x14ac:dyDescent="0.3">
      <c r="A2187" t="s">
        <v>114</v>
      </c>
      <c r="B2187" t="s">
        <v>159</v>
      </c>
    </row>
    <row r="2188" spans="1:2" x14ac:dyDescent="0.3">
      <c r="A2188" t="s">
        <v>114</v>
      </c>
      <c r="B2188" t="s">
        <v>159</v>
      </c>
    </row>
    <row r="2189" spans="1:2" x14ac:dyDescent="0.3">
      <c r="A2189" t="s">
        <v>114</v>
      </c>
      <c r="B2189" t="s">
        <v>159</v>
      </c>
    </row>
    <row r="2190" spans="1:2" x14ac:dyDescent="0.3">
      <c r="A2190" t="s">
        <v>114</v>
      </c>
      <c r="B2190" t="s">
        <v>159</v>
      </c>
    </row>
    <row r="2191" spans="1:2" x14ac:dyDescent="0.3">
      <c r="A2191" t="s">
        <v>114</v>
      </c>
      <c r="B2191" t="s">
        <v>159</v>
      </c>
    </row>
    <row r="2192" spans="1:2" x14ac:dyDescent="0.3">
      <c r="A2192" t="s">
        <v>114</v>
      </c>
      <c r="B2192" t="s">
        <v>159</v>
      </c>
    </row>
    <row r="2193" spans="1:2" x14ac:dyDescent="0.3">
      <c r="A2193" t="s">
        <v>114</v>
      </c>
      <c r="B2193" t="s">
        <v>159</v>
      </c>
    </row>
    <row r="2194" spans="1:2" x14ac:dyDescent="0.3">
      <c r="A2194" t="s">
        <v>114</v>
      </c>
      <c r="B2194" t="s">
        <v>159</v>
      </c>
    </row>
    <row r="2195" spans="1:2" x14ac:dyDescent="0.3">
      <c r="A2195" t="s">
        <v>114</v>
      </c>
      <c r="B2195" t="s">
        <v>159</v>
      </c>
    </row>
    <row r="2196" spans="1:2" x14ac:dyDescent="0.3">
      <c r="A2196" t="s">
        <v>114</v>
      </c>
      <c r="B2196" t="s">
        <v>159</v>
      </c>
    </row>
    <row r="2197" spans="1:2" x14ac:dyDescent="0.3">
      <c r="A2197" t="s">
        <v>114</v>
      </c>
      <c r="B2197" t="s">
        <v>159</v>
      </c>
    </row>
    <row r="2198" spans="1:2" x14ac:dyDescent="0.3">
      <c r="A2198" t="s">
        <v>114</v>
      </c>
      <c r="B2198" t="s">
        <v>159</v>
      </c>
    </row>
    <row r="2199" spans="1:2" x14ac:dyDescent="0.3">
      <c r="A2199" t="s">
        <v>114</v>
      </c>
      <c r="B2199" t="s">
        <v>159</v>
      </c>
    </row>
    <row r="2200" spans="1:2" x14ac:dyDescent="0.3">
      <c r="A2200" t="s">
        <v>114</v>
      </c>
      <c r="B2200" t="s">
        <v>159</v>
      </c>
    </row>
    <row r="2201" spans="1:2" x14ac:dyDescent="0.3">
      <c r="A2201" t="s">
        <v>114</v>
      </c>
      <c r="B2201" t="s">
        <v>159</v>
      </c>
    </row>
    <row r="2202" spans="1:2" x14ac:dyDescent="0.3">
      <c r="A2202" t="s">
        <v>114</v>
      </c>
      <c r="B2202" t="s">
        <v>159</v>
      </c>
    </row>
    <row r="2203" spans="1:2" x14ac:dyDescent="0.3">
      <c r="A2203" t="s">
        <v>114</v>
      </c>
      <c r="B2203" t="s">
        <v>159</v>
      </c>
    </row>
    <row r="2204" spans="1:2" x14ac:dyDescent="0.3">
      <c r="A2204" t="s">
        <v>114</v>
      </c>
      <c r="B2204" t="s">
        <v>159</v>
      </c>
    </row>
    <row r="2205" spans="1:2" x14ac:dyDescent="0.3">
      <c r="A2205" t="s">
        <v>114</v>
      </c>
      <c r="B2205" t="s">
        <v>159</v>
      </c>
    </row>
    <row r="2206" spans="1:2" x14ac:dyDescent="0.3">
      <c r="A2206" t="s">
        <v>114</v>
      </c>
      <c r="B2206" t="s">
        <v>159</v>
      </c>
    </row>
    <row r="2207" spans="1:2" x14ac:dyDescent="0.3">
      <c r="A2207" t="s">
        <v>114</v>
      </c>
      <c r="B2207" t="s">
        <v>159</v>
      </c>
    </row>
    <row r="2208" spans="1:2" x14ac:dyDescent="0.3">
      <c r="A2208" t="s">
        <v>114</v>
      </c>
      <c r="B2208" t="s">
        <v>159</v>
      </c>
    </row>
    <row r="2209" spans="1:2" x14ac:dyDescent="0.3">
      <c r="A2209" t="s">
        <v>114</v>
      </c>
      <c r="B2209" t="s">
        <v>159</v>
      </c>
    </row>
    <row r="2210" spans="1:2" x14ac:dyDescent="0.3">
      <c r="A2210" t="s">
        <v>114</v>
      </c>
      <c r="B2210" t="s">
        <v>159</v>
      </c>
    </row>
    <row r="2211" spans="1:2" x14ac:dyDescent="0.3">
      <c r="A2211" t="s">
        <v>114</v>
      </c>
      <c r="B2211" t="s">
        <v>159</v>
      </c>
    </row>
    <row r="2212" spans="1:2" x14ac:dyDescent="0.3">
      <c r="A2212" t="s">
        <v>114</v>
      </c>
      <c r="B2212" t="s">
        <v>159</v>
      </c>
    </row>
    <row r="2213" spans="1:2" x14ac:dyDescent="0.3">
      <c r="A2213" t="s">
        <v>114</v>
      </c>
      <c r="B2213" t="s">
        <v>159</v>
      </c>
    </row>
    <row r="2214" spans="1:2" x14ac:dyDescent="0.3">
      <c r="A2214" t="s">
        <v>114</v>
      </c>
      <c r="B2214" t="s">
        <v>159</v>
      </c>
    </row>
    <row r="2215" spans="1:2" x14ac:dyDescent="0.3">
      <c r="A2215" t="s">
        <v>114</v>
      </c>
      <c r="B2215" t="s">
        <v>159</v>
      </c>
    </row>
    <row r="2216" spans="1:2" x14ac:dyDescent="0.3">
      <c r="A2216" t="s">
        <v>114</v>
      </c>
      <c r="B2216" t="s">
        <v>159</v>
      </c>
    </row>
    <row r="2217" spans="1:2" x14ac:dyDescent="0.3">
      <c r="A2217" t="s">
        <v>114</v>
      </c>
      <c r="B2217" t="s">
        <v>159</v>
      </c>
    </row>
    <row r="2218" spans="1:2" x14ac:dyDescent="0.3">
      <c r="A2218" t="s">
        <v>114</v>
      </c>
      <c r="B2218" t="s">
        <v>159</v>
      </c>
    </row>
    <row r="2219" spans="1:2" x14ac:dyDescent="0.3">
      <c r="A2219" t="s">
        <v>114</v>
      </c>
      <c r="B2219" t="s">
        <v>159</v>
      </c>
    </row>
    <row r="2220" spans="1:2" x14ac:dyDescent="0.3">
      <c r="A2220" t="s">
        <v>114</v>
      </c>
      <c r="B2220" t="s">
        <v>159</v>
      </c>
    </row>
    <row r="2221" spans="1:2" x14ac:dyDescent="0.3">
      <c r="A2221" t="s">
        <v>114</v>
      </c>
      <c r="B2221" t="s">
        <v>159</v>
      </c>
    </row>
    <row r="2222" spans="1:2" x14ac:dyDescent="0.3">
      <c r="A2222" t="s">
        <v>114</v>
      </c>
      <c r="B2222" t="s">
        <v>159</v>
      </c>
    </row>
    <row r="2223" spans="1:2" x14ac:dyDescent="0.3">
      <c r="A2223" t="s">
        <v>114</v>
      </c>
      <c r="B2223" t="s">
        <v>159</v>
      </c>
    </row>
    <row r="2224" spans="1:2" x14ac:dyDescent="0.3">
      <c r="A2224" t="s">
        <v>114</v>
      </c>
      <c r="B2224" t="s">
        <v>159</v>
      </c>
    </row>
    <row r="2225" spans="1:2" x14ac:dyDescent="0.3">
      <c r="A2225" t="s">
        <v>114</v>
      </c>
      <c r="B2225" t="s">
        <v>159</v>
      </c>
    </row>
    <row r="2226" spans="1:2" x14ac:dyDescent="0.3">
      <c r="A2226" t="s">
        <v>114</v>
      </c>
      <c r="B2226" t="s">
        <v>159</v>
      </c>
    </row>
    <row r="2227" spans="1:2" x14ac:dyDescent="0.3">
      <c r="A2227" t="s">
        <v>114</v>
      </c>
      <c r="B2227" t="s">
        <v>159</v>
      </c>
    </row>
    <row r="2228" spans="1:2" x14ac:dyDescent="0.3">
      <c r="A2228" t="s">
        <v>114</v>
      </c>
      <c r="B2228" t="s">
        <v>159</v>
      </c>
    </row>
    <row r="2229" spans="1:2" x14ac:dyDescent="0.3">
      <c r="A2229" t="s">
        <v>114</v>
      </c>
      <c r="B2229" t="s">
        <v>159</v>
      </c>
    </row>
    <row r="2230" spans="1:2" x14ac:dyDescent="0.3">
      <c r="A2230" t="s">
        <v>114</v>
      </c>
      <c r="B2230" t="s">
        <v>159</v>
      </c>
    </row>
    <row r="2231" spans="1:2" x14ac:dyDescent="0.3">
      <c r="A2231" t="s">
        <v>114</v>
      </c>
      <c r="B2231" t="s">
        <v>159</v>
      </c>
    </row>
    <row r="2232" spans="1:2" x14ac:dyDescent="0.3">
      <c r="A2232" t="s">
        <v>114</v>
      </c>
      <c r="B2232" t="s">
        <v>159</v>
      </c>
    </row>
    <row r="2233" spans="1:2" x14ac:dyDescent="0.3">
      <c r="A2233" t="s">
        <v>114</v>
      </c>
      <c r="B2233" t="s">
        <v>159</v>
      </c>
    </row>
    <row r="2234" spans="1:2" x14ac:dyDescent="0.3">
      <c r="A2234" t="s">
        <v>114</v>
      </c>
      <c r="B2234" t="s">
        <v>159</v>
      </c>
    </row>
    <row r="2235" spans="1:2" x14ac:dyDescent="0.3">
      <c r="A2235" t="s">
        <v>114</v>
      </c>
      <c r="B2235" t="s">
        <v>159</v>
      </c>
    </row>
    <row r="2236" spans="1:2" x14ac:dyDescent="0.3">
      <c r="A2236" t="s">
        <v>114</v>
      </c>
      <c r="B2236" t="s">
        <v>159</v>
      </c>
    </row>
    <row r="2237" spans="1:2" x14ac:dyDescent="0.3">
      <c r="A2237" t="s">
        <v>114</v>
      </c>
      <c r="B2237" t="s">
        <v>159</v>
      </c>
    </row>
    <row r="2238" spans="1:2" x14ac:dyDescent="0.3">
      <c r="A2238" t="s">
        <v>114</v>
      </c>
      <c r="B2238" t="s">
        <v>159</v>
      </c>
    </row>
    <row r="2239" spans="1:2" x14ac:dyDescent="0.3">
      <c r="A2239" t="s">
        <v>114</v>
      </c>
      <c r="B2239" t="s">
        <v>159</v>
      </c>
    </row>
    <row r="2240" spans="1:2" x14ac:dyDescent="0.3">
      <c r="A2240" t="s">
        <v>114</v>
      </c>
      <c r="B2240" t="s">
        <v>159</v>
      </c>
    </row>
    <row r="2241" spans="1:2" x14ac:dyDescent="0.3">
      <c r="A2241" t="s">
        <v>114</v>
      </c>
      <c r="B2241" t="s">
        <v>159</v>
      </c>
    </row>
    <row r="2242" spans="1:2" x14ac:dyDescent="0.3">
      <c r="A2242" t="s">
        <v>114</v>
      </c>
      <c r="B2242" t="s">
        <v>159</v>
      </c>
    </row>
    <row r="2243" spans="1:2" x14ac:dyDescent="0.3">
      <c r="A2243" t="s">
        <v>114</v>
      </c>
      <c r="B2243" t="s">
        <v>159</v>
      </c>
    </row>
    <row r="2244" spans="1:2" x14ac:dyDescent="0.3">
      <c r="A2244" t="s">
        <v>114</v>
      </c>
      <c r="B2244" t="s">
        <v>159</v>
      </c>
    </row>
    <row r="2245" spans="1:2" x14ac:dyDescent="0.3">
      <c r="A2245" t="s">
        <v>114</v>
      </c>
      <c r="B2245" t="s">
        <v>159</v>
      </c>
    </row>
    <row r="2246" spans="1:2" x14ac:dyDescent="0.3">
      <c r="A2246" t="s">
        <v>114</v>
      </c>
      <c r="B2246" t="s">
        <v>159</v>
      </c>
    </row>
    <row r="2247" spans="1:2" x14ac:dyDescent="0.3">
      <c r="A2247" t="s">
        <v>114</v>
      </c>
      <c r="B2247" t="s">
        <v>159</v>
      </c>
    </row>
    <row r="2248" spans="1:2" x14ac:dyDescent="0.3">
      <c r="A2248" t="s">
        <v>114</v>
      </c>
      <c r="B2248" t="s">
        <v>159</v>
      </c>
    </row>
    <row r="2249" spans="1:2" x14ac:dyDescent="0.3">
      <c r="A2249" t="s">
        <v>114</v>
      </c>
      <c r="B2249" t="s">
        <v>159</v>
      </c>
    </row>
    <row r="2250" spans="1:2" x14ac:dyDescent="0.3">
      <c r="A2250" t="s">
        <v>114</v>
      </c>
      <c r="B2250" t="s">
        <v>159</v>
      </c>
    </row>
    <row r="2251" spans="1:2" x14ac:dyDescent="0.3">
      <c r="A2251" t="s">
        <v>114</v>
      </c>
      <c r="B2251" t="s">
        <v>159</v>
      </c>
    </row>
    <row r="2252" spans="1:2" x14ac:dyDescent="0.3">
      <c r="A2252" t="s">
        <v>114</v>
      </c>
      <c r="B2252" t="s">
        <v>159</v>
      </c>
    </row>
    <row r="2253" spans="1:2" x14ac:dyDescent="0.3">
      <c r="A2253" t="s">
        <v>114</v>
      </c>
      <c r="B2253" t="s">
        <v>159</v>
      </c>
    </row>
    <row r="2254" spans="1:2" x14ac:dyDescent="0.3">
      <c r="A2254" t="s">
        <v>114</v>
      </c>
      <c r="B2254" t="s">
        <v>159</v>
      </c>
    </row>
    <row r="2255" spans="1:2" x14ac:dyDescent="0.3">
      <c r="A2255" t="s">
        <v>114</v>
      </c>
      <c r="B2255" t="s">
        <v>159</v>
      </c>
    </row>
    <row r="2256" spans="1:2" x14ac:dyDescent="0.3">
      <c r="A2256" t="s">
        <v>114</v>
      </c>
      <c r="B2256" t="s">
        <v>159</v>
      </c>
    </row>
    <row r="2257" spans="1:2" x14ac:dyDescent="0.3">
      <c r="A2257" t="s">
        <v>114</v>
      </c>
      <c r="B2257" t="s">
        <v>159</v>
      </c>
    </row>
    <row r="2258" spans="1:2" x14ac:dyDescent="0.3">
      <c r="A2258" t="s">
        <v>114</v>
      </c>
      <c r="B2258" t="s">
        <v>159</v>
      </c>
    </row>
    <row r="2259" spans="1:2" x14ac:dyDescent="0.3">
      <c r="A2259" t="s">
        <v>114</v>
      </c>
      <c r="B2259" t="s">
        <v>159</v>
      </c>
    </row>
    <row r="2260" spans="1:2" x14ac:dyDescent="0.3">
      <c r="A2260" t="s">
        <v>114</v>
      </c>
      <c r="B2260" t="s">
        <v>159</v>
      </c>
    </row>
    <row r="2261" spans="1:2" x14ac:dyDescent="0.3">
      <c r="A2261" t="s">
        <v>114</v>
      </c>
      <c r="B2261" t="s">
        <v>159</v>
      </c>
    </row>
    <row r="2262" spans="1:2" x14ac:dyDescent="0.3">
      <c r="A2262" t="s">
        <v>114</v>
      </c>
      <c r="B2262" t="s">
        <v>159</v>
      </c>
    </row>
    <row r="2263" spans="1:2" x14ac:dyDescent="0.3">
      <c r="A2263" t="s">
        <v>114</v>
      </c>
      <c r="B2263" t="s">
        <v>159</v>
      </c>
    </row>
    <row r="2264" spans="1:2" x14ac:dyDescent="0.3">
      <c r="A2264" t="s">
        <v>114</v>
      </c>
      <c r="B2264" t="s">
        <v>159</v>
      </c>
    </row>
    <row r="2265" spans="1:2" x14ac:dyDescent="0.3">
      <c r="A2265" t="s">
        <v>114</v>
      </c>
      <c r="B2265" t="s">
        <v>159</v>
      </c>
    </row>
    <row r="2266" spans="1:2" x14ac:dyDescent="0.3">
      <c r="A2266" t="s">
        <v>114</v>
      </c>
      <c r="B2266" t="s">
        <v>159</v>
      </c>
    </row>
    <row r="2267" spans="1:2" x14ac:dyDescent="0.3">
      <c r="A2267" t="s">
        <v>114</v>
      </c>
      <c r="B2267" t="s">
        <v>159</v>
      </c>
    </row>
    <row r="2268" spans="1:2" x14ac:dyDescent="0.3">
      <c r="A2268" t="s">
        <v>114</v>
      </c>
      <c r="B2268" t="s">
        <v>159</v>
      </c>
    </row>
    <row r="2269" spans="1:2" x14ac:dyDescent="0.3">
      <c r="A2269" t="s">
        <v>114</v>
      </c>
      <c r="B2269" t="s">
        <v>159</v>
      </c>
    </row>
    <row r="2270" spans="1:2" x14ac:dyDescent="0.3">
      <c r="A2270" t="s">
        <v>114</v>
      </c>
      <c r="B2270" t="s">
        <v>159</v>
      </c>
    </row>
    <row r="2271" spans="1:2" x14ac:dyDescent="0.3">
      <c r="A2271" t="s">
        <v>114</v>
      </c>
      <c r="B2271" t="s">
        <v>159</v>
      </c>
    </row>
    <row r="2272" spans="1:2" x14ac:dyDescent="0.3">
      <c r="A2272" t="s">
        <v>114</v>
      </c>
      <c r="B2272" t="s">
        <v>159</v>
      </c>
    </row>
    <row r="2273" spans="1:2" x14ac:dyDescent="0.3">
      <c r="A2273" t="s">
        <v>114</v>
      </c>
      <c r="B2273" t="s">
        <v>159</v>
      </c>
    </row>
    <row r="2274" spans="1:2" x14ac:dyDescent="0.3">
      <c r="A2274" t="s">
        <v>114</v>
      </c>
      <c r="B2274" t="s">
        <v>159</v>
      </c>
    </row>
    <row r="2275" spans="1:2" x14ac:dyDescent="0.3">
      <c r="A2275" t="s">
        <v>114</v>
      </c>
      <c r="B2275" t="s">
        <v>159</v>
      </c>
    </row>
    <row r="2276" spans="1:2" x14ac:dyDescent="0.3">
      <c r="A2276" t="s">
        <v>114</v>
      </c>
      <c r="B2276" t="s">
        <v>159</v>
      </c>
    </row>
    <row r="2277" spans="1:2" x14ac:dyDescent="0.3">
      <c r="A2277" t="s">
        <v>114</v>
      </c>
      <c r="B2277" t="s">
        <v>159</v>
      </c>
    </row>
    <row r="2278" spans="1:2" x14ac:dyDescent="0.3">
      <c r="A2278" t="s">
        <v>114</v>
      </c>
      <c r="B2278" t="s">
        <v>159</v>
      </c>
    </row>
    <row r="2279" spans="1:2" x14ac:dyDescent="0.3">
      <c r="A2279" t="s">
        <v>114</v>
      </c>
      <c r="B2279" t="s">
        <v>159</v>
      </c>
    </row>
    <row r="2280" spans="1:2" x14ac:dyDescent="0.3">
      <c r="A2280" t="s">
        <v>114</v>
      </c>
      <c r="B2280" t="s">
        <v>159</v>
      </c>
    </row>
    <row r="2281" spans="1:2" x14ac:dyDescent="0.3">
      <c r="A2281" t="s">
        <v>114</v>
      </c>
      <c r="B2281" t="s">
        <v>159</v>
      </c>
    </row>
    <row r="2282" spans="1:2" x14ac:dyDescent="0.3">
      <c r="A2282" t="s">
        <v>114</v>
      </c>
      <c r="B2282" t="s">
        <v>159</v>
      </c>
    </row>
    <row r="2283" spans="1:2" x14ac:dyDescent="0.3">
      <c r="A2283" t="s">
        <v>114</v>
      </c>
      <c r="B2283" t="s">
        <v>159</v>
      </c>
    </row>
    <row r="2284" spans="1:2" x14ac:dyDescent="0.3">
      <c r="A2284" t="s">
        <v>114</v>
      </c>
      <c r="B2284" t="s">
        <v>159</v>
      </c>
    </row>
    <row r="2285" spans="1:2" x14ac:dyDescent="0.3">
      <c r="A2285" t="s">
        <v>114</v>
      </c>
      <c r="B2285" t="s">
        <v>159</v>
      </c>
    </row>
    <row r="2286" spans="1:2" x14ac:dyDescent="0.3">
      <c r="A2286" t="s">
        <v>114</v>
      </c>
      <c r="B2286" t="s">
        <v>159</v>
      </c>
    </row>
    <row r="2287" spans="1:2" x14ac:dyDescent="0.3">
      <c r="A2287" t="s">
        <v>114</v>
      </c>
      <c r="B2287" t="s">
        <v>159</v>
      </c>
    </row>
    <row r="2288" spans="1:2" x14ac:dyDescent="0.3">
      <c r="A2288" t="s">
        <v>114</v>
      </c>
      <c r="B2288" t="s">
        <v>159</v>
      </c>
    </row>
    <row r="2289" spans="1:2" x14ac:dyDescent="0.3">
      <c r="A2289" t="s">
        <v>114</v>
      </c>
      <c r="B2289" t="s">
        <v>159</v>
      </c>
    </row>
    <row r="2290" spans="1:2" x14ac:dyDescent="0.3">
      <c r="A2290" t="s">
        <v>114</v>
      </c>
      <c r="B2290" t="s">
        <v>159</v>
      </c>
    </row>
    <row r="2291" spans="1:2" x14ac:dyDescent="0.3">
      <c r="A2291" t="s">
        <v>114</v>
      </c>
      <c r="B2291" t="s">
        <v>159</v>
      </c>
    </row>
    <row r="2292" spans="1:2" x14ac:dyDescent="0.3">
      <c r="A2292" t="s">
        <v>114</v>
      </c>
      <c r="B2292" t="s">
        <v>159</v>
      </c>
    </row>
    <row r="2293" spans="1:2" x14ac:dyDescent="0.3">
      <c r="A2293" t="s">
        <v>114</v>
      </c>
      <c r="B2293" t="s">
        <v>159</v>
      </c>
    </row>
    <row r="2294" spans="1:2" x14ac:dyDescent="0.3">
      <c r="A2294" t="s">
        <v>114</v>
      </c>
      <c r="B2294" t="s">
        <v>159</v>
      </c>
    </row>
    <row r="2295" spans="1:2" x14ac:dyDescent="0.3">
      <c r="A2295" t="s">
        <v>114</v>
      </c>
      <c r="B2295" t="s">
        <v>159</v>
      </c>
    </row>
    <row r="2296" spans="1:2" x14ac:dyDescent="0.3">
      <c r="A2296" t="s">
        <v>114</v>
      </c>
      <c r="B2296" t="s">
        <v>159</v>
      </c>
    </row>
    <row r="2297" spans="1:2" x14ac:dyDescent="0.3">
      <c r="A2297" t="s">
        <v>114</v>
      </c>
      <c r="B2297" t="s">
        <v>159</v>
      </c>
    </row>
    <row r="2298" spans="1:2" x14ac:dyDescent="0.3">
      <c r="A2298" t="s">
        <v>114</v>
      </c>
      <c r="B2298" t="s">
        <v>159</v>
      </c>
    </row>
    <row r="2299" spans="1:2" x14ac:dyDescent="0.3">
      <c r="A2299" t="s">
        <v>114</v>
      </c>
      <c r="B2299" t="s">
        <v>159</v>
      </c>
    </row>
    <row r="2300" spans="1:2" x14ac:dyDescent="0.3">
      <c r="A2300" t="s">
        <v>114</v>
      </c>
      <c r="B2300" t="s">
        <v>159</v>
      </c>
    </row>
    <row r="2301" spans="1:2" x14ac:dyDescent="0.3">
      <c r="A2301" t="s">
        <v>114</v>
      </c>
      <c r="B2301" t="s">
        <v>159</v>
      </c>
    </row>
    <row r="2302" spans="1:2" x14ac:dyDescent="0.3">
      <c r="A2302" t="s">
        <v>114</v>
      </c>
      <c r="B2302" t="s">
        <v>159</v>
      </c>
    </row>
    <row r="2303" spans="1:2" x14ac:dyDescent="0.3">
      <c r="A2303" t="s">
        <v>114</v>
      </c>
      <c r="B2303" t="s">
        <v>159</v>
      </c>
    </row>
    <row r="2304" spans="1:2" x14ac:dyDescent="0.3">
      <c r="A2304" t="s">
        <v>114</v>
      </c>
      <c r="B2304" t="s">
        <v>159</v>
      </c>
    </row>
    <row r="2305" spans="1:2" x14ac:dyDescent="0.3">
      <c r="A2305" t="s">
        <v>114</v>
      </c>
      <c r="B2305" t="s">
        <v>159</v>
      </c>
    </row>
    <row r="2306" spans="1:2" x14ac:dyDescent="0.3">
      <c r="A2306" t="s">
        <v>114</v>
      </c>
      <c r="B2306" t="s">
        <v>159</v>
      </c>
    </row>
    <row r="2307" spans="1:2" x14ac:dyDescent="0.3">
      <c r="A2307" t="s">
        <v>114</v>
      </c>
      <c r="B2307" t="s">
        <v>159</v>
      </c>
    </row>
    <row r="2308" spans="1:2" x14ac:dyDescent="0.3">
      <c r="A2308" t="s">
        <v>114</v>
      </c>
      <c r="B2308" t="s">
        <v>159</v>
      </c>
    </row>
    <row r="2309" spans="1:2" x14ac:dyDescent="0.3">
      <c r="A2309" t="s">
        <v>114</v>
      </c>
      <c r="B2309" t="s">
        <v>159</v>
      </c>
    </row>
    <row r="2310" spans="1:2" x14ac:dyDescent="0.3">
      <c r="A2310" t="s">
        <v>114</v>
      </c>
      <c r="B2310" t="s">
        <v>159</v>
      </c>
    </row>
    <row r="2311" spans="1:2" x14ac:dyDescent="0.3">
      <c r="A2311" t="s">
        <v>114</v>
      </c>
      <c r="B2311" t="s">
        <v>159</v>
      </c>
    </row>
    <row r="2312" spans="1:2" x14ac:dyDescent="0.3">
      <c r="A2312" t="s">
        <v>114</v>
      </c>
      <c r="B2312" t="s">
        <v>159</v>
      </c>
    </row>
    <row r="2313" spans="1:2" x14ac:dyDescent="0.3">
      <c r="A2313" t="s">
        <v>114</v>
      </c>
      <c r="B2313" t="s">
        <v>159</v>
      </c>
    </row>
    <row r="2314" spans="1:2" x14ac:dyDescent="0.3">
      <c r="A2314" t="s">
        <v>114</v>
      </c>
      <c r="B2314" t="s">
        <v>159</v>
      </c>
    </row>
    <row r="2315" spans="1:2" x14ac:dyDescent="0.3">
      <c r="A2315" t="s">
        <v>114</v>
      </c>
      <c r="B2315" t="s">
        <v>159</v>
      </c>
    </row>
    <row r="2316" spans="1:2" x14ac:dyDescent="0.3">
      <c r="A2316" t="s">
        <v>114</v>
      </c>
      <c r="B2316" t="s">
        <v>159</v>
      </c>
    </row>
    <row r="2317" spans="1:2" x14ac:dyDescent="0.3">
      <c r="A2317" t="s">
        <v>114</v>
      </c>
      <c r="B2317" t="s">
        <v>159</v>
      </c>
    </row>
    <row r="2318" spans="1:2" x14ac:dyDescent="0.3">
      <c r="A2318" t="s">
        <v>114</v>
      </c>
      <c r="B2318" t="s">
        <v>159</v>
      </c>
    </row>
    <row r="2319" spans="1:2" x14ac:dyDescent="0.3">
      <c r="A2319" t="s">
        <v>114</v>
      </c>
      <c r="B2319" t="s">
        <v>159</v>
      </c>
    </row>
    <row r="2320" spans="1:2" x14ac:dyDescent="0.3">
      <c r="A2320" t="s">
        <v>114</v>
      </c>
      <c r="B2320" t="s">
        <v>159</v>
      </c>
    </row>
    <row r="2321" spans="1:2" x14ac:dyDescent="0.3">
      <c r="A2321" t="s">
        <v>114</v>
      </c>
      <c r="B2321" t="s">
        <v>159</v>
      </c>
    </row>
    <row r="2322" spans="1:2" x14ac:dyDescent="0.3">
      <c r="A2322" t="s">
        <v>114</v>
      </c>
      <c r="B2322" t="s">
        <v>159</v>
      </c>
    </row>
    <row r="2323" spans="1:2" x14ac:dyDescent="0.3">
      <c r="A2323" t="s">
        <v>114</v>
      </c>
      <c r="B2323" t="s">
        <v>159</v>
      </c>
    </row>
    <row r="2324" spans="1:2" x14ac:dyDescent="0.3">
      <c r="A2324" t="s">
        <v>114</v>
      </c>
      <c r="B2324" t="s">
        <v>159</v>
      </c>
    </row>
    <row r="2325" spans="1:2" x14ac:dyDescent="0.3">
      <c r="A2325" t="s">
        <v>114</v>
      </c>
      <c r="B2325" t="s">
        <v>159</v>
      </c>
    </row>
    <row r="2326" spans="1:2" x14ac:dyDescent="0.3">
      <c r="A2326" t="s">
        <v>114</v>
      </c>
      <c r="B2326" t="s">
        <v>159</v>
      </c>
    </row>
    <row r="2327" spans="1:2" x14ac:dyDescent="0.3">
      <c r="A2327" t="s">
        <v>114</v>
      </c>
      <c r="B2327" t="s">
        <v>159</v>
      </c>
    </row>
    <row r="2328" spans="1:2" x14ac:dyDescent="0.3">
      <c r="A2328" t="s">
        <v>114</v>
      </c>
      <c r="B2328" t="s">
        <v>159</v>
      </c>
    </row>
    <row r="2329" spans="1:2" x14ac:dyDescent="0.3">
      <c r="A2329" t="s">
        <v>114</v>
      </c>
      <c r="B2329" t="s">
        <v>159</v>
      </c>
    </row>
    <row r="2330" spans="1:2" x14ac:dyDescent="0.3">
      <c r="A2330" t="s">
        <v>114</v>
      </c>
      <c r="B2330" t="s">
        <v>159</v>
      </c>
    </row>
    <row r="2331" spans="1:2" x14ac:dyDescent="0.3">
      <c r="A2331" t="s">
        <v>114</v>
      </c>
      <c r="B2331" t="s">
        <v>159</v>
      </c>
    </row>
    <row r="2332" spans="1:2" x14ac:dyDescent="0.3">
      <c r="A2332" t="s">
        <v>114</v>
      </c>
      <c r="B2332" t="s">
        <v>159</v>
      </c>
    </row>
    <row r="2333" spans="1:2" x14ac:dyDescent="0.3">
      <c r="A2333" t="s">
        <v>114</v>
      </c>
      <c r="B2333" t="s">
        <v>159</v>
      </c>
    </row>
    <row r="2334" spans="1:2" x14ac:dyDescent="0.3">
      <c r="A2334" t="s">
        <v>114</v>
      </c>
      <c r="B2334" t="s">
        <v>159</v>
      </c>
    </row>
    <row r="2335" spans="1:2" x14ac:dyDescent="0.3">
      <c r="A2335" t="s">
        <v>114</v>
      </c>
      <c r="B2335" t="s">
        <v>159</v>
      </c>
    </row>
    <row r="2336" spans="1:2" x14ac:dyDescent="0.3">
      <c r="A2336" t="s">
        <v>114</v>
      </c>
      <c r="B2336" t="s">
        <v>159</v>
      </c>
    </row>
    <row r="2337" spans="1:2" x14ac:dyDescent="0.3">
      <c r="A2337" t="s">
        <v>114</v>
      </c>
      <c r="B2337" t="s">
        <v>159</v>
      </c>
    </row>
    <row r="2338" spans="1:2" x14ac:dyDescent="0.3">
      <c r="A2338" t="s">
        <v>114</v>
      </c>
      <c r="B2338" t="s">
        <v>159</v>
      </c>
    </row>
    <row r="2339" spans="1:2" x14ac:dyDescent="0.3">
      <c r="A2339" t="s">
        <v>114</v>
      </c>
      <c r="B2339" t="s">
        <v>159</v>
      </c>
    </row>
    <row r="2340" spans="1:2" x14ac:dyDescent="0.3">
      <c r="A2340" t="s">
        <v>114</v>
      </c>
      <c r="B2340" t="s">
        <v>159</v>
      </c>
    </row>
    <row r="2341" spans="1:2" x14ac:dyDescent="0.3">
      <c r="A2341" t="s">
        <v>114</v>
      </c>
      <c r="B2341" t="s">
        <v>159</v>
      </c>
    </row>
    <row r="2342" spans="1:2" x14ac:dyDescent="0.3">
      <c r="A2342" t="s">
        <v>114</v>
      </c>
      <c r="B2342" t="s">
        <v>159</v>
      </c>
    </row>
    <row r="2343" spans="1:2" x14ac:dyDescent="0.3">
      <c r="A2343" t="s">
        <v>114</v>
      </c>
      <c r="B2343" t="s">
        <v>159</v>
      </c>
    </row>
    <row r="2344" spans="1:2" x14ac:dyDescent="0.3">
      <c r="A2344" t="s">
        <v>114</v>
      </c>
      <c r="B2344" t="s">
        <v>159</v>
      </c>
    </row>
    <row r="2345" spans="1:2" x14ac:dyDescent="0.3">
      <c r="A2345" t="s">
        <v>114</v>
      </c>
      <c r="B2345" t="s">
        <v>159</v>
      </c>
    </row>
    <row r="2346" spans="1:2" x14ac:dyDescent="0.3">
      <c r="A2346" t="s">
        <v>114</v>
      </c>
      <c r="B2346" t="s">
        <v>159</v>
      </c>
    </row>
    <row r="2347" spans="1:2" x14ac:dyDescent="0.3">
      <c r="A2347" t="s">
        <v>114</v>
      </c>
      <c r="B2347" t="s">
        <v>159</v>
      </c>
    </row>
    <row r="2348" spans="1:2" x14ac:dyDescent="0.3">
      <c r="A2348" t="s">
        <v>114</v>
      </c>
      <c r="B2348" t="s">
        <v>159</v>
      </c>
    </row>
    <row r="2349" spans="1:2" x14ac:dyDescent="0.3">
      <c r="A2349" t="s">
        <v>114</v>
      </c>
      <c r="B2349" t="s">
        <v>159</v>
      </c>
    </row>
    <row r="2350" spans="1:2" x14ac:dyDescent="0.3">
      <c r="A2350" t="s">
        <v>114</v>
      </c>
      <c r="B2350" t="s">
        <v>159</v>
      </c>
    </row>
    <row r="2351" spans="1:2" x14ac:dyDescent="0.3">
      <c r="A2351" t="s">
        <v>114</v>
      </c>
      <c r="B2351" t="s">
        <v>159</v>
      </c>
    </row>
    <row r="2352" spans="1:2" x14ac:dyDescent="0.3">
      <c r="A2352" t="s">
        <v>114</v>
      </c>
      <c r="B2352" t="s">
        <v>159</v>
      </c>
    </row>
    <row r="2353" spans="1:2" x14ac:dyDescent="0.3">
      <c r="A2353" t="s">
        <v>114</v>
      </c>
      <c r="B2353" t="s">
        <v>159</v>
      </c>
    </row>
    <row r="2354" spans="1:2" x14ac:dyDescent="0.3">
      <c r="A2354" t="s">
        <v>114</v>
      </c>
      <c r="B2354" t="s">
        <v>159</v>
      </c>
    </row>
    <row r="2355" spans="1:2" x14ac:dyDescent="0.3">
      <c r="A2355" t="s">
        <v>114</v>
      </c>
      <c r="B2355" t="s">
        <v>159</v>
      </c>
    </row>
    <row r="2356" spans="1:2" x14ac:dyDescent="0.3">
      <c r="A2356" t="s">
        <v>114</v>
      </c>
      <c r="B2356" t="s">
        <v>159</v>
      </c>
    </row>
    <row r="2357" spans="1:2" x14ac:dyDescent="0.3">
      <c r="A2357" t="s">
        <v>114</v>
      </c>
      <c r="B2357" t="s">
        <v>159</v>
      </c>
    </row>
    <row r="2358" spans="1:2" x14ac:dyDescent="0.3">
      <c r="A2358" t="s">
        <v>114</v>
      </c>
      <c r="B2358" t="s">
        <v>159</v>
      </c>
    </row>
    <row r="2359" spans="1:2" x14ac:dyDescent="0.3">
      <c r="A2359" t="s">
        <v>114</v>
      </c>
      <c r="B2359" t="s">
        <v>159</v>
      </c>
    </row>
    <row r="2360" spans="1:2" x14ac:dyDescent="0.3">
      <c r="A2360" t="s">
        <v>114</v>
      </c>
      <c r="B2360" t="s">
        <v>159</v>
      </c>
    </row>
    <row r="2361" spans="1:2" x14ac:dyDescent="0.3">
      <c r="A2361" t="s">
        <v>114</v>
      </c>
      <c r="B2361" t="s">
        <v>159</v>
      </c>
    </row>
    <row r="2362" spans="1:2" x14ac:dyDescent="0.3">
      <c r="A2362" t="s">
        <v>114</v>
      </c>
      <c r="B2362" t="s">
        <v>159</v>
      </c>
    </row>
    <row r="2363" spans="1:2" x14ac:dyDescent="0.3">
      <c r="A2363" t="s">
        <v>114</v>
      </c>
      <c r="B2363" t="s">
        <v>159</v>
      </c>
    </row>
    <row r="2364" spans="1:2" x14ac:dyDescent="0.3">
      <c r="A2364" t="s">
        <v>114</v>
      </c>
      <c r="B2364" t="s">
        <v>159</v>
      </c>
    </row>
    <row r="2365" spans="1:2" x14ac:dyDescent="0.3">
      <c r="A2365" t="s">
        <v>114</v>
      </c>
      <c r="B2365" t="s">
        <v>159</v>
      </c>
    </row>
    <row r="2366" spans="1:2" x14ac:dyDescent="0.3">
      <c r="A2366" t="s">
        <v>114</v>
      </c>
      <c r="B2366" t="s">
        <v>159</v>
      </c>
    </row>
    <row r="2367" spans="1:2" x14ac:dyDescent="0.3">
      <c r="A2367" t="s">
        <v>114</v>
      </c>
      <c r="B2367" t="s">
        <v>159</v>
      </c>
    </row>
    <row r="2368" spans="1:2" x14ac:dyDescent="0.3">
      <c r="A2368" t="s">
        <v>114</v>
      </c>
      <c r="B2368" t="s">
        <v>159</v>
      </c>
    </row>
    <row r="2369" spans="1:2" x14ac:dyDescent="0.3">
      <c r="A2369" t="s">
        <v>114</v>
      </c>
      <c r="B2369" t="s">
        <v>159</v>
      </c>
    </row>
    <row r="2370" spans="1:2" x14ac:dyDescent="0.3">
      <c r="A2370" t="s">
        <v>114</v>
      </c>
      <c r="B2370" t="s">
        <v>159</v>
      </c>
    </row>
    <row r="2371" spans="1:2" x14ac:dyDescent="0.3">
      <c r="A2371" t="s">
        <v>114</v>
      </c>
      <c r="B2371" t="s">
        <v>159</v>
      </c>
    </row>
    <row r="2372" spans="1:2" x14ac:dyDescent="0.3">
      <c r="A2372" t="s">
        <v>114</v>
      </c>
      <c r="B2372" t="s">
        <v>159</v>
      </c>
    </row>
    <row r="2373" spans="1:2" x14ac:dyDescent="0.3">
      <c r="A2373" t="s">
        <v>114</v>
      </c>
      <c r="B2373" t="s">
        <v>159</v>
      </c>
    </row>
    <row r="2374" spans="1:2" x14ac:dyDescent="0.3">
      <c r="A2374" t="s">
        <v>114</v>
      </c>
      <c r="B2374" t="s">
        <v>159</v>
      </c>
    </row>
    <row r="2375" spans="1:2" x14ac:dyDescent="0.3">
      <c r="A2375" t="s">
        <v>114</v>
      </c>
      <c r="B2375" t="s">
        <v>159</v>
      </c>
    </row>
    <row r="2376" spans="1:2" x14ac:dyDescent="0.3">
      <c r="A2376" t="s">
        <v>114</v>
      </c>
      <c r="B2376" t="s">
        <v>159</v>
      </c>
    </row>
    <row r="2377" spans="1:2" x14ac:dyDescent="0.3">
      <c r="A2377" t="s">
        <v>114</v>
      </c>
      <c r="B2377" t="s">
        <v>159</v>
      </c>
    </row>
    <row r="2378" spans="1:2" x14ac:dyDescent="0.3">
      <c r="A2378" t="s">
        <v>114</v>
      </c>
      <c r="B2378" t="s">
        <v>159</v>
      </c>
    </row>
    <row r="2379" spans="1:2" x14ac:dyDescent="0.3">
      <c r="A2379" t="s">
        <v>114</v>
      </c>
      <c r="B2379" t="s">
        <v>159</v>
      </c>
    </row>
    <row r="2380" spans="1:2" x14ac:dyDescent="0.3">
      <c r="A2380" t="s">
        <v>114</v>
      </c>
      <c r="B2380" t="s">
        <v>159</v>
      </c>
    </row>
    <row r="2381" spans="1:2" x14ac:dyDescent="0.3">
      <c r="A2381" t="s">
        <v>114</v>
      </c>
      <c r="B2381" t="s">
        <v>159</v>
      </c>
    </row>
    <row r="2382" spans="1:2" x14ac:dyDescent="0.3">
      <c r="A2382" t="s">
        <v>114</v>
      </c>
      <c r="B2382" t="s">
        <v>159</v>
      </c>
    </row>
    <row r="2383" spans="1:2" x14ac:dyDescent="0.3">
      <c r="A2383" t="s">
        <v>114</v>
      </c>
      <c r="B2383" t="s">
        <v>159</v>
      </c>
    </row>
    <row r="2384" spans="1:2" x14ac:dyDescent="0.3">
      <c r="A2384" t="s">
        <v>114</v>
      </c>
      <c r="B2384" t="s">
        <v>159</v>
      </c>
    </row>
    <row r="2385" spans="1:2" x14ac:dyDescent="0.3">
      <c r="A2385" t="s">
        <v>114</v>
      </c>
      <c r="B2385" t="s">
        <v>159</v>
      </c>
    </row>
    <row r="2386" spans="1:2" x14ac:dyDescent="0.3">
      <c r="A2386" t="s">
        <v>114</v>
      </c>
      <c r="B2386" t="s">
        <v>159</v>
      </c>
    </row>
    <row r="2387" spans="1:2" x14ac:dyDescent="0.3">
      <c r="A2387" t="s">
        <v>114</v>
      </c>
      <c r="B2387" t="s">
        <v>159</v>
      </c>
    </row>
    <row r="2388" spans="1:2" x14ac:dyDescent="0.3">
      <c r="A2388" t="s">
        <v>114</v>
      </c>
      <c r="B2388" t="s">
        <v>159</v>
      </c>
    </row>
    <row r="2389" spans="1:2" x14ac:dyDescent="0.3">
      <c r="A2389" t="s">
        <v>114</v>
      </c>
      <c r="B2389" t="s">
        <v>159</v>
      </c>
    </row>
    <row r="2390" spans="1:2" x14ac:dyDescent="0.3">
      <c r="A2390" t="s">
        <v>114</v>
      </c>
      <c r="B2390" t="s">
        <v>159</v>
      </c>
    </row>
    <row r="2391" spans="1:2" x14ac:dyDescent="0.3">
      <c r="A2391" t="s">
        <v>114</v>
      </c>
      <c r="B2391" t="s">
        <v>159</v>
      </c>
    </row>
    <row r="2392" spans="1:2" x14ac:dyDescent="0.3">
      <c r="A2392" t="s">
        <v>114</v>
      </c>
      <c r="B2392" t="s">
        <v>159</v>
      </c>
    </row>
    <row r="2393" spans="1:2" x14ac:dyDescent="0.3">
      <c r="A2393" t="s">
        <v>114</v>
      </c>
      <c r="B2393" t="s">
        <v>159</v>
      </c>
    </row>
    <row r="2394" spans="1:2" x14ac:dyDescent="0.3">
      <c r="A2394" t="s">
        <v>114</v>
      </c>
      <c r="B2394" t="s">
        <v>159</v>
      </c>
    </row>
    <row r="2395" spans="1:2" x14ac:dyDescent="0.3">
      <c r="A2395" t="s">
        <v>114</v>
      </c>
      <c r="B2395" t="s">
        <v>159</v>
      </c>
    </row>
    <row r="2396" spans="1:2" x14ac:dyDescent="0.3">
      <c r="A2396" t="s">
        <v>114</v>
      </c>
      <c r="B2396" t="s">
        <v>159</v>
      </c>
    </row>
    <row r="2397" spans="1:2" x14ac:dyDescent="0.3">
      <c r="A2397" t="s">
        <v>114</v>
      </c>
      <c r="B2397" t="s">
        <v>159</v>
      </c>
    </row>
    <row r="2398" spans="1:2" x14ac:dyDescent="0.3">
      <c r="A2398" t="s">
        <v>114</v>
      </c>
      <c r="B2398" t="s">
        <v>159</v>
      </c>
    </row>
    <row r="2399" spans="1:2" x14ac:dyDescent="0.3">
      <c r="A2399" t="s">
        <v>114</v>
      </c>
      <c r="B2399" t="s">
        <v>159</v>
      </c>
    </row>
    <row r="2400" spans="1:2" x14ac:dyDescent="0.3">
      <c r="A2400" t="s">
        <v>114</v>
      </c>
      <c r="B2400" t="s">
        <v>159</v>
      </c>
    </row>
    <row r="2401" spans="1:2" x14ac:dyDescent="0.3">
      <c r="A2401" t="s">
        <v>114</v>
      </c>
      <c r="B2401" t="s">
        <v>159</v>
      </c>
    </row>
    <row r="2402" spans="1:2" x14ac:dyDescent="0.3">
      <c r="A2402" t="s">
        <v>114</v>
      </c>
      <c r="B2402" t="s">
        <v>159</v>
      </c>
    </row>
    <row r="2403" spans="1:2" x14ac:dyDescent="0.3">
      <c r="A2403" t="s">
        <v>114</v>
      </c>
      <c r="B2403" t="s">
        <v>159</v>
      </c>
    </row>
    <row r="2404" spans="1:2" x14ac:dyDescent="0.3">
      <c r="A2404" t="s">
        <v>114</v>
      </c>
      <c r="B2404" t="s">
        <v>159</v>
      </c>
    </row>
    <row r="2405" spans="1:2" x14ac:dyDescent="0.3">
      <c r="A2405" t="s">
        <v>114</v>
      </c>
      <c r="B2405" t="s">
        <v>159</v>
      </c>
    </row>
    <row r="2406" spans="1:2" x14ac:dyDescent="0.3">
      <c r="A2406" t="s">
        <v>114</v>
      </c>
      <c r="B2406" t="s">
        <v>159</v>
      </c>
    </row>
    <row r="2407" spans="1:2" x14ac:dyDescent="0.3">
      <c r="A2407" t="s">
        <v>114</v>
      </c>
      <c r="B2407" t="s">
        <v>159</v>
      </c>
    </row>
    <row r="2408" spans="1:2" x14ac:dyDescent="0.3">
      <c r="A2408" t="s">
        <v>114</v>
      </c>
      <c r="B2408" t="s">
        <v>159</v>
      </c>
    </row>
    <row r="2409" spans="1:2" x14ac:dyDescent="0.3">
      <c r="A2409" t="s">
        <v>114</v>
      </c>
      <c r="B2409" t="s">
        <v>159</v>
      </c>
    </row>
    <row r="2410" spans="1:2" x14ac:dyDescent="0.3">
      <c r="A2410" t="s">
        <v>114</v>
      </c>
      <c r="B2410" t="s">
        <v>159</v>
      </c>
    </row>
    <row r="2411" spans="1:2" x14ac:dyDescent="0.3">
      <c r="A2411" t="s">
        <v>114</v>
      </c>
      <c r="B2411" t="s">
        <v>159</v>
      </c>
    </row>
    <row r="2412" spans="1:2" x14ac:dyDescent="0.3">
      <c r="A2412" t="s">
        <v>114</v>
      </c>
      <c r="B2412" t="s">
        <v>159</v>
      </c>
    </row>
    <row r="2413" spans="1:2" x14ac:dyDescent="0.3">
      <c r="A2413" t="s">
        <v>114</v>
      </c>
      <c r="B2413" t="s">
        <v>159</v>
      </c>
    </row>
    <row r="2414" spans="1:2" x14ac:dyDescent="0.3">
      <c r="A2414" t="s">
        <v>114</v>
      </c>
      <c r="B2414" t="s">
        <v>159</v>
      </c>
    </row>
    <row r="2415" spans="1:2" x14ac:dyDescent="0.3">
      <c r="A2415" t="s">
        <v>114</v>
      </c>
      <c r="B2415" t="s">
        <v>159</v>
      </c>
    </row>
    <row r="2416" spans="1:2" x14ac:dyDescent="0.3">
      <c r="A2416" t="s">
        <v>114</v>
      </c>
      <c r="B2416" t="s">
        <v>159</v>
      </c>
    </row>
    <row r="2417" spans="1:2" x14ac:dyDescent="0.3">
      <c r="A2417" t="s">
        <v>114</v>
      </c>
      <c r="B2417" t="s">
        <v>159</v>
      </c>
    </row>
    <row r="2418" spans="1:2" x14ac:dyDescent="0.3">
      <c r="A2418" t="s">
        <v>114</v>
      </c>
      <c r="B2418" t="s">
        <v>159</v>
      </c>
    </row>
    <row r="2419" spans="1:2" x14ac:dyDescent="0.3">
      <c r="A2419" t="s">
        <v>114</v>
      </c>
      <c r="B2419" t="s">
        <v>159</v>
      </c>
    </row>
    <row r="2420" spans="1:2" x14ac:dyDescent="0.3">
      <c r="A2420" t="s">
        <v>114</v>
      </c>
      <c r="B2420" t="s">
        <v>159</v>
      </c>
    </row>
    <row r="2421" spans="1:2" x14ac:dyDescent="0.3">
      <c r="A2421" t="s">
        <v>114</v>
      </c>
      <c r="B2421" t="s">
        <v>159</v>
      </c>
    </row>
    <row r="2422" spans="1:2" x14ac:dyDescent="0.3">
      <c r="A2422" t="s">
        <v>114</v>
      </c>
      <c r="B2422" t="s">
        <v>159</v>
      </c>
    </row>
    <row r="2423" spans="1:2" x14ac:dyDescent="0.3">
      <c r="A2423" t="s">
        <v>114</v>
      </c>
      <c r="B2423" t="s">
        <v>159</v>
      </c>
    </row>
    <row r="2424" spans="1:2" x14ac:dyDescent="0.3">
      <c r="A2424" t="s">
        <v>114</v>
      </c>
      <c r="B2424" t="s">
        <v>159</v>
      </c>
    </row>
    <row r="2425" spans="1:2" x14ac:dyDescent="0.3">
      <c r="A2425" t="s">
        <v>114</v>
      </c>
      <c r="B2425" t="s">
        <v>159</v>
      </c>
    </row>
    <row r="2426" spans="1:2" x14ac:dyDescent="0.3">
      <c r="A2426" t="s">
        <v>114</v>
      </c>
      <c r="B2426" t="s">
        <v>159</v>
      </c>
    </row>
    <row r="2427" spans="1:2" x14ac:dyDescent="0.3">
      <c r="A2427" t="s">
        <v>114</v>
      </c>
      <c r="B2427" t="s">
        <v>159</v>
      </c>
    </row>
    <row r="2428" spans="1:2" x14ac:dyDescent="0.3">
      <c r="A2428" t="s">
        <v>114</v>
      </c>
      <c r="B2428" t="s">
        <v>159</v>
      </c>
    </row>
    <row r="2429" spans="1:2" x14ac:dyDescent="0.3">
      <c r="A2429" t="s">
        <v>114</v>
      </c>
      <c r="B2429" t="s">
        <v>159</v>
      </c>
    </row>
    <row r="2430" spans="1:2" x14ac:dyDescent="0.3">
      <c r="A2430" t="s">
        <v>114</v>
      </c>
      <c r="B2430" t="s">
        <v>159</v>
      </c>
    </row>
    <row r="2431" spans="1:2" x14ac:dyDescent="0.3">
      <c r="A2431" t="s">
        <v>114</v>
      </c>
      <c r="B2431" t="s">
        <v>159</v>
      </c>
    </row>
    <row r="2432" spans="1:2" x14ac:dyDescent="0.3">
      <c r="A2432" t="s">
        <v>114</v>
      </c>
      <c r="B2432" t="s">
        <v>159</v>
      </c>
    </row>
    <row r="2433" spans="1:2" x14ac:dyDescent="0.3">
      <c r="A2433" t="s">
        <v>114</v>
      </c>
      <c r="B2433" t="s">
        <v>159</v>
      </c>
    </row>
    <row r="2434" spans="1:2" x14ac:dyDescent="0.3">
      <c r="A2434" t="s">
        <v>114</v>
      </c>
      <c r="B2434" t="s">
        <v>159</v>
      </c>
    </row>
    <row r="2435" spans="1:2" x14ac:dyDescent="0.3">
      <c r="A2435" t="s">
        <v>114</v>
      </c>
      <c r="B2435" t="s">
        <v>159</v>
      </c>
    </row>
    <row r="2436" spans="1:2" x14ac:dyDescent="0.3">
      <c r="A2436" t="s">
        <v>114</v>
      </c>
      <c r="B2436" t="s">
        <v>159</v>
      </c>
    </row>
    <row r="2437" spans="1:2" x14ac:dyDescent="0.3">
      <c r="A2437" t="s">
        <v>114</v>
      </c>
      <c r="B2437" t="s">
        <v>159</v>
      </c>
    </row>
    <row r="2438" spans="1:2" x14ac:dyDescent="0.3">
      <c r="A2438" t="s">
        <v>114</v>
      </c>
      <c r="B2438" t="s">
        <v>159</v>
      </c>
    </row>
    <row r="2439" spans="1:2" x14ac:dyDescent="0.3">
      <c r="A2439" t="s">
        <v>114</v>
      </c>
      <c r="B2439" t="s">
        <v>159</v>
      </c>
    </row>
    <row r="2440" spans="1:2" x14ac:dyDescent="0.3">
      <c r="A2440" t="s">
        <v>114</v>
      </c>
      <c r="B2440" t="s">
        <v>159</v>
      </c>
    </row>
    <row r="2441" spans="1:2" x14ac:dyDescent="0.3">
      <c r="A2441" t="s">
        <v>114</v>
      </c>
      <c r="B2441" t="s">
        <v>159</v>
      </c>
    </row>
    <row r="2442" spans="1:2" x14ac:dyDescent="0.3">
      <c r="A2442" t="s">
        <v>114</v>
      </c>
      <c r="B2442" t="s">
        <v>159</v>
      </c>
    </row>
    <row r="2443" spans="1:2" x14ac:dyDescent="0.3">
      <c r="A2443" t="s">
        <v>114</v>
      </c>
      <c r="B2443" t="s">
        <v>159</v>
      </c>
    </row>
    <row r="2444" spans="1:2" x14ac:dyDescent="0.3">
      <c r="A2444" t="s">
        <v>114</v>
      </c>
      <c r="B2444" t="s">
        <v>159</v>
      </c>
    </row>
    <row r="2445" spans="1:2" x14ac:dyDescent="0.3">
      <c r="A2445" t="s">
        <v>114</v>
      </c>
      <c r="B2445" t="s">
        <v>159</v>
      </c>
    </row>
    <row r="2446" spans="1:2" x14ac:dyDescent="0.3">
      <c r="A2446" t="s">
        <v>114</v>
      </c>
      <c r="B2446" t="s">
        <v>159</v>
      </c>
    </row>
    <row r="2447" spans="1:2" x14ac:dyDescent="0.3">
      <c r="A2447" t="s">
        <v>114</v>
      </c>
      <c r="B2447" t="s">
        <v>159</v>
      </c>
    </row>
    <row r="2448" spans="1:2" x14ac:dyDescent="0.3">
      <c r="A2448" t="s">
        <v>114</v>
      </c>
      <c r="B2448" t="s">
        <v>159</v>
      </c>
    </row>
    <row r="2449" spans="1:2" x14ac:dyDescent="0.3">
      <c r="A2449" t="s">
        <v>114</v>
      </c>
      <c r="B2449" t="s">
        <v>159</v>
      </c>
    </row>
    <row r="2450" spans="1:2" x14ac:dyDescent="0.3">
      <c r="A2450" t="s">
        <v>114</v>
      </c>
      <c r="B2450" t="s">
        <v>159</v>
      </c>
    </row>
    <row r="2451" spans="1:2" x14ac:dyDescent="0.3">
      <c r="A2451" t="s">
        <v>114</v>
      </c>
      <c r="B2451" t="s">
        <v>159</v>
      </c>
    </row>
    <row r="2452" spans="1:2" x14ac:dyDescent="0.3">
      <c r="A2452" t="s">
        <v>114</v>
      </c>
      <c r="B2452" t="s">
        <v>159</v>
      </c>
    </row>
    <row r="2453" spans="1:2" x14ac:dyDescent="0.3">
      <c r="A2453" t="s">
        <v>114</v>
      </c>
      <c r="B2453" t="s">
        <v>159</v>
      </c>
    </row>
    <row r="2454" spans="1:2" x14ac:dyDescent="0.3">
      <c r="A2454" t="s">
        <v>114</v>
      </c>
      <c r="B2454" t="s">
        <v>159</v>
      </c>
    </row>
    <row r="2455" spans="1:2" x14ac:dyDescent="0.3">
      <c r="A2455" t="s">
        <v>114</v>
      </c>
      <c r="B2455" t="s">
        <v>159</v>
      </c>
    </row>
    <row r="2456" spans="1:2" x14ac:dyDescent="0.3">
      <c r="A2456" t="s">
        <v>114</v>
      </c>
      <c r="B2456" t="s">
        <v>159</v>
      </c>
    </row>
    <row r="2457" spans="1:2" x14ac:dyDescent="0.3">
      <c r="A2457" t="s">
        <v>114</v>
      </c>
      <c r="B2457" t="s">
        <v>159</v>
      </c>
    </row>
    <row r="2458" spans="1:2" x14ac:dyDescent="0.3">
      <c r="A2458" t="s">
        <v>114</v>
      </c>
      <c r="B2458" t="s">
        <v>159</v>
      </c>
    </row>
    <row r="2459" spans="1:2" x14ac:dyDescent="0.3">
      <c r="A2459" t="s">
        <v>114</v>
      </c>
      <c r="B2459" t="s">
        <v>159</v>
      </c>
    </row>
    <row r="2460" spans="1:2" x14ac:dyDescent="0.3">
      <c r="A2460" t="s">
        <v>114</v>
      </c>
      <c r="B2460" t="s">
        <v>159</v>
      </c>
    </row>
    <row r="2461" spans="1:2" x14ac:dyDescent="0.3">
      <c r="A2461" t="s">
        <v>114</v>
      </c>
      <c r="B2461" t="s">
        <v>159</v>
      </c>
    </row>
    <row r="2462" spans="1:2" x14ac:dyDescent="0.3">
      <c r="A2462" t="s">
        <v>114</v>
      </c>
      <c r="B2462" t="s">
        <v>159</v>
      </c>
    </row>
    <row r="2463" spans="1:2" x14ac:dyDescent="0.3">
      <c r="A2463" t="s">
        <v>114</v>
      </c>
      <c r="B2463" t="s">
        <v>159</v>
      </c>
    </row>
    <row r="2464" spans="1:2" x14ac:dyDescent="0.3">
      <c r="A2464" t="s">
        <v>114</v>
      </c>
      <c r="B2464" t="s">
        <v>159</v>
      </c>
    </row>
    <row r="2465" spans="1:2" x14ac:dyDescent="0.3">
      <c r="A2465" t="s">
        <v>114</v>
      </c>
      <c r="B2465" t="s">
        <v>159</v>
      </c>
    </row>
    <row r="2466" spans="1:2" x14ac:dyDescent="0.3">
      <c r="A2466" t="s">
        <v>114</v>
      </c>
      <c r="B2466" t="s">
        <v>159</v>
      </c>
    </row>
    <row r="2467" spans="1:2" x14ac:dyDescent="0.3">
      <c r="A2467" t="s">
        <v>114</v>
      </c>
      <c r="B2467" t="s">
        <v>159</v>
      </c>
    </row>
    <row r="2468" spans="1:2" x14ac:dyDescent="0.3">
      <c r="A2468" t="s">
        <v>114</v>
      </c>
      <c r="B2468" t="s">
        <v>159</v>
      </c>
    </row>
    <row r="2469" spans="1:2" x14ac:dyDescent="0.3">
      <c r="A2469" t="s">
        <v>114</v>
      </c>
      <c r="B2469" t="s">
        <v>159</v>
      </c>
    </row>
    <row r="2470" spans="1:2" x14ac:dyDescent="0.3">
      <c r="A2470" t="s">
        <v>114</v>
      </c>
      <c r="B2470" t="s">
        <v>159</v>
      </c>
    </row>
    <row r="2471" spans="1:2" x14ac:dyDescent="0.3">
      <c r="A2471" t="s">
        <v>114</v>
      </c>
      <c r="B2471" t="s">
        <v>159</v>
      </c>
    </row>
    <row r="2472" spans="1:2" x14ac:dyDescent="0.3">
      <c r="A2472" t="s">
        <v>114</v>
      </c>
      <c r="B2472" t="s">
        <v>159</v>
      </c>
    </row>
    <row r="2473" spans="1:2" x14ac:dyDescent="0.3">
      <c r="A2473" t="s">
        <v>114</v>
      </c>
      <c r="B2473" t="s">
        <v>159</v>
      </c>
    </row>
    <row r="2474" spans="1:2" x14ac:dyDescent="0.3">
      <c r="A2474" t="s">
        <v>114</v>
      </c>
      <c r="B2474" t="s">
        <v>159</v>
      </c>
    </row>
    <row r="2475" spans="1:2" x14ac:dyDescent="0.3">
      <c r="A2475" t="s">
        <v>114</v>
      </c>
      <c r="B2475" t="s">
        <v>159</v>
      </c>
    </row>
    <row r="2476" spans="1:2" x14ac:dyDescent="0.3">
      <c r="A2476" t="s">
        <v>114</v>
      </c>
      <c r="B2476" t="s">
        <v>159</v>
      </c>
    </row>
    <row r="2477" spans="1:2" x14ac:dyDescent="0.3">
      <c r="A2477" t="s">
        <v>114</v>
      </c>
      <c r="B2477" t="s">
        <v>159</v>
      </c>
    </row>
    <row r="2478" spans="1:2" x14ac:dyDescent="0.3">
      <c r="A2478" t="s">
        <v>114</v>
      </c>
      <c r="B2478" t="s">
        <v>159</v>
      </c>
    </row>
    <row r="2479" spans="1:2" x14ac:dyDescent="0.3">
      <c r="A2479" t="s">
        <v>114</v>
      </c>
      <c r="B2479" t="s">
        <v>159</v>
      </c>
    </row>
    <row r="2480" spans="1:2" x14ac:dyDescent="0.3">
      <c r="A2480" t="s">
        <v>114</v>
      </c>
      <c r="B2480" t="s">
        <v>159</v>
      </c>
    </row>
    <row r="2481" spans="1:2" x14ac:dyDescent="0.3">
      <c r="A2481" t="s">
        <v>114</v>
      </c>
      <c r="B2481" t="s">
        <v>159</v>
      </c>
    </row>
    <row r="2482" spans="1:2" x14ac:dyDescent="0.3">
      <c r="A2482" t="s">
        <v>114</v>
      </c>
      <c r="B2482" t="s">
        <v>159</v>
      </c>
    </row>
    <row r="2483" spans="1:2" x14ac:dyDescent="0.3">
      <c r="A2483" t="s">
        <v>114</v>
      </c>
      <c r="B2483" t="s">
        <v>159</v>
      </c>
    </row>
    <row r="2484" spans="1:2" x14ac:dyDescent="0.3">
      <c r="A2484" t="s">
        <v>114</v>
      </c>
      <c r="B2484" t="s">
        <v>159</v>
      </c>
    </row>
    <row r="2485" spans="1:2" x14ac:dyDescent="0.3">
      <c r="A2485" t="s">
        <v>114</v>
      </c>
      <c r="B2485" t="s">
        <v>159</v>
      </c>
    </row>
    <row r="2486" spans="1:2" x14ac:dyDescent="0.3">
      <c r="A2486" t="s">
        <v>114</v>
      </c>
      <c r="B2486" t="s">
        <v>159</v>
      </c>
    </row>
    <row r="2487" spans="1:2" x14ac:dyDescent="0.3">
      <c r="A2487" t="s">
        <v>114</v>
      </c>
      <c r="B2487" t="s">
        <v>159</v>
      </c>
    </row>
    <row r="2488" spans="1:2" x14ac:dyDescent="0.3">
      <c r="A2488" t="s">
        <v>114</v>
      </c>
      <c r="B2488" t="s">
        <v>159</v>
      </c>
    </row>
    <row r="2489" spans="1:2" x14ac:dyDescent="0.3">
      <c r="A2489" t="s">
        <v>114</v>
      </c>
      <c r="B2489" t="s">
        <v>159</v>
      </c>
    </row>
    <row r="2490" spans="1:2" x14ac:dyDescent="0.3">
      <c r="A2490" t="s">
        <v>114</v>
      </c>
      <c r="B2490" t="s">
        <v>159</v>
      </c>
    </row>
    <row r="2491" spans="1:2" x14ac:dyDescent="0.3">
      <c r="A2491" t="s">
        <v>114</v>
      </c>
      <c r="B2491" t="s">
        <v>159</v>
      </c>
    </row>
    <row r="2492" spans="1:2" x14ac:dyDescent="0.3">
      <c r="A2492" t="s">
        <v>114</v>
      </c>
      <c r="B2492" t="s">
        <v>159</v>
      </c>
    </row>
    <row r="2493" spans="1:2" x14ac:dyDescent="0.3">
      <c r="A2493" t="s">
        <v>114</v>
      </c>
      <c r="B2493" t="s">
        <v>159</v>
      </c>
    </row>
    <row r="2494" spans="1:2" x14ac:dyDescent="0.3">
      <c r="A2494" t="s">
        <v>114</v>
      </c>
      <c r="B2494" t="s">
        <v>159</v>
      </c>
    </row>
    <row r="2495" spans="1:2" x14ac:dyDescent="0.3">
      <c r="A2495" t="s">
        <v>114</v>
      </c>
      <c r="B2495" t="s">
        <v>159</v>
      </c>
    </row>
    <row r="2496" spans="1:2" x14ac:dyDescent="0.3">
      <c r="A2496" t="s">
        <v>114</v>
      </c>
      <c r="B2496" t="s">
        <v>159</v>
      </c>
    </row>
    <row r="2497" spans="1:2" x14ac:dyDescent="0.3">
      <c r="A2497" t="s">
        <v>114</v>
      </c>
      <c r="B2497" t="s">
        <v>159</v>
      </c>
    </row>
    <row r="2498" spans="1:2" x14ac:dyDescent="0.3">
      <c r="A2498" t="s">
        <v>114</v>
      </c>
      <c r="B2498" t="s">
        <v>159</v>
      </c>
    </row>
    <row r="2499" spans="1:2" x14ac:dyDescent="0.3">
      <c r="A2499" t="s">
        <v>114</v>
      </c>
      <c r="B2499" t="s">
        <v>159</v>
      </c>
    </row>
    <row r="2500" spans="1:2" x14ac:dyDescent="0.3">
      <c r="A2500" t="s">
        <v>114</v>
      </c>
      <c r="B2500" t="s">
        <v>159</v>
      </c>
    </row>
    <row r="2501" spans="1:2" x14ac:dyDescent="0.3">
      <c r="A2501" t="s">
        <v>114</v>
      </c>
      <c r="B2501" t="s">
        <v>159</v>
      </c>
    </row>
    <row r="2502" spans="1:2" x14ac:dyDescent="0.3">
      <c r="A2502" t="s">
        <v>114</v>
      </c>
      <c r="B2502" t="s">
        <v>159</v>
      </c>
    </row>
    <row r="2503" spans="1:2" x14ac:dyDescent="0.3">
      <c r="A2503" t="s">
        <v>114</v>
      </c>
      <c r="B2503" t="s">
        <v>159</v>
      </c>
    </row>
    <row r="2504" spans="1:2" x14ac:dyDescent="0.3">
      <c r="A2504" t="s">
        <v>114</v>
      </c>
      <c r="B2504" t="s">
        <v>159</v>
      </c>
    </row>
    <row r="2505" spans="1:2" x14ac:dyDescent="0.3">
      <c r="A2505" t="s">
        <v>114</v>
      </c>
      <c r="B2505" t="s">
        <v>159</v>
      </c>
    </row>
    <row r="2506" spans="1:2" x14ac:dyDescent="0.3">
      <c r="A2506" t="s">
        <v>114</v>
      </c>
      <c r="B2506" t="s">
        <v>159</v>
      </c>
    </row>
    <row r="2507" spans="1:2" x14ac:dyDescent="0.3">
      <c r="A2507" t="s">
        <v>114</v>
      </c>
      <c r="B2507" t="s">
        <v>159</v>
      </c>
    </row>
    <row r="2508" spans="1:2" x14ac:dyDescent="0.3">
      <c r="A2508" t="s">
        <v>114</v>
      </c>
      <c r="B2508" t="s">
        <v>159</v>
      </c>
    </row>
    <row r="2509" spans="1:2" x14ac:dyDescent="0.3">
      <c r="A2509" t="s">
        <v>114</v>
      </c>
      <c r="B2509" t="s">
        <v>159</v>
      </c>
    </row>
    <row r="2510" spans="1:2" x14ac:dyDescent="0.3">
      <c r="A2510" t="s">
        <v>114</v>
      </c>
      <c r="B2510" t="s">
        <v>159</v>
      </c>
    </row>
    <row r="2511" spans="1:2" x14ac:dyDescent="0.3">
      <c r="A2511" t="s">
        <v>114</v>
      </c>
      <c r="B2511" t="s">
        <v>159</v>
      </c>
    </row>
    <row r="2512" spans="1:2" x14ac:dyDescent="0.3">
      <c r="A2512" t="s">
        <v>114</v>
      </c>
      <c r="B2512" t="s">
        <v>159</v>
      </c>
    </row>
    <row r="2513" spans="1:2" x14ac:dyDescent="0.3">
      <c r="A2513" t="s">
        <v>114</v>
      </c>
      <c r="B2513" t="s">
        <v>159</v>
      </c>
    </row>
    <row r="2514" spans="1:2" x14ac:dyDescent="0.3">
      <c r="A2514" t="s">
        <v>114</v>
      </c>
      <c r="B2514" t="s">
        <v>159</v>
      </c>
    </row>
    <row r="2515" spans="1:2" x14ac:dyDescent="0.3">
      <c r="A2515" t="s">
        <v>114</v>
      </c>
      <c r="B2515" t="s">
        <v>159</v>
      </c>
    </row>
    <row r="2516" spans="1:2" x14ac:dyDescent="0.3">
      <c r="A2516" t="s">
        <v>114</v>
      </c>
      <c r="B2516" t="s">
        <v>159</v>
      </c>
    </row>
    <row r="2517" spans="1:2" x14ac:dyDescent="0.3">
      <c r="A2517" t="s">
        <v>114</v>
      </c>
      <c r="B2517" t="s">
        <v>159</v>
      </c>
    </row>
    <row r="2518" spans="1:2" x14ac:dyDescent="0.3">
      <c r="A2518" t="s">
        <v>114</v>
      </c>
      <c r="B2518" t="s">
        <v>159</v>
      </c>
    </row>
    <row r="2519" spans="1:2" x14ac:dyDescent="0.3">
      <c r="A2519" t="s">
        <v>114</v>
      </c>
      <c r="B2519" t="s">
        <v>159</v>
      </c>
    </row>
    <row r="2520" spans="1:2" x14ac:dyDescent="0.3">
      <c r="A2520" t="s">
        <v>114</v>
      </c>
      <c r="B2520" t="s">
        <v>159</v>
      </c>
    </row>
    <row r="2521" spans="1:2" x14ac:dyDescent="0.3">
      <c r="A2521" t="s">
        <v>114</v>
      </c>
      <c r="B2521" t="s">
        <v>159</v>
      </c>
    </row>
    <row r="2522" spans="1:2" x14ac:dyDescent="0.3">
      <c r="A2522" t="s">
        <v>114</v>
      </c>
      <c r="B2522" t="s">
        <v>159</v>
      </c>
    </row>
    <row r="2523" spans="1:2" x14ac:dyDescent="0.3">
      <c r="A2523" t="s">
        <v>114</v>
      </c>
      <c r="B2523" t="s">
        <v>159</v>
      </c>
    </row>
    <row r="2524" spans="1:2" x14ac:dyDescent="0.3">
      <c r="A2524" t="s">
        <v>114</v>
      </c>
      <c r="B2524" t="s">
        <v>159</v>
      </c>
    </row>
    <row r="2525" spans="1:2" x14ac:dyDescent="0.3">
      <c r="A2525" t="s">
        <v>114</v>
      </c>
      <c r="B2525" t="s">
        <v>159</v>
      </c>
    </row>
    <row r="2526" spans="1:2" x14ac:dyDescent="0.3">
      <c r="A2526" t="s">
        <v>114</v>
      </c>
      <c r="B2526" t="s">
        <v>159</v>
      </c>
    </row>
    <row r="2527" spans="1:2" x14ac:dyDescent="0.3">
      <c r="A2527" t="s">
        <v>114</v>
      </c>
      <c r="B2527" t="s">
        <v>159</v>
      </c>
    </row>
    <row r="2528" spans="1:2" x14ac:dyDescent="0.3">
      <c r="A2528" t="s">
        <v>114</v>
      </c>
      <c r="B2528" t="s">
        <v>159</v>
      </c>
    </row>
    <row r="2529" spans="1:2" x14ac:dyDescent="0.3">
      <c r="A2529" t="s">
        <v>114</v>
      </c>
      <c r="B2529" t="s">
        <v>159</v>
      </c>
    </row>
    <row r="2530" spans="1:2" x14ac:dyDescent="0.3">
      <c r="A2530" t="s">
        <v>114</v>
      </c>
      <c r="B2530" t="s">
        <v>159</v>
      </c>
    </row>
    <row r="2531" spans="1:2" x14ac:dyDescent="0.3">
      <c r="A2531" t="s">
        <v>114</v>
      </c>
      <c r="B2531" t="s">
        <v>159</v>
      </c>
    </row>
    <row r="2532" spans="1:2" x14ac:dyDescent="0.3">
      <c r="A2532" t="s">
        <v>114</v>
      </c>
      <c r="B2532" t="s">
        <v>159</v>
      </c>
    </row>
    <row r="2533" spans="1:2" x14ac:dyDescent="0.3">
      <c r="A2533" t="s">
        <v>114</v>
      </c>
      <c r="B2533" t="s">
        <v>159</v>
      </c>
    </row>
    <row r="2534" spans="1:2" x14ac:dyDescent="0.3">
      <c r="A2534" t="s">
        <v>114</v>
      </c>
      <c r="B2534" t="s">
        <v>159</v>
      </c>
    </row>
    <row r="2535" spans="1:2" x14ac:dyDescent="0.3">
      <c r="A2535" t="s">
        <v>114</v>
      </c>
      <c r="B2535" t="s">
        <v>159</v>
      </c>
    </row>
    <row r="2536" spans="1:2" x14ac:dyDescent="0.3">
      <c r="A2536" t="s">
        <v>114</v>
      </c>
      <c r="B2536" t="s">
        <v>159</v>
      </c>
    </row>
    <row r="2537" spans="1:2" x14ac:dyDescent="0.3">
      <c r="A2537" t="s">
        <v>114</v>
      </c>
      <c r="B2537" t="s">
        <v>159</v>
      </c>
    </row>
    <row r="2538" spans="1:2" x14ac:dyDescent="0.3">
      <c r="A2538" t="s">
        <v>114</v>
      </c>
      <c r="B2538" t="s">
        <v>159</v>
      </c>
    </row>
    <row r="2539" spans="1:2" x14ac:dyDescent="0.3">
      <c r="A2539" t="s">
        <v>114</v>
      </c>
      <c r="B2539" t="s">
        <v>159</v>
      </c>
    </row>
    <row r="2540" spans="1:2" x14ac:dyDescent="0.3">
      <c r="A2540" t="s">
        <v>114</v>
      </c>
      <c r="B2540" t="s">
        <v>159</v>
      </c>
    </row>
    <row r="2541" spans="1:2" x14ac:dyDescent="0.3">
      <c r="A2541" t="s">
        <v>114</v>
      </c>
      <c r="B2541" t="s">
        <v>159</v>
      </c>
    </row>
    <row r="2542" spans="1:2" x14ac:dyDescent="0.3">
      <c r="A2542" t="s">
        <v>114</v>
      </c>
      <c r="B2542" t="s">
        <v>159</v>
      </c>
    </row>
    <row r="2543" spans="1:2" x14ac:dyDescent="0.3">
      <c r="A2543" t="s">
        <v>114</v>
      </c>
      <c r="B2543" t="s">
        <v>159</v>
      </c>
    </row>
    <row r="2544" spans="1:2" x14ac:dyDescent="0.3">
      <c r="A2544" t="s">
        <v>114</v>
      </c>
      <c r="B2544" t="s">
        <v>159</v>
      </c>
    </row>
    <row r="2545" spans="1:2" x14ac:dyDescent="0.3">
      <c r="A2545" t="s">
        <v>114</v>
      </c>
      <c r="B2545" t="s">
        <v>159</v>
      </c>
    </row>
    <row r="2546" spans="1:2" x14ac:dyDescent="0.3">
      <c r="A2546" t="s">
        <v>114</v>
      </c>
      <c r="B2546" t="s">
        <v>159</v>
      </c>
    </row>
    <row r="2547" spans="1:2" x14ac:dyDescent="0.3">
      <c r="A2547" t="s">
        <v>114</v>
      </c>
      <c r="B2547" t="s">
        <v>159</v>
      </c>
    </row>
    <row r="2548" spans="1:2" x14ac:dyDescent="0.3">
      <c r="A2548" t="s">
        <v>114</v>
      </c>
      <c r="B2548" t="s">
        <v>159</v>
      </c>
    </row>
    <row r="2549" spans="1:2" x14ac:dyDescent="0.3">
      <c r="A2549" t="s">
        <v>114</v>
      </c>
      <c r="B2549" t="s">
        <v>159</v>
      </c>
    </row>
    <row r="2550" spans="1:2" x14ac:dyDescent="0.3">
      <c r="A2550" t="s">
        <v>114</v>
      </c>
      <c r="B2550" t="s">
        <v>159</v>
      </c>
    </row>
    <row r="2551" spans="1:2" x14ac:dyDescent="0.3">
      <c r="A2551" t="s">
        <v>114</v>
      </c>
      <c r="B2551" t="s">
        <v>159</v>
      </c>
    </row>
    <row r="2552" spans="1:2" x14ac:dyDescent="0.3">
      <c r="A2552" t="s">
        <v>114</v>
      </c>
      <c r="B2552" t="s">
        <v>159</v>
      </c>
    </row>
    <row r="2553" spans="1:2" x14ac:dyDescent="0.3">
      <c r="A2553" t="s">
        <v>114</v>
      </c>
      <c r="B2553" t="s">
        <v>159</v>
      </c>
    </row>
    <row r="2554" spans="1:2" x14ac:dyDescent="0.3">
      <c r="A2554" t="s">
        <v>114</v>
      </c>
      <c r="B2554" t="s">
        <v>159</v>
      </c>
    </row>
    <row r="2555" spans="1:2" x14ac:dyDescent="0.3">
      <c r="A2555" t="s">
        <v>114</v>
      </c>
      <c r="B2555" t="s">
        <v>159</v>
      </c>
    </row>
    <row r="2556" spans="1:2" x14ac:dyDescent="0.3">
      <c r="A2556" t="s">
        <v>114</v>
      </c>
      <c r="B2556" t="s">
        <v>159</v>
      </c>
    </row>
    <row r="2557" spans="1:2" x14ac:dyDescent="0.3">
      <c r="A2557" t="s">
        <v>114</v>
      </c>
      <c r="B2557" t="s">
        <v>159</v>
      </c>
    </row>
    <row r="2558" spans="1:2" x14ac:dyDescent="0.3">
      <c r="A2558" t="s">
        <v>114</v>
      </c>
      <c r="B2558" t="s">
        <v>159</v>
      </c>
    </row>
    <row r="2559" spans="1:2" x14ac:dyDescent="0.3">
      <c r="A2559" t="s">
        <v>114</v>
      </c>
      <c r="B2559" t="s">
        <v>159</v>
      </c>
    </row>
    <row r="2560" spans="1:2" x14ac:dyDescent="0.3">
      <c r="A2560" t="s">
        <v>114</v>
      </c>
      <c r="B2560" t="s">
        <v>159</v>
      </c>
    </row>
    <row r="2561" spans="1:2" x14ac:dyDescent="0.3">
      <c r="A2561" t="s">
        <v>114</v>
      </c>
      <c r="B2561" t="s">
        <v>159</v>
      </c>
    </row>
    <row r="2562" spans="1:2" x14ac:dyDescent="0.3">
      <c r="A2562" t="s">
        <v>114</v>
      </c>
      <c r="B2562" t="s">
        <v>159</v>
      </c>
    </row>
    <row r="2563" spans="1:2" x14ac:dyDescent="0.3">
      <c r="A2563" t="s">
        <v>114</v>
      </c>
      <c r="B2563" t="s">
        <v>159</v>
      </c>
    </row>
    <row r="2564" spans="1:2" x14ac:dyDescent="0.3">
      <c r="A2564" t="s">
        <v>114</v>
      </c>
      <c r="B2564" t="s">
        <v>159</v>
      </c>
    </row>
    <row r="2565" spans="1:2" x14ac:dyDescent="0.3">
      <c r="A2565" t="s">
        <v>114</v>
      </c>
      <c r="B2565" t="s">
        <v>159</v>
      </c>
    </row>
    <row r="2566" spans="1:2" x14ac:dyDescent="0.3">
      <c r="A2566" t="s">
        <v>114</v>
      </c>
      <c r="B2566" t="s">
        <v>159</v>
      </c>
    </row>
    <row r="2567" spans="1:2" x14ac:dyDescent="0.3">
      <c r="A2567" t="s">
        <v>114</v>
      </c>
      <c r="B2567" t="s">
        <v>159</v>
      </c>
    </row>
    <row r="2568" spans="1:2" x14ac:dyDescent="0.3">
      <c r="A2568" t="s">
        <v>114</v>
      </c>
      <c r="B2568" t="s">
        <v>159</v>
      </c>
    </row>
    <row r="2569" spans="1:2" x14ac:dyDescent="0.3">
      <c r="A2569" t="s">
        <v>114</v>
      </c>
      <c r="B2569" t="s">
        <v>159</v>
      </c>
    </row>
    <row r="2570" spans="1:2" x14ac:dyDescent="0.3">
      <c r="A2570" t="s">
        <v>114</v>
      </c>
      <c r="B2570" t="s">
        <v>159</v>
      </c>
    </row>
    <row r="2571" spans="1:2" x14ac:dyDescent="0.3">
      <c r="A2571" t="s">
        <v>114</v>
      </c>
      <c r="B2571" t="s">
        <v>159</v>
      </c>
    </row>
    <row r="2572" spans="1:2" x14ac:dyDescent="0.3">
      <c r="A2572" t="s">
        <v>114</v>
      </c>
      <c r="B2572" t="s">
        <v>159</v>
      </c>
    </row>
    <row r="2573" spans="1:2" x14ac:dyDescent="0.3">
      <c r="A2573" t="s">
        <v>114</v>
      </c>
      <c r="B2573" t="s">
        <v>159</v>
      </c>
    </row>
    <row r="2574" spans="1:2" x14ac:dyDescent="0.3">
      <c r="A2574" t="s">
        <v>114</v>
      </c>
      <c r="B2574" t="s">
        <v>159</v>
      </c>
    </row>
    <row r="2575" spans="1:2" x14ac:dyDescent="0.3">
      <c r="A2575" t="s">
        <v>114</v>
      </c>
      <c r="B2575" t="s">
        <v>159</v>
      </c>
    </row>
    <row r="2576" spans="1:2" x14ac:dyDescent="0.3">
      <c r="A2576" t="s">
        <v>114</v>
      </c>
      <c r="B2576" t="s">
        <v>159</v>
      </c>
    </row>
    <row r="2577" spans="1:2" x14ac:dyDescent="0.3">
      <c r="A2577" t="s">
        <v>114</v>
      </c>
      <c r="B2577" t="s">
        <v>159</v>
      </c>
    </row>
    <row r="2578" spans="1:2" x14ac:dyDescent="0.3">
      <c r="A2578" t="s">
        <v>114</v>
      </c>
      <c r="B2578" t="s">
        <v>159</v>
      </c>
    </row>
    <row r="2579" spans="1:2" x14ac:dyDescent="0.3">
      <c r="A2579" t="s">
        <v>114</v>
      </c>
      <c r="B2579" t="s">
        <v>159</v>
      </c>
    </row>
    <row r="2580" spans="1:2" x14ac:dyDescent="0.3">
      <c r="A2580" t="s">
        <v>114</v>
      </c>
      <c r="B2580" t="s">
        <v>159</v>
      </c>
    </row>
    <row r="2581" spans="1:2" x14ac:dyDescent="0.3">
      <c r="A2581" t="s">
        <v>114</v>
      </c>
      <c r="B2581" t="s">
        <v>159</v>
      </c>
    </row>
    <row r="2582" spans="1:2" x14ac:dyDescent="0.3">
      <c r="A2582" t="s">
        <v>114</v>
      </c>
      <c r="B2582" t="s">
        <v>159</v>
      </c>
    </row>
    <row r="2583" spans="1:2" x14ac:dyDescent="0.3">
      <c r="A2583" t="s">
        <v>114</v>
      </c>
      <c r="B2583" t="s">
        <v>159</v>
      </c>
    </row>
    <row r="2584" spans="1:2" x14ac:dyDescent="0.3">
      <c r="A2584" t="s">
        <v>114</v>
      </c>
      <c r="B2584" t="s">
        <v>159</v>
      </c>
    </row>
    <row r="2585" spans="1:2" x14ac:dyDescent="0.3">
      <c r="A2585" t="s">
        <v>114</v>
      </c>
      <c r="B2585" t="s">
        <v>159</v>
      </c>
    </row>
    <row r="2586" spans="1:2" x14ac:dyDescent="0.3">
      <c r="A2586" t="s">
        <v>114</v>
      </c>
      <c r="B2586" t="s">
        <v>159</v>
      </c>
    </row>
    <row r="2587" spans="1:2" x14ac:dyDescent="0.3">
      <c r="A2587" t="s">
        <v>114</v>
      </c>
      <c r="B2587" t="s">
        <v>159</v>
      </c>
    </row>
    <row r="2588" spans="1:2" x14ac:dyDescent="0.3">
      <c r="A2588" t="s">
        <v>114</v>
      </c>
      <c r="B2588" t="s">
        <v>159</v>
      </c>
    </row>
    <row r="2589" spans="1:2" x14ac:dyDescent="0.3">
      <c r="A2589" t="s">
        <v>114</v>
      </c>
      <c r="B2589" t="s">
        <v>159</v>
      </c>
    </row>
    <row r="2590" spans="1:2" x14ac:dyDescent="0.3">
      <c r="A2590" t="s">
        <v>114</v>
      </c>
      <c r="B2590" t="s">
        <v>159</v>
      </c>
    </row>
    <row r="2591" spans="1:2" x14ac:dyDescent="0.3">
      <c r="A2591" t="s">
        <v>114</v>
      </c>
      <c r="B2591" t="s">
        <v>159</v>
      </c>
    </row>
    <row r="2592" spans="1:2" x14ac:dyDescent="0.3">
      <c r="A2592" t="s">
        <v>114</v>
      </c>
      <c r="B2592" t="s">
        <v>159</v>
      </c>
    </row>
    <row r="2593" spans="1:2" x14ac:dyDescent="0.3">
      <c r="A2593" t="s">
        <v>114</v>
      </c>
      <c r="B2593" t="s">
        <v>159</v>
      </c>
    </row>
    <row r="2594" spans="1:2" x14ac:dyDescent="0.3">
      <c r="A2594" t="s">
        <v>114</v>
      </c>
      <c r="B2594" t="s">
        <v>159</v>
      </c>
    </row>
    <row r="2595" spans="1:2" x14ac:dyDescent="0.3">
      <c r="A2595" t="s">
        <v>114</v>
      </c>
      <c r="B2595" t="s">
        <v>159</v>
      </c>
    </row>
    <row r="2596" spans="1:2" x14ac:dyDescent="0.3">
      <c r="A2596" t="s">
        <v>114</v>
      </c>
      <c r="B2596" t="s">
        <v>159</v>
      </c>
    </row>
    <row r="2597" spans="1:2" x14ac:dyDescent="0.3">
      <c r="A2597" t="s">
        <v>114</v>
      </c>
      <c r="B2597" t="s">
        <v>159</v>
      </c>
    </row>
    <row r="2598" spans="1:2" x14ac:dyDescent="0.3">
      <c r="A2598" t="s">
        <v>114</v>
      </c>
      <c r="B2598" t="s">
        <v>159</v>
      </c>
    </row>
    <row r="2599" spans="1:2" x14ac:dyDescent="0.3">
      <c r="A2599" t="s">
        <v>114</v>
      </c>
      <c r="B2599" t="s">
        <v>159</v>
      </c>
    </row>
    <row r="2600" spans="1:2" x14ac:dyDescent="0.3">
      <c r="A2600" t="s">
        <v>114</v>
      </c>
      <c r="B2600" t="s">
        <v>159</v>
      </c>
    </row>
    <row r="2601" spans="1:2" x14ac:dyDescent="0.3">
      <c r="A2601" t="s">
        <v>114</v>
      </c>
      <c r="B2601" t="s">
        <v>159</v>
      </c>
    </row>
    <row r="2602" spans="1:2" x14ac:dyDescent="0.3">
      <c r="A2602" t="s">
        <v>114</v>
      </c>
      <c r="B2602" t="s">
        <v>159</v>
      </c>
    </row>
    <row r="2603" spans="1:2" x14ac:dyDescent="0.3">
      <c r="A2603" t="s">
        <v>114</v>
      </c>
      <c r="B2603" t="s">
        <v>159</v>
      </c>
    </row>
    <row r="2604" spans="1:2" x14ac:dyDescent="0.3">
      <c r="A2604" t="s">
        <v>114</v>
      </c>
      <c r="B2604" t="s">
        <v>159</v>
      </c>
    </row>
    <row r="2605" spans="1:2" x14ac:dyDescent="0.3">
      <c r="A2605" t="s">
        <v>114</v>
      </c>
      <c r="B2605" t="s">
        <v>159</v>
      </c>
    </row>
    <row r="2606" spans="1:2" x14ac:dyDescent="0.3">
      <c r="A2606" t="s">
        <v>114</v>
      </c>
      <c r="B2606" t="s">
        <v>159</v>
      </c>
    </row>
    <row r="2607" spans="1:2" x14ac:dyDescent="0.3">
      <c r="A2607" t="s">
        <v>114</v>
      </c>
      <c r="B2607" t="s">
        <v>159</v>
      </c>
    </row>
    <row r="2608" spans="1:2" x14ac:dyDescent="0.3">
      <c r="A2608" t="s">
        <v>114</v>
      </c>
      <c r="B2608" t="s">
        <v>159</v>
      </c>
    </row>
    <row r="2609" spans="1:2" x14ac:dyDescent="0.3">
      <c r="A2609" t="s">
        <v>114</v>
      </c>
      <c r="B2609" t="s">
        <v>159</v>
      </c>
    </row>
    <row r="2610" spans="1:2" x14ac:dyDescent="0.3">
      <c r="A2610" t="s">
        <v>114</v>
      </c>
      <c r="B2610" t="s">
        <v>159</v>
      </c>
    </row>
    <row r="2611" spans="1:2" x14ac:dyDescent="0.3">
      <c r="A2611" t="s">
        <v>114</v>
      </c>
      <c r="B2611" t="s">
        <v>159</v>
      </c>
    </row>
    <row r="2612" spans="1:2" x14ac:dyDescent="0.3">
      <c r="A2612" t="s">
        <v>114</v>
      </c>
      <c r="B2612" t="s">
        <v>159</v>
      </c>
    </row>
    <row r="2613" spans="1:2" x14ac:dyDescent="0.3">
      <c r="A2613" t="s">
        <v>114</v>
      </c>
      <c r="B2613" t="s">
        <v>159</v>
      </c>
    </row>
    <row r="2614" spans="1:2" x14ac:dyDescent="0.3">
      <c r="A2614" t="s">
        <v>114</v>
      </c>
      <c r="B2614" t="s">
        <v>159</v>
      </c>
    </row>
    <row r="2615" spans="1:2" x14ac:dyDescent="0.3">
      <c r="A2615" t="s">
        <v>114</v>
      </c>
      <c r="B2615" t="s">
        <v>159</v>
      </c>
    </row>
    <row r="2616" spans="1:2" x14ac:dyDescent="0.3">
      <c r="A2616" t="s">
        <v>114</v>
      </c>
      <c r="B2616" t="s">
        <v>159</v>
      </c>
    </row>
    <row r="2617" spans="1:2" x14ac:dyDescent="0.3">
      <c r="A2617" t="s">
        <v>114</v>
      </c>
      <c r="B2617" t="s">
        <v>159</v>
      </c>
    </row>
    <row r="2618" spans="1:2" x14ac:dyDescent="0.3">
      <c r="A2618" t="s">
        <v>114</v>
      </c>
      <c r="B2618" t="s">
        <v>159</v>
      </c>
    </row>
    <row r="2619" spans="1:2" x14ac:dyDescent="0.3">
      <c r="A2619" t="s">
        <v>114</v>
      </c>
      <c r="B2619" t="s">
        <v>159</v>
      </c>
    </row>
    <row r="2620" spans="1:2" x14ac:dyDescent="0.3">
      <c r="A2620" t="s">
        <v>114</v>
      </c>
      <c r="B2620" t="s">
        <v>159</v>
      </c>
    </row>
    <row r="2621" spans="1:2" x14ac:dyDescent="0.3">
      <c r="A2621" t="s">
        <v>114</v>
      </c>
      <c r="B2621" t="s">
        <v>159</v>
      </c>
    </row>
    <row r="2622" spans="1:2" x14ac:dyDescent="0.3">
      <c r="A2622" t="s">
        <v>114</v>
      </c>
      <c r="B2622" t="s">
        <v>159</v>
      </c>
    </row>
    <row r="2623" spans="1:2" x14ac:dyDescent="0.3">
      <c r="A2623" t="s">
        <v>114</v>
      </c>
      <c r="B2623" t="s">
        <v>159</v>
      </c>
    </row>
    <row r="2624" spans="1:2" x14ac:dyDescent="0.3">
      <c r="A2624" t="s">
        <v>114</v>
      </c>
      <c r="B2624" t="s">
        <v>159</v>
      </c>
    </row>
    <row r="2625" spans="1:2" x14ac:dyDescent="0.3">
      <c r="A2625" t="s">
        <v>114</v>
      </c>
      <c r="B2625" t="s">
        <v>159</v>
      </c>
    </row>
    <row r="2626" spans="1:2" x14ac:dyDescent="0.3">
      <c r="A2626" t="s">
        <v>114</v>
      </c>
      <c r="B2626" t="s">
        <v>159</v>
      </c>
    </row>
    <row r="2627" spans="1:2" x14ac:dyDescent="0.3">
      <c r="A2627" t="s">
        <v>114</v>
      </c>
      <c r="B2627" t="s">
        <v>159</v>
      </c>
    </row>
    <row r="2628" spans="1:2" x14ac:dyDescent="0.3">
      <c r="A2628" t="s">
        <v>114</v>
      </c>
      <c r="B2628" t="s">
        <v>159</v>
      </c>
    </row>
    <row r="2629" spans="1:2" x14ac:dyDescent="0.3">
      <c r="A2629" t="s">
        <v>114</v>
      </c>
      <c r="B2629" t="s">
        <v>159</v>
      </c>
    </row>
    <row r="2630" spans="1:2" x14ac:dyDescent="0.3">
      <c r="A2630" t="s">
        <v>114</v>
      </c>
      <c r="B2630" t="s">
        <v>159</v>
      </c>
    </row>
    <row r="2631" spans="1:2" x14ac:dyDescent="0.3">
      <c r="A2631" t="s">
        <v>114</v>
      </c>
      <c r="B2631" t="s">
        <v>159</v>
      </c>
    </row>
    <row r="2632" spans="1:2" x14ac:dyDescent="0.3">
      <c r="A2632" t="s">
        <v>114</v>
      </c>
      <c r="B2632" t="s">
        <v>159</v>
      </c>
    </row>
    <row r="2633" spans="1:2" x14ac:dyDescent="0.3">
      <c r="A2633" t="s">
        <v>114</v>
      </c>
      <c r="B2633" t="s">
        <v>159</v>
      </c>
    </row>
    <row r="2634" spans="1:2" x14ac:dyDescent="0.3">
      <c r="A2634" t="s">
        <v>114</v>
      </c>
      <c r="B2634" t="s">
        <v>159</v>
      </c>
    </row>
    <row r="2635" spans="1:2" x14ac:dyDescent="0.3">
      <c r="A2635" t="s">
        <v>114</v>
      </c>
      <c r="B2635" t="s">
        <v>159</v>
      </c>
    </row>
    <row r="2636" spans="1:2" x14ac:dyDescent="0.3">
      <c r="A2636" t="s">
        <v>114</v>
      </c>
      <c r="B2636" t="s">
        <v>159</v>
      </c>
    </row>
    <row r="2637" spans="1:2" x14ac:dyDescent="0.3">
      <c r="A2637" t="s">
        <v>114</v>
      </c>
      <c r="B2637" t="s">
        <v>159</v>
      </c>
    </row>
    <row r="2638" spans="1:2" x14ac:dyDescent="0.3">
      <c r="A2638" t="s">
        <v>114</v>
      </c>
      <c r="B2638" t="s">
        <v>159</v>
      </c>
    </row>
    <row r="2639" spans="1:2" x14ac:dyDescent="0.3">
      <c r="A2639" t="s">
        <v>114</v>
      </c>
      <c r="B2639" t="s">
        <v>159</v>
      </c>
    </row>
    <row r="2640" spans="1:2" x14ac:dyDescent="0.3">
      <c r="A2640" t="s">
        <v>114</v>
      </c>
      <c r="B2640" t="s">
        <v>159</v>
      </c>
    </row>
    <row r="2641" spans="1:2" x14ac:dyDescent="0.3">
      <c r="A2641" t="s">
        <v>114</v>
      </c>
      <c r="B2641" t="s">
        <v>159</v>
      </c>
    </row>
    <row r="2642" spans="1:2" x14ac:dyDescent="0.3">
      <c r="A2642" t="s">
        <v>114</v>
      </c>
      <c r="B2642" t="s">
        <v>159</v>
      </c>
    </row>
    <row r="2643" spans="1:2" x14ac:dyDescent="0.3">
      <c r="A2643" t="s">
        <v>114</v>
      </c>
      <c r="B2643" t="s">
        <v>159</v>
      </c>
    </row>
    <row r="2644" spans="1:2" x14ac:dyDescent="0.3">
      <c r="A2644" t="s">
        <v>114</v>
      </c>
      <c r="B2644" t="s">
        <v>159</v>
      </c>
    </row>
    <row r="2645" spans="1:2" x14ac:dyDescent="0.3">
      <c r="A2645" t="s">
        <v>114</v>
      </c>
      <c r="B2645" t="s">
        <v>159</v>
      </c>
    </row>
    <row r="2646" spans="1:2" x14ac:dyDescent="0.3">
      <c r="A2646" t="s">
        <v>114</v>
      </c>
      <c r="B2646" t="s">
        <v>159</v>
      </c>
    </row>
    <row r="2647" spans="1:2" x14ac:dyDescent="0.3">
      <c r="A2647" t="s">
        <v>114</v>
      </c>
      <c r="B2647" t="s">
        <v>159</v>
      </c>
    </row>
    <row r="2648" spans="1:2" x14ac:dyDescent="0.3">
      <c r="A2648" t="s">
        <v>114</v>
      </c>
      <c r="B2648" t="s">
        <v>159</v>
      </c>
    </row>
    <row r="2649" spans="1:2" x14ac:dyDescent="0.3">
      <c r="A2649" t="s">
        <v>114</v>
      </c>
      <c r="B2649" t="s">
        <v>159</v>
      </c>
    </row>
    <row r="2650" spans="1:2" x14ac:dyDescent="0.3">
      <c r="A2650" t="s">
        <v>114</v>
      </c>
      <c r="B2650" t="s">
        <v>159</v>
      </c>
    </row>
    <row r="2651" spans="1:2" x14ac:dyDescent="0.3">
      <c r="A2651" t="s">
        <v>114</v>
      </c>
      <c r="B2651" t="s">
        <v>159</v>
      </c>
    </row>
    <row r="2652" spans="1:2" x14ac:dyDescent="0.3">
      <c r="A2652" t="s">
        <v>114</v>
      </c>
      <c r="B2652" t="s">
        <v>159</v>
      </c>
    </row>
    <row r="2653" spans="1:2" x14ac:dyDescent="0.3">
      <c r="A2653" t="s">
        <v>114</v>
      </c>
      <c r="B2653" t="s">
        <v>159</v>
      </c>
    </row>
    <row r="2654" spans="1:2" x14ac:dyDescent="0.3">
      <c r="A2654" t="s">
        <v>114</v>
      </c>
      <c r="B2654" t="s">
        <v>159</v>
      </c>
    </row>
    <row r="2655" spans="1:2" x14ac:dyDescent="0.3">
      <c r="A2655" t="s">
        <v>114</v>
      </c>
      <c r="B2655" t="s">
        <v>159</v>
      </c>
    </row>
    <row r="2656" spans="1:2" x14ac:dyDescent="0.3">
      <c r="A2656" t="s">
        <v>114</v>
      </c>
      <c r="B2656" t="s">
        <v>159</v>
      </c>
    </row>
    <row r="2657" spans="1:2" x14ac:dyDescent="0.3">
      <c r="A2657" t="s">
        <v>114</v>
      </c>
      <c r="B2657" t="s">
        <v>159</v>
      </c>
    </row>
    <row r="2658" spans="1:2" x14ac:dyDescent="0.3">
      <c r="A2658" t="s">
        <v>114</v>
      </c>
      <c r="B2658" t="s">
        <v>159</v>
      </c>
    </row>
    <row r="2659" spans="1:2" x14ac:dyDescent="0.3">
      <c r="A2659" t="s">
        <v>114</v>
      </c>
      <c r="B2659" t="s">
        <v>159</v>
      </c>
    </row>
    <row r="2660" spans="1:2" x14ac:dyDescent="0.3">
      <c r="A2660" t="s">
        <v>114</v>
      </c>
      <c r="B2660" t="s">
        <v>159</v>
      </c>
    </row>
    <row r="2661" spans="1:2" x14ac:dyDescent="0.3">
      <c r="A2661" t="s">
        <v>114</v>
      </c>
      <c r="B2661" t="s">
        <v>159</v>
      </c>
    </row>
    <row r="2662" spans="1:2" x14ac:dyDescent="0.3">
      <c r="A2662" t="s">
        <v>114</v>
      </c>
      <c r="B2662" t="s">
        <v>159</v>
      </c>
    </row>
    <row r="2663" spans="1:2" x14ac:dyDescent="0.3">
      <c r="A2663" t="s">
        <v>114</v>
      </c>
      <c r="B2663" t="s">
        <v>159</v>
      </c>
    </row>
    <row r="2664" spans="1:2" x14ac:dyDescent="0.3">
      <c r="A2664" t="s">
        <v>114</v>
      </c>
      <c r="B2664" t="s">
        <v>159</v>
      </c>
    </row>
    <row r="2665" spans="1:2" x14ac:dyDescent="0.3">
      <c r="A2665" t="s">
        <v>114</v>
      </c>
      <c r="B2665" t="s">
        <v>159</v>
      </c>
    </row>
    <row r="2666" spans="1:2" x14ac:dyDescent="0.3">
      <c r="A2666" t="s">
        <v>114</v>
      </c>
      <c r="B2666" t="s">
        <v>159</v>
      </c>
    </row>
    <row r="2667" spans="1:2" x14ac:dyDescent="0.3">
      <c r="A2667" t="s">
        <v>114</v>
      </c>
      <c r="B2667" t="s">
        <v>159</v>
      </c>
    </row>
    <row r="2668" spans="1:2" x14ac:dyDescent="0.3">
      <c r="A2668" t="s">
        <v>114</v>
      </c>
      <c r="B2668" t="s">
        <v>159</v>
      </c>
    </row>
    <row r="2669" spans="1:2" x14ac:dyDescent="0.3">
      <c r="A2669" t="s">
        <v>114</v>
      </c>
      <c r="B2669" t="s">
        <v>159</v>
      </c>
    </row>
    <row r="2670" spans="1:2" x14ac:dyDescent="0.3">
      <c r="A2670" t="s">
        <v>114</v>
      </c>
      <c r="B2670" t="s">
        <v>159</v>
      </c>
    </row>
    <row r="2671" spans="1:2" x14ac:dyDescent="0.3">
      <c r="A2671" t="s">
        <v>114</v>
      </c>
      <c r="B2671" t="s">
        <v>159</v>
      </c>
    </row>
    <row r="2672" spans="1:2" x14ac:dyDescent="0.3">
      <c r="A2672" t="s">
        <v>114</v>
      </c>
      <c r="B2672" t="s">
        <v>159</v>
      </c>
    </row>
    <row r="2673" spans="1:2" x14ac:dyDescent="0.3">
      <c r="A2673" t="s">
        <v>114</v>
      </c>
      <c r="B2673" t="s">
        <v>159</v>
      </c>
    </row>
    <row r="2674" spans="1:2" x14ac:dyDescent="0.3">
      <c r="A2674" t="s">
        <v>114</v>
      </c>
      <c r="B2674" t="s">
        <v>159</v>
      </c>
    </row>
    <row r="2675" spans="1:2" x14ac:dyDescent="0.3">
      <c r="A2675" t="s">
        <v>114</v>
      </c>
      <c r="B2675" t="s">
        <v>159</v>
      </c>
    </row>
    <row r="2676" spans="1:2" x14ac:dyDescent="0.3">
      <c r="A2676" t="s">
        <v>114</v>
      </c>
      <c r="B2676" t="s">
        <v>159</v>
      </c>
    </row>
    <row r="2677" spans="1:2" x14ac:dyDescent="0.3">
      <c r="A2677" t="s">
        <v>114</v>
      </c>
      <c r="B2677" t="s">
        <v>159</v>
      </c>
    </row>
    <row r="2678" spans="1:2" x14ac:dyDescent="0.3">
      <c r="A2678" t="s">
        <v>114</v>
      </c>
      <c r="B2678" t="s">
        <v>159</v>
      </c>
    </row>
    <row r="2679" spans="1:2" x14ac:dyDescent="0.3">
      <c r="A2679" t="s">
        <v>114</v>
      </c>
      <c r="B2679" t="s">
        <v>159</v>
      </c>
    </row>
    <row r="2680" spans="1:2" x14ac:dyDescent="0.3">
      <c r="A2680" t="s">
        <v>114</v>
      </c>
      <c r="B2680" t="s">
        <v>159</v>
      </c>
    </row>
    <row r="2681" spans="1:2" x14ac:dyDescent="0.3">
      <c r="A2681" t="s">
        <v>114</v>
      </c>
      <c r="B2681" t="s">
        <v>159</v>
      </c>
    </row>
    <row r="2682" spans="1:2" x14ac:dyDescent="0.3">
      <c r="A2682" t="s">
        <v>114</v>
      </c>
      <c r="B2682" t="s">
        <v>159</v>
      </c>
    </row>
    <row r="2683" spans="1:2" x14ac:dyDescent="0.3">
      <c r="A2683" t="s">
        <v>114</v>
      </c>
      <c r="B2683" t="s">
        <v>159</v>
      </c>
    </row>
    <row r="2684" spans="1:2" x14ac:dyDescent="0.3">
      <c r="A2684" t="s">
        <v>114</v>
      </c>
      <c r="B2684" t="s">
        <v>159</v>
      </c>
    </row>
    <row r="2685" spans="1:2" x14ac:dyDescent="0.3">
      <c r="A2685" t="s">
        <v>114</v>
      </c>
      <c r="B2685" t="s">
        <v>159</v>
      </c>
    </row>
    <row r="2686" spans="1:2" x14ac:dyDescent="0.3">
      <c r="A2686" t="s">
        <v>114</v>
      </c>
      <c r="B2686" t="s">
        <v>159</v>
      </c>
    </row>
    <row r="2687" spans="1:2" x14ac:dyDescent="0.3">
      <c r="A2687" t="s">
        <v>114</v>
      </c>
      <c r="B2687" t="s">
        <v>159</v>
      </c>
    </row>
    <row r="2688" spans="1:2" x14ac:dyDescent="0.3">
      <c r="A2688" t="s">
        <v>114</v>
      </c>
      <c r="B2688" t="s">
        <v>159</v>
      </c>
    </row>
    <row r="2689" spans="1:2" x14ac:dyDescent="0.3">
      <c r="A2689" t="s">
        <v>114</v>
      </c>
      <c r="B2689" t="s">
        <v>159</v>
      </c>
    </row>
    <row r="2690" spans="1:2" x14ac:dyDescent="0.3">
      <c r="A2690" t="s">
        <v>114</v>
      </c>
      <c r="B2690" t="s">
        <v>159</v>
      </c>
    </row>
    <row r="2691" spans="1:2" x14ac:dyDescent="0.3">
      <c r="A2691" t="s">
        <v>114</v>
      </c>
      <c r="B2691" t="s">
        <v>159</v>
      </c>
    </row>
    <row r="2692" spans="1:2" x14ac:dyDescent="0.3">
      <c r="A2692" t="s">
        <v>114</v>
      </c>
      <c r="B2692" t="s">
        <v>159</v>
      </c>
    </row>
    <row r="2693" spans="1:2" x14ac:dyDescent="0.3">
      <c r="A2693" t="s">
        <v>114</v>
      </c>
      <c r="B2693" t="s">
        <v>159</v>
      </c>
    </row>
    <row r="2694" spans="1:2" x14ac:dyDescent="0.3">
      <c r="A2694" t="s">
        <v>114</v>
      </c>
      <c r="B2694" t="s">
        <v>159</v>
      </c>
    </row>
    <row r="2695" spans="1:2" x14ac:dyDescent="0.3">
      <c r="A2695" t="s">
        <v>114</v>
      </c>
      <c r="B2695" t="s">
        <v>159</v>
      </c>
    </row>
    <row r="2696" spans="1:2" x14ac:dyDescent="0.3">
      <c r="A2696" t="s">
        <v>114</v>
      </c>
      <c r="B2696" t="s">
        <v>159</v>
      </c>
    </row>
    <row r="2697" spans="1:2" x14ac:dyDescent="0.3">
      <c r="A2697" t="s">
        <v>114</v>
      </c>
      <c r="B2697" t="s">
        <v>159</v>
      </c>
    </row>
    <row r="2698" spans="1:2" x14ac:dyDescent="0.3">
      <c r="A2698" t="s">
        <v>114</v>
      </c>
      <c r="B2698" t="s">
        <v>159</v>
      </c>
    </row>
    <row r="2699" spans="1:2" x14ac:dyDescent="0.3">
      <c r="A2699" t="s">
        <v>114</v>
      </c>
      <c r="B2699" t="s">
        <v>159</v>
      </c>
    </row>
    <row r="2700" spans="1:2" x14ac:dyDescent="0.3">
      <c r="A2700" t="s">
        <v>114</v>
      </c>
      <c r="B2700" t="s">
        <v>159</v>
      </c>
    </row>
    <row r="2701" spans="1:2" x14ac:dyDescent="0.3">
      <c r="A2701" t="s">
        <v>114</v>
      </c>
      <c r="B2701" t="s">
        <v>159</v>
      </c>
    </row>
    <row r="2702" spans="1:2" x14ac:dyDescent="0.3">
      <c r="A2702" t="s">
        <v>114</v>
      </c>
      <c r="B2702" t="s">
        <v>159</v>
      </c>
    </row>
    <row r="2703" spans="1:2" x14ac:dyDescent="0.3">
      <c r="A2703" t="s">
        <v>114</v>
      </c>
      <c r="B2703" t="s">
        <v>159</v>
      </c>
    </row>
    <row r="2704" spans="1:2" x14ac:dyDescent="0.3">
      <c r="A2704" t="s">
        <v>114</v>
      </c>
      <c r="B2704" t="s">
        <v>159</v>
      </c>
    </row>
    <row r="2705" spans="1:2" x14ac:dyDescent="0.3">
      <c r="A2705" t="s">
        <v>114</v>
      </c>
      <c r="B2705" t="s">
        <v>159</v>
      </c>
    </row>
    <row r="2706" spans="1:2" x14ac:dyDescent="0.3">
      <c r="A2706" t="s">
        <v>114</v>
      </c>
      <c r="B2706" t="s">
        <v>159</v>
      </c>
    </row>
    <row r="2707" spans="1:2" x14ac:dyDescent="0.3">
      <c r="A2707" t="s">
        <v>114</v>
      </c>
      <c r="B2707" t="s">
        <v>159</v>
      </c>
    </row>
    <row r="2708" spans="1:2" x14ac:dyDescent="0.3">
      <c r="A2708" t="s">
        <v>114</v>
      </c>
      <c r="B2708" t="s">
        <v>159</v>
      </c>
    </row>
    <row r="2709" spans="1:2" x14ac:dyDescent="0.3">
      <c r="A2709" t="s">
        <v>114</v>
      </c>
      <c r="B2709" t="s">
        <v>159</v>
      </c>
    </row>
    <row r="2710" spans="1:2" x14ac:dyDescent="0.3">
      <c r="A2710" t="s">
        <v>114</v>
      </c>
      <c r="B2710" t="s">
        <v>159</v>
      </c>
    </row>
    <row r="2711" spans="1:2" x14ac:dyDescent="0.3">
      <c r="A2711" t="s">
        <v>114</v>
      </c>
      <c r="B2711" t="s">
        <v>159</v>
      </c>
    </row>
    <row r="2712" spans="1:2" x14ac:dyDescent="0.3">
      <c r="A2712" t="s">
        <v>114</v>
      </c>
      <c r="B2712" t="s">
        <v>159</v>
      </c>
    </row>
    <row r="2713" spans="1:2" x14ac:dyDescent="0.3">
      <c r="A2713" t="s">
        <v>114</v>
      </c>
      <c r="B2713" t="s">
        <v>159</v>
      </c>
    </row>
    <row r="2714" spans="1:2" x14ac:dyDescent="0.3">
      <c r="A2714" t="s">
        <v>114</v>
      </c>
      <c r="B2714" t="s">
        <v>159</v>
      </c>
    </row>
    <row r="2715" spans="1:2" x14ac:dyDescent="0.3">
      <c r="A2715" t="s">
        <v>114</v>
      </c>
      <c r="B2715" t="s">
        <v>159</v>
      </c>
    </row>
    <row r="2716" spans="1:2" x14ac:dyDescent="0.3">
      <c r="A2716" t="s">
        <v>114</v>
      </c>
      <c r="B2716" t="s">
        <v>159</v>
      </c>
    </row>
    <row r="2717" spans="1:2" x14ac:dyDescent="0.3">
      <c r="A2717" t="s">
        <v>114</v>
      </c>
      <c r="B2717" t="s">
        <v>159</v>
      </c>
    </row>
    <row r="2718" spans="1:2" x14ac:dyDescent="0.3">
      <c r="A2718" t="s">
        <v>114</v>
      </c>
      <c r="B2718" t="s">
        <v>159</v>
      </c>
    </row>
    <row r="2719" spans="1:2" x14ac:dyDescent="0.3">
      <c r="A2719" t="s">
        <v>114</v>
      </c>
      <c r="B2719" t="s">
        <v>159</v>
      </c>
    </row>
    <row r="2720" spans="1:2" x14ac:dyDescent="0.3">
      <c r="A2720" t="s">
        <v>114</v>
      </c>
      <c r="B2720" t="s">
        <v>159</v>
      </c>
    </row>
    <row r="2721" spans="1:2" x14ac:dyDescent="0.3">
      <c r="A2721" t="s">
        <v>114</v>
      </c>
      <c r="B2721" t="s">
        <v>159</v>
      </c>
    </row>
    <row r="2722" spans="1:2" x14ac:dyDescent="0.3">
      <c r="A2722" t="s">
        <v>114</v>
      </c>
      <c r="B2722" t="s">
        <v>159</v>
      </c>
    </row>
    <row r="2723" spans="1:2" x14ac:dyDescent="0.3">
      <c r="A2723" t="s">
        <v>114</v>
      </c>
      <c r="B2723" t="s">
        <v>159</v>
      </c>
    </row>
    <row r="2724" spans="1:2" x14ac:dyDescent="0.3">
      <c r="A2724" t="s">
        <v>114</v>
      </c>
      <c r="B2724" t="s">
        <v>159</v>
      </c>
    </row>
    <row r="2725" spans="1:2" x14ac:dyDescent="0.3">
      <c r="A2725" t="s">
        <v>114</v>
      </c>
      <c r="B2725" t="s">
        <v>159</v>
      </c>
    </row>
    <row r="2726" spans="1:2" x14ac:dyDescent="0.3">
      <c r="A2726" t="s">
        <v>114</v>
      </c>
      <c r="B2726" t="s">
        <v>159</v>
      </c>
    </row>
    <row r="2727" spans="1:2" x14ac:dyDescent="0.3">
      <c r="A2727" t="s">
        <v>114</v>
      </c>
      <c r="B2727" t="s">
        <v>159</v>
      </c>
    </row>
    <row r="2728" spans="1:2" x14ac:dyDescent="0.3">
      <c r="A2728" t="s">
        <v>114</v>
      </c>
      <c r="B2728" t="s">
        <v>159</v>
      </c>
    </row>
    <row r="2729" spans="1:2" x14ac:dyDescent="0.3">
      <c r="A2729" t="s">
        <v>114</v>
      </c>
      <c r="B2729" t="s">
        <v>159</v>
      </c>
    </row>
    <row r="2730" spans="1:2" x14ac:dyDescent="0.3">
      <c r="A2730" t="s">
        <v>114</v>
      </c>
      <c r="B2730" t="s">
        <v>159</v>
      </c>
    </row>
    <row r="2731" spans="1:2" x14ac:dyDescent="0.3">
      <c r="A2731" t="s">
        <v>114</v>
      </c>
      <c r="B2731" t="s">
        <v>159</v>
      </c>
    </row>
    <row r="2732" spans="1:2" x14ac:dyDescent="0.3">
      <c r="A2732" t="s">
        <v>114</v>
      </c>
      <c r="B2732" t="s">
        <v>159</v>
      </c>
    </row>
    <row r="2733" spans="1:2" x14ac:dyDescent="0.3">
      <c r="A2733" t="s">
        <v>114</v>
      </c>
      <c r="B2733" t="s">
        <v>159</v>
      </c>
    </row>
    <row r="2734" spans="1:2" x14ac:dyDescent="0.3">
      <c r="A2734" t="s">
        <v>114</v>
      </c>
      <c r="B2734" t="s">
        <v>159</v>
      </c>
    </row>
    <row r="2735" spans="1:2" x14ac:dyDescent="0.3">
      <c r="A2735" t="s">
        <v>114</v>
      </c>
      <c r="B2735" t="s">
        <v>159</v>
      </c>
    </row>
    <row r="2736" spans="1:2" x14ac:dyDescent="0.3">
      <c r="A2736" t="s">
        <v>114</v>
      </c>
      <c r="B2736" t="s">
        <v>159</v>
      </c>
    </row>
    <row r="2737" spans="1:2" x14ac:dyDescent="0.3">
      <c r="A2737" t="s">
        <v>114</v>
      </c>
      <c r="B2737" t="s">
        <v>159</v>
      </c>
    </row>
    <row r="2738" spans="1:2" x14ac:dyDescent="0.3">
      <c r="A2738" t="s">
        <v>114</v>
      </c>
      <c r="B2738" t="s">
        <v>159</v>
      </c>
    </row>
    <row r="2739" spans="1:2" x14ac:dyDescent="0.3">
      <c r="A2739" t="s">
        <v>114</v>
      </c>
      <c r="B2739" t="s">
        <v>159</v>
      </c>
    </row>
    <row r="2740" spans="1:2" x14ac:dyDescent="0.3">
      <c r="A2740" t="s">
        <v>114</v>
      </c>
      <c r="B2740" t="s">
        <v>159</v>
      </c>
    </row>
    <row r="2741" spans="1:2" x14ac:dyDescent="0.3">
      <c r="A2741" t="s">
        <v>114</v>
      </c>
      <c r="B2741" t="s">
        <v>159</v>
      </c>
    </row>
    <row r="2742" spans="1:2" x14ac:dyDescent="0.3">
      <c r="A2742" t="s">
        <v>114</v>
      </c>
      <c r="B2742" t="s">
        <v>159</v>
      </c>
    </row>
    <row r="2743" spans="1:2" x14ac:dyDescent="0.3">
      <c r="A2743" t="s">
        <v>114</v>
      </c>
      <c r="B2743" t="s">
        <v>159</v>
      </c>
    </row>
    <row r="2744" spans="1:2" x14ac:dyDescent="0.3">
      <c r="A2744" t="s">
        <v>114</v>
      </c>
      <c r="B2744" t="s">
        <v>159</v>
      </c>
    </row>
    <row r="2745" spans="1:2" x14ac:dyDescent="0.3">
      <c r="A2745" t="s">
        <v>114</v>
      </c>
      <c r="B2745" t="s">
        <v>159</v>
      </c>
    </row>
    <row r="2746" spans="1:2" x14ac:dyDescent="0.3">
      <c r="A2746" t="s">
        <v>114</v>
      </c>
      <c r="B2746" t="s">
        <v>159</v>
      </c>
    </row>
    <row r="2747" spans="1:2" x14ac:dyDescent="0.3">
      <c r="A2747" t="s">
        <v>114</v>
      </c>
      <c r="B2747" t="s">
        <v>159</v>
      </c>
    </row>
    <row r="2748" spans="1:2" x14ac:dyDescent="0.3">
      <c r="A2748" t="s">
        <v>114</v>
      </c>
      <c r="B2748" t="s">
        <v>159</v>
      </c>
    </row>
    <row r="2749" spans="1:2" x14ac:dyDescent="0.3">
      <c r="A2749" t="s">
        <v>114</v>
      </c>
      <c r="B2749" t="s">
        <v>159</v>
      </c>
    </row>
    <row r="2750" spans="1:2" x14ac:dyDescent="0.3">
      <c r="A2750" t="s">
        <v>114</v>
      </c>
      <c r="B2750" t="s">
        <v>159</v>
      </c>
    </row>
    <row r="2751" spans="1:2" x14ac:dyDescent="0.3">
      <c r="A2751" t="s">
        <v>114</v>
      </c>
      <c r="B2751" t="s">
        <v>159</v>
      </c>
    </row>
    <row r="2752" spans="1:2" x14ac:dyDescent="0.3">
      <c r="A2752" t="s">
        <v>114</v>
      </c>
      <c r="B2752" t="s">
        <v>159</v>
      </c>
    </row>
    <row r="2753" spans="1:2" x14ac:dyDescent="0.3">
      <c r="A2753" t="s">
        <v>114</v>
      </c>
      <c r="B2753" t="s">
        <v>159</v>
      </c>
    </row>
    <row r="2754" spans="1:2" x14ac:dyDescent="0.3">
      <c r="A2754" t="s">
        <v>114</v>
      </c>
      <c r="B2754" t="s">
        <v>159</v>
      </c>
    </row>
    <row r="2755" spans="1:2" x14ac:dyDescent="0.3">
      <c r="A2755" t="s">
        <v>114</v>
      </c>
      <c r="B2755" t="s">
        <v>159</v>
      </c>
    </row>
    <row r="2756" spans="1:2" x14ac:dyDescent="0.3">
      <c r="A2756" t="s">
        <v>114</v>
      </c>
      <c r="B2756" t="s">
        <v>159</v>
      </c>
    </row>
    <row r="2757" spans="1:2" x14ac:dyDescent="0.3">
      <c r="A2757" t="s">
        <v>114</v>
      </c>
      <c r="B2757" t="s">
        <v>159</v>
      </c>
    </row>
    <row r="2758" spans="1:2" x14ac:dyDescent="0.3">
      <c r="A2758" t="s">
        <v>114</v>
      </c>
      <c r="B2758" t="s">
        <v>159</v>
      </c>
    </row>
    <row r="2759" spans="1:2" x14ac:dyDescent="0.3">
      <c r="A2759" t="s">
        <v>114</v>
      </c>
      <c r="B2759" t="s">
        <v>158</v>
      </c>
    </row>
    <row r="2760" spans="1:2" x14ac:dyDescent="0.3">
      <c r="A2760" t="s">
        <v>114</v>
      </c>
      <c r="B2760" t="s">
        <v>159</v>
      </c>
    </row>
    <row r="2761" spans="1:2" x14ac:dyDescent="0.3">
      <c r="A2761" t="s">
        <v>114</v>
      </c>
      <c r="B2761" t="s">
        <v>159</v>
      </c>
    </row>
    <row r="2762" spans="1:2" x14ac:dyDescent="0.3">
      <c r="A2762" t="s">
        <v>114</v>
      </c>
      <c r="B2762" t="s">
        <v>159</v>
      </c>
    </row>
    <row r="2763" spans="1:2" x14ac:dyDescent="0.3">
      <c r="A2763" t="s">
        <v>114</v>
      </c>
      <c r="B2763" t="s">
        <v>159</v>
      </c>
    </row>
    <row r="2764" spans="1:2" x14ac:dyDescent="0.3">
      <c r="A2764" t="s">
        <v>114</v>
      </c>
      <c r="B2764" t="s">
        <v>159</v>
      </c>
    </row>
    <row r="2765" spans="1:2" x14ac:dyDescent="0.3">
      <c r="A2765" t="s">
        <v>114</v>
      </c>
      <c r="B2765" t="s">
        <v>159</v>
      </c>
    </row>
    <row r="2766" spans="1:2" x14ac:dyDescent="0.3">
      <c r="A2766" t="s">
        <v>114</v>
      </c>
      <c r="B2766" t="s">
        <v>159</v>
      </c>
    </row>
    <row r="2767" spans="1:2" x14ac:dyDescent="0.3">
      <c r="A2767" t="s">
        <v>114</v>
      </c>
      <c r="B2767" t="s">
        <v>159</v>
      </c>
    </row>
    <row r="2768" spans="1:2" x14ac:dyDescent="0.3">
      <c r="A2768" t="s">
        <v>114</v>
      </c>
      <c r="B2768" t="s">
        <v>159</v>
      </c>
    </row>
    <row r="2769" spans="1:2" x14ac:dyDescent="0.3">
      <c r="A2769" t="s">
        <v>114</v>
      </c>
      <c r="B2769" t="s">
        <v>159</v>
      </c>
    </row>
    <row r="2770" spans="1:2" x14ac:dyDescent="0.3">
      <c r="A2770" t="s">
        <v>114</v>
      </c>
      <c r="B2770" t="s">
        <v>159</v>
      </c>
    </row>
    <row r="2771" spans="1:2" x14ac:dyDescent="0.3">
      <c r="A2771" t="s">
        <v>114</v>
      </c>
      <c r="B2771" t="s">
        <v>159</v>
      </c>
    </row>
    <row r="2772" spans="1:2" x14ac:dyDescent="0.3">
      <c r="A2772" t="s">
        <v>114</v>
      </c>
      <c r="B2772" t="s">
        <v>159</v>
      </c>
    </row>
    <row r="2773" spans="1:2" x14ac:dyDescent="0.3">
      <c r="A2773" t="s">
        <v>114</v>
      </c>
      <c r="B2773" t="s">
        <v>159</v>
      </c>
    </row>
    <row r="2774" spans="1:2" x14ac:dyDescent="0.3">
      <c r="A2774" t="s">
        <v>114</v>
      </c>
      <c r="B2774" t="s">
        <v>159</v>
      </c>
    </row>
    <row r="2775" spans="1:2" x14ac:dyDescent="0.3">
      <c r="A2775" t="s">
        <v>114</v>
      </c>
      <c r="B2775" t="s">
        <v>159</v>
      </c>
    </row>
    <row r="2776" spans="1:2" x14ac:dyDescent="0.3">
      <c r="A2776" t="s">
        <v>114</v>
      </c>
      <c r="B2776" t="s">
        <v>159</v>
      </c>
    </row>
    <row r="2777" spans="1:2" x14ac:dyDescent="0.3">
      <c r="A2777" t="s">
        <v>114</v>
      </c>
      <c r="B2777" t="s">
        <v>159</v>
      </c>
    </row>
    <row r="2778" spans="1:2" x14ac:dyDescent="0.3">
      <c r="A2778" t="s">
        <v>114</v>
      </c>
      <c r="B2778" t="s">
        <v>159</v>
      </c>
    </row>
    <row r="2779" spans="1:2" x14ac:dyDescent="0.3">
      <c r="A2779" t="s">
        <v>114</v>
      </c>
      <c r="B2779" t="s">
        <v>159</v>
      </c>
    </row>
    <row r="2780" spans="1:2" x14ac:dyDescent="0.3">
      <c r="A2780" t="s">
        <v>114</v>
      </c>
      <c r="B2780" t="s">
        <v>159</v>
      </c>
    </row>
    <row r="2781" spans="1:2" x14ac:dyDescent="0.3">
      <c r="A2781" t="s">
        <v>114</v>
      </c>
      <c r="B2781" t="s">
        <v>159</v>
      </c>
    </row>
    <row r="2782" spans="1:2" x14ac:dyDescent="0.3">
      <c r="A2782" t="s">
        <v>114</v>
      </c>
      <c r="B2782" t="s">
        <v>159</v>
      </c>
    </row>
    <row r="2783" spans="1:2" x14ac:dyDescent="0.3">
      <c r="A2783" t="s">
        <v>114</v>
      </c>
      <c r="B2783" t="s">
        <v>159</v>
      </c>
    </row>
    <row r="2784" spans="1:2" x14ac:dyDescent="0.3">
      <c r="A2784" t="s">
        <v>114</v>
      </c>
      <c r="B2784" t="s">
        <v>159</v>
      </c>
    </row>
    <row r="2785" spans="1:2" x14ac:dyDescent="0.3">
      <c r="A2785" t="s">
        <v>114</v>
      </c>
      <c r="B2785" t="s">
        <v>159</v>
      </c>
    </row>
    <row r="2786" spans="1:2" x14ac:dyDescent="0.3">
      <c r="A2786" t="s">
        <v>114</v>
      </c>
      <c r="B2786" t="s">
        <v>159</v>
      </c>
    </row>
    <row r="2787" spans="1:2" x14ac:dyDescent="0.3">
      <c r="A2787" t="s">
        <v>114</v>
      </c>
      <c r="B2787" t="s">
        <v>159</v>
      </c>
    </row>
    <row r="2788" spans="1:2" x14ac:dyDescent="0.3">
      <c r="A2788" t="s">
        <v>114</v>
      </c>
      <c r="B2788" t="s">
        <v>159</v>
      </c>
    </row>
    <row r="2789" spans="1:2" x14ac:dyDescent="0.3">
      <c r="A2789" t="s">
        <v>114</v>
      </c>
      <c r="B2789" t="s">
        <v>159</v>
      </c>
    </row>
    <row r="2790" spans="1:2" x14ac:dyDescent="0.3">
      <c r="A2790" t="s">
        <v>114</v>
      </c>
      <c r="B2790" t="s">
        <v>159</v>
      </c>
    </row>
    <row r="2791" spans="1:2" x14ac:dyDescent="0.3">
      <c r="A2791" t="s">
        <v>114</v>
      </c>
      <c r="B2791" t="s">
        <v>159</v>
      </c>
    </row>
    <row r="2792" spans="1:2" x14ac:dyDescent="0.3">
      <c r="A2792" t="s">
        <v>114</v>
      </c>
      <c r="B2792" t="s">
        <v>159</v>
      </c>
    </row>
    <row r="2793" spans="1:2" x14ac:dyDescent="0.3">
      <c r="A2793" t="s">
        <v>114</v>
      </c>
      <c r="B2793" t="s">
        <v>159</v>
      </c>
    </row>
    <row r="2794" spans="1:2" x14ac:dyDescent="0.3">
      <c r="A2794" t="s">
        <v>114</v>
      </c>
      <c r="B2794" t="s">
        <v>159</v>
      </c>
    </row>
    <row r="2795" spans="1:2" x14ac:dyDescent="0.3">
      <c r="A2795" t="s">
        <v>114</v>
      </c>
      <c r="B2795" t="s">
        <v>159</v>
      </c>
    </row>
    <row r="2796" spans="1:2" x14ac:dyDescent="0.3">
      <c r="A2796" t="s">
        <v>114</v>
      </c>
      <c r="B2796" t="s">
        <v>159</v>
      </c>
    </row>
    <row r="2797" spans="1:2" x14ac:dyDescent="0.3">
      <c r="A2797" t="s">
        <v>114</v>
      </c>
      <c r="B2797" t="s">
        <v>159</v>
      </c>
    </row>
    <row r="2798" spans="1:2" x14ac:dyDescent="0.3">
      <c r="A2798" t="s">
        <v>114</v>
      </c>
      <c r="B2798" t="s">
        <v>158</v>
      </c>
    </row>
    <row r="2799" spans="1:2" x14ac:dyDescent="0.3">
      <c r="A2799" t="s">
        <v>114</v>
      </c>
      <c r="B2799" t="s">
        <v>159</v>
      </c>
    </row>
    <row r="2800" spans="1:2" x14ac:dyDescent="0.3">
      <c r="A2800" t="s">
        <v>114</v>
      </c>
      <c r="B2800" t="s">
        <v>159</v>
      </c>
    </row>
    <row r="2801" spans="1:2" x14ac:dyDescent="0.3">
      <c r="A2801" t="s">
        <v>114</v>
      </c>
      <c r="B2801" t="s">
        <v>159</v>
      </c>
    </row>
    <row r="2802" spans="1:2" x14ac:dyDescent="0.3">
      <c r="A2802" t="s">
        <v>114</v>
      </c>
      <c r="B2802" t="s">
        <v>159</v>
      </c>
    </row>
    <row r="2803" spans="1:2" x14ac:dyDescent="0.3">
      <c r="A2803" t="s">
        <v>114</v>
      </c>
      <c r="B2803" t="s">
        <v>159</v>
      </c>
    </row>
    <row r="2804" spans="1:2" x14ac:dyDescent="0.3">
      <c r="A2804" t="s">
        <v>114</v>
      </c>
      <c r="B2804" t="s">
        <v>159</v>
      </c>
    </row>
    <row r="2805" spans="1:2" x14ac:dyDescent="0.3">
      <c r="A2805" t="s">
        <v>114</v>
      </c>
      <c r="B2805" t="s">
        <v>159</v>
      </c>
    </row>
    <row r="2806" spans="1:2" x14ac:dyDescent="0.3">
      <c r="A2806" t="s">
        <v>114</v>
      </c>
      <c r="B2806" t="s">
        <v>159</v>
      </c>
    </row>
    <row r="2807" spans="1:2" x14ac:dyDescent="0.3">
      <c r="A2807" t="s">
        <v>114</v>
      </c>
      <c r="B2807" t="s">
        <v>159</v>
      </c>
    </row>
    <row r="2808" spans="1:2" x14ac:dyDescent="0.3">
      <c r="A2808" t="s">
        <v>114</v>
      </c>
      <c r="B2808" t="s">
        <v>159</v>
      </c>
    </row>
    <row r="2809" spans="1:2" x14ac:dyDescent="0.3">
      <c r="A2809" t="s">
        <v>114</v>
      </c>
      <c r="B2809" t="s">
        <v>159</v>
      </c>
    </row>
    <row r="2810" spans="1:2" x14ac:dyDescent="0.3">
      <c r="A2810" t="s">
        <v>114</v>
      </c>
      <c r="B2810" t="s">
        <v>159</v>
      </c>
    </row>
    <row r="2811" spans="1:2" x14ac:dyDescent="0.3">
      <c r="A2811" t="s">
        <v>114</v>
      </c>
      <c r="B2811" t="s">
        <v>159</v>
      </c>
    </row>
    <row r="2812" spans="1:2" x14ac:dyDescent="0.3">
      <c r="A2812" t="s">
        <v>114</v>
      </c>
      <c r="B2812" t="s">
        <v>159</v>
      </c>
    </row>
    <row r="2813" spans="1:2" x14ac:dyDescent="0.3">
      <c r="A2813" t="s">
        <v>114</v>
      </c>
      <c r="B2813" t="s">
        <v>159</v>
      </c>
    </row>
    <row r="2814" spans="1:2" x14ac:dyDescent="0.3">
      <c r="A2814" t="s">
        <v>114</v>
      </c>
      <c r="B2814" t="s">
        <v>159</v>
      </c>
    </row>
    <row r="2815" spans="1:2" x14ac:dyDescent="0.3">
      <c r="A2815" t="s">
        <v>114</v>
      </c>
      <c r="B2815" t="s">
        <v>159</v>
      </c>
    </row>
    <row r="2816" spans="1:2" x14ac:dyDescent="0.3">
      <c r="A2816" t="s">
        <v>114</v>
      </c>
      <c r="B2816" t="s">
        <v>159</v>
      </c>
    </row>
    <row r="2817" spans="1:2" x14ac:dyDescent="0.3">
      <c r="A2817" t="s">
        <v>114</v>
      </c>
      <c r="B2817" t="s">
        <v>159</v>
      </c>
    </row>
    <row r="2818" spans="1:2" x14ac:dyDescent="0.3">
      <c r="A2818" t="s">
        <v>114</v>
      </c>
      <c r="B2818" t="s">
        <v>159</v>
      </c>
    </row>
    <row r="2819" spans="1:2" x14ac:dyDescent="0.3">
      <c r="A2819" t="s">
        <v>114</v>
      </c>
      <c r="B2819" t="s">
        <v>159</v>
      </c>
    </row>
    <row r="2820" spans="1:2" x14ac:dyDescent="0.3">
      <c r="A2820" t="s">
        <v>114</v>
      </c>
      <c r="B2820" t="s">
        <v>159</v>
      </c>
    </row>
    <row r="2821" spans="1:2" x14ac:dyDescent="0.3">
      <c r="A2821" t="s">
        <v>114</v>
      </c>
      <c r="B2821" t="s">
        <v>159</v>
      </c>
    </row>
    <row r="2822" spans="1:2" x14ac:dyDescent="0.3">
      <c r="A2822" t="s">
        <v>114</v>
      </c>
      <c r="B2822" t="s">
        <v>159</v>
      </c>
    </row>
    <row r="2823" spans="1:2" x14ac:dyDescent="0.3">
      <c r="A2823" t="s">
        <v>114</v>
      </c>
      <c r="B2823" t="s">
        <v>159</v>
      </c>
    </row>
    <row r="2824" spans="1:2" x14ac:dyDescent="0.3">
      <c r="A2824" t="s">
        <v>114</v>
      </c>
      <c r="B2824" t="s">
        <v>159</v>
      </c>
    </row>
    <row r="2825" spans="1:2" x14ac:dyDescent="0.3">
      <c r="A2825" t="s">
        <v>114</v>
      </c>
      <c r="B2825" t="s">
        <v>158</v>
      </c>
    </row>
    <row r="2826" spans="1:2" x14ac:dyDescent="0.3">
      <c r="A2826" t="s">
        <v>114</v>
      </c>
      <c r="B2826" t="s">
        <v>159</v>
      </c>
    </row>
    <row r="2827" spans="1:2" x14ac:dyDescent="0.3">
      <c r="A2827" t="s">
        <v>114</v>
      </c>
      <c r="B2827" t="s">
        <v>159</v>
      </c>
    </row>
    <row r="2828" spans="1:2" x14ac:dyDescent="0.3">
      <c r="A2828" t="s">
        <v>114</v>
      </c>
      <c r="B2828" t="s">
        <v>159</v>
      </c>
    </row>
    <row r="2829" spans="1:2" x14ac:dyDescent="0.3">
      <c r="A2829" t="s">
        <v>114</v>
      </c>
      <c r="B2829" t="s">
        <v>159</v>
      </c>
    </row>
    <row r="2830" spans="1:2" x14ac:dyDescent="0.3">
      <c r="A2830" t="s">
        <v>114</v>
      </c>
      <c r="B2830" t="s">
        <v>159</v>
      </c>
    </row>
    <row r="2831" spans="1:2" x14ac:dyDescent="0.3">
      <c r="A2831" t="s">
        <v>114</v>
      </c>
      <c r="B2831" t="s">
        <v>159</v>
      </c>
    </row>
    <row r="2832" spans="1:2" x14ac:dyDescent="0.3">
      <c r="A2832" t="s">
        <v>114</v>
      </c>
      <c r="B2832" t="s">
        <v>159</v>
      </c>
    </row>
    <row r="2833" spans="1:2" x14ac:dyDescent="0.3">
      <c r="A2833" t="s">
        <v>114</v>
      </c>
      <c r="B2833" t="s">
        <v>159</v>
      </c>
    </row>
    <row r="2834" spans="1:2" x14ac:dyDescent="0.3">
      <c r="A2834" t="s">
        <v>114</v>
      </c>
      <c r="B2834" t="s">
        <v>159</v>
      </c>
    </row>
    <row r="2835" spans="1:2" x14ac:dyDescent="0.3">
      <c r="A2835" t="s">
        <v>114</v>
      </c>
      <c r="B2835" t="s">
        <v>159</v>
      </c>
    </row>
    <row r="2836" spans="1:2" x14ac:dyDescent="0.3">
      <c r="A2836" t="s">
        <v>114</v>
      </c>
      <c r="B2836" t="s">
        <v>159</v>
      </c>
    </row>
    <row r="2837" spans="1:2" x14ac:dyDescent="0.3">
      <c r="A2837" t="s">
        <v>114</v>
      </c>
      <c r="B2837" t="s">
        <v>159</v>
      </c>
    </row>
    <row r="2838" spans="1:2" x14ac:dyDescent="0.3">
      <c r="A2838" t="s">
        <v>114</v>
      </c>
      <c r="B2838" t="s">
        <v>159</v>
      </c>
    </row>
    <row r="2839" spans="1:2" x14ac:dyDescent="0.3">
      <c r="A2839" t="s">
        <v>114</v>
      </c>
      <c r="B2839" t="s">
        <v>159</v>
      </c>
    </row>
    <row r="2840" spans="1:2" x14ac:dyDescent="0.3">
      <c r="A2840" t="s">
        <v>114</v>
      </c>
      <c r="B2840" t="s">
        <v>159</v>
      </c>
    </row>
    <row r="2841" spans="1:2" x14ac:dyDescent="0.3">
      <c r="A2841" t="s">
        <v>114</v>
      </c>
      <c r="B2841" t="s">
        <v>159</v>
      </c>
    </row>
    <row r="2842" spans="1:2" x14ac:dyDescent="0.3">
      <c r="A2842" t="s">
        <v>114</v>
      </c>
      <c r="B2842" t="s">
        <v>159</v>
      </c>
    </row>
    <row r="2843" spans="1:2" x14ac:dyDescent="0.3">
      <c r="A2843" t="s">
        <v>114</v>
      </c>
      <c r="B2843" t="s">
        <v>159</v>
      </c>
    </row>
    <row r="2844" spans="1:2" x14ac:dyDescent="0.3">
      <c r="A2844" t="s">
        <v>114</v>
      </c>
      <c r="B2844" t="s">
        <v>158</v>
      </c>
    </row>
    <row r="2845" spans="1:2" x14ac:dyDescent="0.3">
      <c r="A2845" t="s">
        <v>114</v>
      </c>
      <c r="B2845" t="s">
        <v>159</v>
      </c>
    </row>
    <row r="2846" spans="1:2" x14ac:dyDescent="0.3">
      <c r="A2846" t="s">
        <v>114</v>
      </c>
      <c r="B2846" t="s">
        <v>159</v>
      </c>
    </row>
    <row r="2847" spans="1:2" x14ac:dyDescent="0.3">
      <c r="A2847" t="s">
        <v>114</v>
      </c>
      <c r="B2847" t="s">
        <v>159</v>
      </c>
    </row>
    <row r="2848" spans="1:2" x14ac:dyDescent="0.3">
      <c r="A2848" t="s">
        <v>114</v>
      </c>
      <c r="B2848" t="s">
        <v>158</v>
      </c>
    </row>
    <row r="2849" spans="1:2" x14ac:dyDescent="0.3">
      <c r="A2849" t="s">
        <v>114</v>
      </c>
      <c r="B2849" t="s">
        <v>158</v>
      </c>
    </row>
    <row r="2850" spans="1:2" x14ac:dyDescent="0.3">
      <c r="A2850" t="s">
        <v>114</v>
      </c>
      <c r="B2850" t="s">
        <v>158</v>
      </c>
    </row>
    <row r="2851" spans="1:2" x14ac:dyDescent="0.3">
      <c r="A2851" t="s">
        <v>114</v>
      </c>
      <c r="B2851" t="s">
        <v>159</v>
      </c>
    </row>
    <row r="2852" spans="1:2" x14ac:dyDescent="0.3">
      <c r="A2852" t="s">
        <v>114</v>
      </c>
      <c r="B2852" t="s">
        <v>158</v>
      </c>
    </row>
    <row r="2853" spans="1:2" x14ac:dyDescent="0.3">
      <c r="A2853" t="s">
        <v>114</v>
      </c>
      <c r="B2853" t="s">
        <v>158</v>
      </c>
    </row>
    <row r="2854" spans="1:2" x14ac:dyDescent="0.3">
      <c r="A2854" t="s">
        <v>114</v>
      </c>
      <c r="B2854" t="s">
        <v>159</v>
      </c>
    </row>
    <row r="2855" spans="1:2" x14ac:dyDescent="0.3">
      <c r="A2855" t="s">
        <v>114</v>
      </c>
      <c r="B2855" t="s">
        <v>159</v>
      </c>
    </row>
    <row r="2856" spans="1:2" x14ac:dyDescent="0.3">
      <c r="A2856" t="s">
        <v>114</v>
      </c>
      <c r="B2856" t="s">
        <v>159</v>
      </c>
    </row>
    <row r="2857" spans="1:2" x14ac:dyDescent="0.3">
      <c r="A2857" t="s">
        <v>114</v>
      </c>
      <c r="B2857" t="s">
        <v>159</v>
      </c>
    </row>
    <row r="2858" spans="1:2" x14ac:dyDescent="0.3">
      <c r="A2858" t="s">
        <v>114</v>
      </c>
      <c r="B2858" t="s">
        <v>158</v>
      </c>
    </row>
    <row r="2859" spans="1:2" x14ac:dyDescent="0.3">
      <c r="A2859" t="s">
        <v>114</v>
      </c>
      <c r="B2859" t="s">
        <v>159</v>
      </c>
    </row>
    <row r="2860" spans="1:2" x14ac:dyDescent="0.3">
      <c r="A2860" t="s">
        <v>114</v>
      </c>
      <c r="B2860" t="s">
        <v>159</v>
      </c>
    </row>
    <row r="2861" spans="1:2" x14ac:dyDescent="0.3">
      <c r="A2861" t="s">
        <v>114</v>
      </c>
      <c r="B2861" t="s">
        <v>158</v>
      </c>
    </row>
    <row r="2862" spans="1:2" x14ac:dyDescent="0.3">
      <c r="A2862" t="s">
        <v>114</v>
      </c>
      <c r="B2862" t="s">
        <v>158</v>
      </c>
    </row>
    <row r="2863" spans="1:2" x14ac:dyDescent="0.3">
      <c r="A2863" t="s">
        <v>114</v>
      </c>
      <c r="B2863" t="s">
        <v>158</v>
      </c>
    </row>
    <row r="2864" spans="1:2" x14ac:dyDescent="0.3">
      <c r="A2864" t="s">
        <v>114</v>
      </c>
      <c r="B2864" t="s">
        <v>159</v>
      </c>
    </row>
    <row r="2865" spans="1:2" x14ac:dyDescent="0.3">
      <c r="A2865" t="s">
        <v>114</v>
      </c>
      <c r="B2865" t="s">
        <v>159</v>
      </c>
    </row>
    <row r="2866" spans="1:2" x14ac:dyDescent="0.3">
      <c r="A2866" t="s">
        <v>114</v>
      </c>
      <c r="B2866" t="s">
        <v>159</v>
      </c>
    </row>
    <row r="2867" spans="1:2" x14ac:dyDescent="0.3">
      <c r="A2867" t="s">
        <v>114</v>
      </c>
      <c r="B2867" t="s">
        <v>158</v>
      </c>
    </row>
    <row r="2868" spans="1:2" x14ac:dyDescent="0.3">
      <c r="A2868" t="s">
        <v>114</v>
      </c>
      <c r="B2868" t="s">
        <v>159</v>
      </c>
    </row>
    <row r="2869" spans="1:2" x14ac:dyDescent="0.3">
      <c r="A2869" t="s">
        <v>114</v>
      </c>
      <c r="B2869" t="s">
        <v>158</v>
      </c>
    </row>
    <row r="2870" spans="1:2" x14ac:dyDescent="0.3">
      <c r="A2870" t="s">
        <v>114</v>
      </c>
      <c r="B2870" t="s">
        <v>159</v>
      </c>
    </row>
    <row r="2871" spans="1:2" x14ac:dyDescent="0.3">
      <c r="A2871" t="s">
        <v>114</v>
      </c>
      <c r="B2871" t="s">
        <v>159</v>
      </c>
    </row>
    <row r="2872" spans="1:2" x14ac:dyDescent="0.3">
      <c r="A2872" t="s">
        <v>114</v>
      </c>
      <c r="B2872" t="s">
        <v>159</v>
      </c>
    </row>
    <row r="2873" spans="1:2" x14ac:dyDescent="0.3">
      <c r="A2873" t="s">
        <v>114</v>
      </c>
      <c r="B2873" t="s">
        <v>158</v>
      </c>
    </row>
    <row r="2874" spans="1:2" x14ac:dyDescent="0.3">
      <c r="A2874" t="s">
        <v>114</v>
      </c>
      <c r="B2874" t="s">
        <v>159</v>
      </c>
    </row>
    <row r="2875" spans="1:2" x14ac:dyDescent="0.3">
      <c r="A2875" t="s">
        <v>114</v>
      </c>
      <c r="B2875" t="s">
        <v>159</v>
      </c>
    </row>
    <row r="2876" spans="1:2" x14ac:dyDescent="0.3">
      <c r="A2876" t="s">
        <v>114</v>
      </c>
      <c r="B2876" t="s">
        <v>158</v>
      </c>
    </row>
    <row r="2877" spans="1:2" x14ac:dyDescent="0.3">
      <c r="A2877" t="s">
        <v>114</v>
      </c>
      <c r="B2877" t="s">
        <v>158</v>
      </c>
    </row>
    <row r="2878" spans="1:2" x14ac:dyDescent="0.3">
      <c r="A2878" t="s">
        <v>114</v>
      </c>
      <c r="B2878" t="s">
        <v>159</v>
      </c>
    </row>
    <row r="2879" spans="1:2" x14ac:dyDescent="0.3">
      <c r="A2879" t="s">
        <v>114</v>
      </c>
      <c r="B2879" t="s">
        <v>158</v>
      </c>
    </row>
    <row r="2880" spans="1:2" x14ac:dyDescent="0.3">
      <c r="A2880" t="s">
        <v>114</v>
      </c>
      <c r="B2880" t="s">
        <v>159</v>
      </c>
    </row>
    <row r="2881" spans="1:2" x14ac:dyDescent="0.3">
      <c r="A2881" t="s">
        <v>114</v>
      </c>
      <c r="B2881" t="s">
        <v>158</v>
      </c>
    </row>
    <row r="2882" spans="1:2" x14ac:dyDescent="0.3">
      <c r="A2882" t="s">
        <v>114</v>
      </c>
      <c r="B2882" t="s">
        <v>159</v>
      </c>
    </row>
    <row r="2883" spans="1:2" x14ac:dyDescent="0.3">
      <c r="A2883" t="s">
        <v>114</v>
      </c>
      <c r="B2883" t="s">
        <v>159</v>
      </c>
    </row>
    <row r="2884" spans="1:2" x14ac:dyDescent="0.3">
      <c r="A2884" t="s">
        <v>114</v>
      </c>
      <c r="B2884" t="s">
        <v>159</v>
      </c>
    </row>
    <row r="2885" spans="1:2" x14ac:dyDescent="0.3">
      <c r="A2885" t="s">
        <v>114</v>
      </c>
      <c r="B2885" t="s">
        <v>158</v>
      </c>
    </row>
    <row r="2886" spans="1:2" x14ac:dyDescent="0.3">
      <c r="A2886" t="s">
        <v>114</v>
      </c>
      <c r="B2886" t="s">
        <v>159</v>
      </c>
    </row>
    <row r="2887" spans="1:2" x14ac:dyDescent="0.3">
      <c r="A2887" t="s">
        <v>114</v>
      </c>
      <c r="B2887" t="s">
        <v>159</v>
      </c>
    </row>
    <row r="2888" spans="1:2" x14ac:dyDescent="0.3">
      <c r="A2888" t="s">
        <v>114</v>
      </c>
      <c r="B2888" t="s">
        <v>159</v>
      </c>
    </row>
    <row r="2889" spans="1:2" x14ac:dyDescent="0.3">
      <c r="A2889" t="s">
        <v>114</v>
      </c>
      <c r="B2889" t="s">
        <v>159</v>
      </c>
    </row>
    <row r="2890" spans="1:2" x14ac:dyDescent="0.3">
      <c r="A2890" t="s">
        <v>114</v>
      </c>
      <c r="B2890" t="s">
        <v>159</v>
      </c>
    </row>
    <row r="2891" spans="1:2" x14ac:dyDescent="0.3">
      <c r="A2891" t="s">
        <v>114</v>
      </c>
      <c r="B2891" t="s">
        <v>158</v>
      </c>
    </row>
    <row r="2892" spans="1:2" x14ac:dyDescent="0.3">
      <c r="A2892" t="s">
        <v>114</v>
      </c>
      <c r="B2892" t="s">
        <v>159</v>
      </c>
    </row>
    <row r="2893" spans="1:2" x14ac:dyDescent="0.3">
      <c r="A2893" t="s">
        <v>114</v>
      </c>
      <c r="B2893" t="s">
        <v>159</v>
      </c>
    </row>
    <row r="2894" spans="1:2" x14ac:dyDescent="0.3">
      <c r="A2894" t="s">
        <v>114</v>
      </c>
      <c r="B2894" t="s">
        <v>159</v>
      </c>
    </row>
    <row r="2895" spans="1:2" x14ac:dyDescent="0.3">
      <c r="A2895" t="s">
        <v>114</v>
      </c>
      <c r="B2895" t="s">
        <v>159</v>
      </c>
    </row>
    <row r="2896" spans="1:2" x14ac:dyDescent="0.3">
      <c r="A2896" t="s">
        <v>114</v>
      </c>
      <c r="B2896" t="s">
        <v>159</v>
      </c>
    </row>
    <row r="2897" spans="1:2" x14ac:dyDescent="0.3">
      <c r="A2897" t="s">
        <v>114</v>
      </c>
      <c r="B2897" t="s">
        <v>158</v>
      </c>
    </row>
    <row r="2898" spans="1:2" x14ac:dyDescent="0.3">
      <c r="A2898" t="s">
        <v>114</v>
      </c>
      <c r="B2898" t="s">
        <v>159</v>
      </c>
    </row>
    <row r="2899" spans="1:2" x14ac:dyDescent="0.3">
      <c r="A2899" t="s">
        <v>114</v>
      </c>
      <c r="B2899" t="s">
        <v>158</v>
      </c>
    </row>
    <row r="2900" spans="1:2" x14ac:dyDescent="0.3">
      <c r="A2900" t="s">
        <v>114</v>
      </c>
      <c r="B2900" t="s">
        <v>159</v>
      </c>
    </row>
    <row r="2901" spans="1:2" x14ac:dyDescent="0.3">
      <c r="A2901" t="s">
        <v>114</v>
      </c>
      <c r="B2901" t="s">
        <v>158</v>
      </c>
    </row>
    <row r="2902" spans="1:2" x14ac:dyDescent="0.3">
      <c r="A2902" t="s">
        <v>114</v>
      </c>
      <c r="B2902" t="s">
        <v>159</v>
      </c>
    </row>
    <row r="2903" spans="1:2" x14ac:dyDescent="0.3">
      <c r="A2903" t="s">
        <v>114</v>
      </c>
      <c r="B2903" t="s">
        <v>159</v>
      </c>
    </row>
    <row r="2904" spans="1:2" x14ac:dyDescent="0.3">
      <c r="A2904" t="s">
        <v>114</v>
      </c>
      <c r="B2904" t="s">
        <v>159</v>
      </c>
    </row>
    <row r="2905" spans="1:2" x14ac:dyDescent="0.3">
      <c r="A2905" t="s">
        <v>114</v>
      </c>
      <c r="B2905" t="s">
        <v>158</v>
      </c>
    </row>
    <row r="2906" spans="1:2" x14ac:dyDescent="0.3">
      <c r="A2906" t="s">
        <v>114</v>
      </c>
      <c r="B2906" t="s">
        <v>158</v>
      </c>
    </row>
    <row r="2907" spans="1:2" x14ac:dyDescent="0.3">
      <c r="A2907" t="s">
        <v>114</v>
      </c>
      <c r="B2907" t="s">
        <v>158</v>
      </c>
    </row>
    <row r="2908" spans="1:2" x14ac:dyDescent="0.3">
      <c r="A2908" t="s">
        <v>114</v>
      </c>
      <c r="B2908" t="s">
        <v>158</v>
      </c>
    </row>
    <row r="2909" spans="1:2" x14ac:dyDescent="0.3">
      <c r="A2909" t="s">
        <v>114</v>
      </c>
      <c r="B2909" t="s">
        <v>159</v>
      </c>
    </row>
    <row r="2910" spans="1:2" x14ac:dyDescent="0.3">
      <c r="A2910" t="s">
        <v>114</v>
      </c>
      <c r="B2910" t="s">
        <v>158</v>
      </c>
    </row>
    <row r="2911" spans="1:2" x14ac:dyDescent="0.3">
      <c r="A2911" t="s">
        <v>114</v>
      </c>
      <c r="B2911" t="s">
        <v>159</v>
      </c>
    </row>
    <row r="2912" spans="1:2" x14ac:dyDescent="0.3">
      <c r="A2912" t="s">
        <v>114</v>
      </c>
      <c r="B2912" t="s">
        <v>158</v>
      </c>
    </row>
    <row r="2913" spans="1:2" x14ac:dyDescent="0.3">
      <c r="A2913" t="s">
        <v>114</v>
      </c>
      <c r="B2913" t="s">
        <v>159</v>
      </c>
    </row>
    <row r="2914" spans="1:2" x14ac:dyDescent="0.3">
      <c r="A2914" t="s">
        <v>114</v>
      </c>
      <c r="B2914" t="s">
        <v>158</v>
      </c>
    </row>
    <row r="2915" spans="1:2" x14ac:dyDescent="0.3">
      <c r="A2915" t="s">
        <v>114</v>
      </c>
      <c r="B2915" t="s">
        <v>159</v>
      </c>
    </row>
    <row r="2916" spans="1:2" x14ac:dyDescent="0.3">
      <c r="A2916" t="s">
        <v>114</v>
      </c>
      <c r="B2916" t="s">
        <v>158</v>
      </c>
    </row>
    <row r="2917" spans="1:2" x14ac:dyDescent="0.3">
      <c r="A2917" t="s">
        <v>114</v>
      </c>
      <c r="B2917" t="s">
        <v>159</v>
      </c>
    </row>
    <row r="2918" spans="1:2" x14ac:dyDescent="0.3">
      <c r="A2918" t="s">
        <v>114</v>
      </c>
      <c r="B2918" t="s">
        <v>158</v>
      </c>
    </row>
    <row r="2919" spans="1:2" x14ac:dyDescent="0.3">
      <c r="A2919" t="s">
        <v>114</v>
      </c>
      <c r="B2919" t="s">
        <v>159</v>
      </c>
    </row>
    <row r="2920" spans="1:2" x14ac:dyDescent="0.3">
      <c r="A2920" t="s">
        <v>114</v>
      </c>
      <c r="B2920" t="s">
        <v>159</v>
      </c>
    </row>
    <row r="2921" spans="1:2" x14ac:dyDescent="0.3">
      <c r="A2921" t="s">
        <v>114</v>
      </c>
      <c r="B2921" t="s">
        <v>159</v>
      </c>
    </row>
    <row r="2922" spans="1:2" x14ac:dyDescent="0.3">
      <c r="A2922" t="s">
        <v>114</v>
      </c>
      <c r="B2922" t="s">
        <v>158</v>
      </c>
    </row>
    <row r="2923" spans="1:2" x14ac:dyDescent="0.3">
      <c r="A2923" t="s">
        <v>114</v>
      </c>
      <c r="B2923" t="s">
        <v>159</v>
      </c>
    </row>
    <row r="2924" spans="1:2" x14ac:dyDescent="0.3">
      <c r="A2924" t="s">
        <v>114</v>
      </c>
      <c r="B2924" t="s">
        <v>159</v>
      </c>
    </row>
    <row r="2925" spans="1:2" x14ac:dyDescent="0.3">
      <c r="A2925" t="s">
        <v>114</v>
      </c>
      <c r="B2925" t="s">
        <v>159</v>
      </c>
    </row>
    <row r="2926" spans="1:2" x14ac:dyDescent="0.3">
      <c r="A2926" t="s">
        <v>114</v>
      </c>
      <c r="B2926" t="s">
        <v>159</v>
      </c>
    </row>
    <row r="2927" spans="1:2" x14ac:dyDescent="0.3">
      <c r="A2927" t="s">
        <v>114</v>
      </c>
      <c r="B2927" t="s">
        <v>158</v>
      </c>
    </row>
    <row r="2928" spans="1:2" x14ac:dyDescent="0.3">
      <c r="A2928" t="s">
        <v>114</v>
      </c>
      <c r="B2928" t="s">
        <v>158</v>
      </c>
    </row>
    <row r="2929" spans="1:2" x14ac:dyDescent="0.3">
      <c r="A2929" t="s">
        <v>114</v>
      </c>
      <c r="B2929" t="s">
        <v>158</v>
      </c>
    </row>
    <row r="2930" spans="1:2" x14ac:dyDescent="0.3">
      <c r="A2930" t="s">
        <v>114</v>
      </c>
      <c r="B2930" t="s">
        <v>158</v>
      </c>
    </row>
    <row r="2931" spans="1:2" x14ac:dyDescent="0.3">
      <c r="A2931" t="s">
        <v>114</v>
      </c>
      <c r="B2931" t="s">
        <v>158</v>
      </c>
    </row>
    <row r="2932" spans="1:2" x14ac:dyDescent="0.3">
      <c r="A2932" t="s">
        <v>114</v>
      </c>
      <c r="B2932" t="s">
        <v>159</v>
      </c>
    </row>
    <row r="2933" spans="1:2" x14ac:dyDescent="0.3">
      <c r="A2933" t="s">
        <v>114</v>
      </c>
      <c r="B2933" t="s">
        <v>159</v>
      </c>
    </row>
    <row r="2934" spans="1:2" x14ac:dyDescent="0.3">
      <c r="A2934" t="s">
        <v>114</v>
      </c>
      <c r="B2934" t="s">
        <v>158</v>
      </c>
    </row>
    <row r="2935" spans="1:2" x14ac:dyDescent="0.3">
      <c r="A2935" t="s">
        <v>114</v>
      </c>
      <c r="B2935" t="s">
        <v>158</v>
      </c>
    </row>
    <row r="2936" spans="1:2" x14ac:dyDescent="0.3">
      <c r="A2936" t="s">
        <v>114</v>
      </c>
      <c r="B2936" t="s">
        <v>158</v>
      </c>
    </row>
    <row r="2937" spans="1:2" x14ac:dyDescent="0.3">
      <c r="A2937" t="s">
        <v>114</v>
      </c>
      <c r="B2937" t="s">
        <v>158</v>
      </c>
    </row>
    <row r="2938" spans="1:2" x14ac:dyDescent="0.3">
      <c r="A2938" t="s">
        <v>114</v>
      </c>
      <c r="B2938" t="s">
        <v>158</v>
      </c>
    </row>
    <row r="2939" spans="1:2" x14ac:dyDescent="0.3">
      <c r="A2939" t="s">
        <v>114</v>
      </c>
      <c r="B2939" t="s">
        <v>159</v>
      </c>
    </row>
    <row r="2940" spans="1:2" x14ac:dyDescent="0.3">
      <c r="A2940" t="s">
        <v>114</v>
      </c>
      <c r="B2940" t="s">
        <v>159</v>
      </c>
    </row>
    <row r="2941" spans="1:2" x14ac:dyDescent="0.3">
      <c r="A2941" t="s">
        <v>114</v>
      </c>
      <c r="B2941" t="s">
        <v>158</v>
      </c>
    </row>
    <row r="2942" spans="1:2" x14ac:dyDescent="0.3">
      <c r="A2942" t="s">
        <v>114</v>
      </c>
      <c r="B2942" t="s">
        <v>158</v>
      </c>
    </row>
    <row r="2943" spans="1:2" x14ac:dyDescent="0.3">
      <c r="A2943" t="s">
        <v>114</v>
      </c>
      <c r="B2943" t="s">
        <v>158</v>
      </c>
    </row>
    <row r="2944" spans="1:2" x14ac:dyDescent="0.3">
      <c r="A2944" t="s">
        <v>114</v>
      </c>
      <c r="B2944" t="s">
        <v>158</v>
      </c>
    </row>
    <row r="2945" spans="1:2" x14ac:dyDescent="0.3">
      <c r="A2945" t="s">
        <v>114</v>
      </c>
      <c r="B2945" t="s">
        <v>158</v>
      </c>
    </row>
    <row r="2946" spans="1:2" x14ac:dyDescent="0.3">
      <c r="A2946" t="s">
        <v>114</v>
      </c>
      <c r="B2946" t="s">
        <v>159</v>
      </c>
    </row>
    <row r="2947" spans="1:2" x14ac:dyDescent="0.3">
      <c r="A2947" t="s">
        <v>114</v>
      </c>
      <c r="B2947" t="s">
        <v>159</v>
      </c>
    </row>
    <row r="2948" spans="1:2" x14ac:dyDescent="0.3">
      <c r="A2948" t="s">
        <v>114</v>
      </c>
      <c r="B2948" t="s">
        <v>159</v>
      </c>
    </row>
    <row r="2949" spans="1:2" x14ac:dyDescent="0.3">
      <c r="A2949" t="s">
        <v>114</v>
      </c>
      <c r="B2949" t="s">
        <v>159</v>
      </c>
    </row>
    <row r="2950" spans="1:2" x14ac:dyDescent="0.3">
      <c r="A2950" t="s">
        <v>114</v>
      </c>
      <c r="B2950" t="s">
        <v>158</v>
      </c>
    </row>
    <row r="2951" spans="1:2" x14ac:dyDescent="0.3">
      <c r="A2951" t="s">
        <v>114</v>
      </c>
      <c r="B2951" t="s">
        <v>158</v>
      </c>
    </row>
    <row r="2952" spans="1:2" x14ac:dyDescent="0.3">
      <c r="A2952" t="s">
        <v>114</v>
      </c>
      <c r="B2952" t="s">
        <v>159</v>
      </c>
    </row>
    <row r="2953" spans="1:2" x14ac:dyDescent="0.3">
      <c r="A2953" t="s">
        <v>114</v>
      </c>
      <c r="B2953" t="s">
        <v>159</v>
      </c>
    </row>
    <row r="2954" spans="1:2" x14ac:dyDescent="0.3">
      <c r="A2954" t="s">
        <v>114</v>
      </c>
      <c r="B2954" t="s">
        <v>158</v>
      </c>
    </row>
    <row r="2955" spans="1:2" x14ac:dyDescent="0.3">
      <c r="A2955" t="s">
        <v>114</v>
      </c>
      <c r="B2955" t="s">
        <v>158</v>
      </c>
    </row>
    <row r="2956" spans="1:2" x14ac:dyDescent="0.3">
      <c r="A2956" t="s">
        <v>114</v>
      </c>
      <c r="B2956" t="s">
        <v>159</v>
      </c>
    </row>
    <row r="2957" spans="1:2" x14ac:dyDescent="0.3">
      <c r="A2957" t="s">
        <v>114</v>
      </c>
      <c r="B2957" t="s">
        <v>158</v>
      </c>
    </row>
    <row r="2958" spans="1:2" x14ac:dyDescent="0.3">
      <c r="A2958" t="s">
        <v>114</v>
      </c>
      <c r="B2958" t="s">
        <v>158</v>
      </c>
    </row>
    <row r="2959" spans="1:2" x14ac:dyDescent="0.3">
      <c r="A2959" t="s">
        <v>114</v>
      </c>
      <c r="B2959" t="s">
        <v>158</v>
      </c>
    </row>
    <row r="2960" spans="1:2" x14ac:dyDescent="0.3">
      <c r="A2960" t="s">
        <v>114</v>
      </c>
      <c r="B2960" t="s">
        <v>158</v>
      </c>
    </row>
    <row r="2961" spans="1:2" x14ac:dyDescent="0.3">
      <c r="A2961" t="s">
        <v>114</v>
      </c>
      <c r="B2961" t="s">
        <v>158</v>
      </c>
    </row>
    <row r="2962" spans="1:2" x14ac:dyDescent="0.3">
      <c r="A2962" t="s">
        <v>114</v>
      </c>
      <c r="B2962" t="s">
        <v>159</v>
      </c>
    </row>
    <row r="2963" spans="1:2" x14ac:dyDescent="0.3">
      <c r="A2963" t="s">
        <v>114</v>
      </c>
      <c r="B2963" t="s">
        <v>158</v>
      </c>
    </row>
    <row r="2964" spans="1:2" x14ac:dyDescent="0.3">
      <c r="A2964" t="s">
        <v>114</v>
      </c>
      <c r="B2964" t="s">
        <v>158</v>
      </c>
    </row>
    <row r="2965" spans="1:2" x14ac:dyDescent="0.3">
      <c r="A2965" t="s">
        <v>114</v>
      </c>
      <c r="B2965" t="s">
        <v>159</v>
      </c>
    </row>
    <row r="2966" spans="1:2" x14ac:dyDescent="0.3">
      <c r="A2966" t="s">
        <v>114</v>
      </c>
      <c r="B2966" t="s">
        <v>158</v>
      </c>
    </row>
    <row r="2967" spans="1:2" x14ac:dyDescent="0.3">
      <c r="A2967" t="s">
        <v>114</v>
      </c>
      <c r="B2967" t="s">
        <v>158</v>
      </c>
    </row>
    <row r="2968" spans="1:2" x14ac:dyDescent="0.3">
      <c r="A2968" t="s">
        <v>114</v>
      </c>
      <c r="B2968" t="s">
        <v>158</v>
      </c>
    </row>
    <row r="2969" spans="1:2" x14ac:dyDescent="0.3">
      <c r="A2969" t="s">
        <v>114</v>
      </c>
      <c r="B2969" t="s">
        <v>158</v>
      </c>
    </row>
    <row r="2970" spans="1:2" x14ac:dyDescent="0.3">
      <c r="A2970" t="s">
        <v>114</v>
      </c>
      <c r="B2970" t="s">
        <v>158</v>
      </c>
    </row>
    <row r="2971" spans="1:2" x14ac:dyDescent="0.3">
      <c r="A2971" t="s">
        <v>114</v>
      </c>
      <c r="B2971" t="s">
        <v>158</v>
      </c>
    </row>
    <row r="2972" spans="1:2" x14ac:dyDescent="0.3">
      <c r="A2972" t="s">
        <v>114</v>
      </c>
      <c r="B2972" t="s">
        <v>158</v>
      </c>
    </row>
    <row r="2973" spans="1:2" x14ac:dyDescent="0.3">
      <c r="A2973" t="s">
        <v>114</v>
      </c>
      <c r="B2973" t="s">
        <v>159</v>
      </c>
    </row>
    <row r="2974" spans="1:2" x14ac:dyDescent="0.3">
      <c r="A2974" t="s">
        <v>114</v>
      </c>
      <c r="B2974" t="s">
        <v>159</v>
      </c>
    </row>
    <row r="2975" spans="1:2" x14ac:dyDescent="0.3">
      <c r="A2975" t="s">
        <v>114</v>
      </c>
      <c r="B2975" t="s">
        <v>158</v>
      </c>
    </row>
    <row r="2976" spans="1:2" x14ac:dyDescent="0.3">
      <c r="A2976" t="s">
        <v>114</v>
      </c>
      <c r="B2976" t="s">
        <v>158</v>
      </c>
    </row>
    <row r="2977" spans="1:2" x14ac:dyDescent="0.3">
      <c r="A2977" t="s">
        <v>114</v>
      </c>
      <c r="B2977" t="s">
        <v>159</v>
      </c>
    </row>
    <row r="2978" spans="1:2" x14ac:dyDescent="0.3">
      <c r="A2978" t="s">
        <v>114</v>
      </c>
      <c r="B2978" t="s">
        <v>159</v>
      </c>
    </row>
    <row r="2979" spans="1:2" x14ac:dyDescent="0.3">
      <c r="A2979" t="s">
        <v>114</v>
      </c>
      <c r="B2979" t="s">
        <v>158</v>
      </c>
    </row>
    <row r="2980" spans="1:2" x14ac:dyDescent="0.3">
      <c r="A2980" t="s">
        <v>114</v>
      </c>
      <c r="B2980" t="s">
        <v>158</v>
      </c>
    </row>
    <row r="2981" spans="1:2" x14ac:dyDescent="0.3">
      <c r="A2981" t="s">
        <v>114</v>
      </c>
      <c r="B2981" t="s">
        <v>159</v>
      </c>
    </row>
    <row r="2982" spans="1:2" x14ac:dyDescent="0.3">
      <c r="A2982" t="s">
        <v>114</v>
      </c>
      <c r="B2982" t="s">
        <v>159</v>
      </c>
    </row>
    <row r="2983" spans="1:2" x14ac:dyDescent="0.3">
      <c r="A2983" t="s">
        <v>114</v>
      </c>
      <c r="B2983" t="s">
        <v>159</v>
      </c>
    </row>
    <row r="2984" spans="1:2" x14ac:dyDescent="0.3">
      <c r="A2984" t="s">
        <v>114</v>
      </c>
      <c r="B2984" t="s">
        <v>159</v>
      </c>
    </row>
    <row r="2985" spans="1:2" x14ac:dyDescent="0.3">
      <c r="A2985" t="s">
        <v>114</v>
      </c>
      <c r="B2985" t="s">
        <v>158</v>
      </c>
    </row>
    <row r="2986" spans="1:2" x14ac:dyDescent="0.3">
      <c r="A2986" t="s">
        <v>114</v>
      </c>
      <c r="B2986" t="s">
        <v>158</v>
      </c>
    </row>
    <row r="2987" spans="1:2" x14ac:dyDescent="0.3">
      <c r="A2987" t="s">
        <v>114</v>
      </c>
      <c r="B2987" t="s">
        <v>159</v>
      </c>
    </row>
    <row r="2988" spans="1:2" x14ac:dyDescent="0.3">
      <c r="A2988" t="s">
        <v>114</v>
      </c>
      <c r="B2988" t="s">
        <v>159</v>
      </c>
    </row>
    <row r="2989" spans="1:2" x14ac:dyDescent="0.3">
      <c r="A2989" t="s">
        <v>114</v>
      </c>
      <c r="B2989" t="s">
        <v>158</v>
      </c>
    </row>
    <row r="2990" spans="1:2" x14ac:dyDescent="0.3">
      <c r="A2990" t="s">
        <v>114</v>
      </c>
      <c r="B2990" t="s">
        <v>158</v>
      </c>
    </row>
    <row r="2991" spans="1:2" x14ac:dyDescent="0.3">
      <c r="A2991" t="s">
        <v>114</v>
      </c>
      <c r="B2991" t="s">
        <v>158</v>
      </c>
    </row>
    <row r="2992" spans="1:2" x14ac:dyDescent="0.3">
      <c r="A2992" t="s">
        <v>114</v>
      </c>
      <c r="B2992" t="s">
        <v>158</v>
      </c>
    </row>
    <row r="2993" spans="1:2" x14ac:dyDescent="0.3">
      <c r="A2993" t="s">
        <v>114</v>
      </c>
      <c r="B2993" t="s">
        <v>158</v>
      </c>
    </row>
    <row r="2994" spans="1:2" x14ac:dyDescent="0.3">
      <c r="A2994" t="s">
        <v>114</v>
      </c>
      <c r="B2994" t="s">
        <v>158</v>
      </c>
    </row>
    <row r="2995" spans="1:2" x14ac:dyDescent="0.3">
      <c r="A2995" t="s">
        <v>114</v>
      </c>
      <c r="B2995" t="s">
        <v>158</v>
      </c>
    </row>
    <row r="2996" spans="1:2" x14ac:dyDescent="0.3">
      <c r="A2996" t="s">
        <v>114</v>
      </c>
      <c r="B2996" t="s">
        <v>158</v>
      </c>
    </row>
    <row r="2997" spans="1:2" x14ac:dyDescent="0.3">
      <c r="A2997" t="s">
        <v>114</v>
      </c>
      <c r="B2997" t="s">
        <v>158</v>
      </c>
    </row>
    <row r="2998" spans="1:2" x14ac:dyDescent="0.3">
      <c r="A2998" t="s">
        <v>114</v>
      </c>
      <c r="B2998" t="s">
        <v>159</v>
      </c>
    </row>
    <row r="2999" spans="1:2" x14ac:dyDescent="0.3">
      <c r="A2999" t="s">
        <v>114</v>
      </c>
      <c r="B2999" t="s">
        <v>158</v>
      </c>
    </row>
    <row r="3000" spans="1:2" x14ac:dyDescent="0.3">
      <c r="A3000" t="s">
        <v>114</v>
      </c>
      <c r="B3000" t="s">
        <v>158</v>
      </c>
    </row>
    <row r="3001" spans="1:2" x14ac:dyDescent="0.3">
      <c r="A3001" t="s">
        <v>114</v>
      </c>
      <c r="B3001" t="s">
        <v>159</v>
      </c>
    </row>
    <row r="3002" spans="1:2" x14ac:dyDescent="0.3">
      <c r="A3002" t="s">
        <v>114</v>
      </c>
      <c r="B3002" t="s">
        <v>158</v>
      </c>
    </row>
    <row r="3003" spans="1:2" x14ac:dyDescent="0.3">
      <c r="A3003" t="s">
        <v>114</v>
      </c>
      <c r="B3003" t="s">
        <v>158</v>
      </c>
    </row>
    <row r="3004" spans="1:2" x14ac:dyDescent="0.3">
      <c r="A3004" t="s">
        <v>114</v>
      </c>
      <c r="B3004" t="s">
        <v>158</v>
      </c>
    </row>
    <row r="3005" spans="1:2" x14ac:dyDescent="0.3">
      <c r="A3005" t="s">
        <v>114</v>
      </c>
      <c r="B3005" t="s">
        <v>159</v>
      </c>
    </row>
    <row r="3006" spans="1:2" x14ac:dyDescent="0.3">
      <c r="A3006" t="s">
        <v>114</v>
      </c>
      <c r="B3006" t="s">
        <v>158</v>
      </c>
    </row>
    <row r="3007" spans="1:2" x14ac:dyDescent="0.3">
      <c r="A3007" t="s">
        <v>114</v>
      </c>
      <c r="B3007" t="s">
        <v>158</v>
      </c>
    </row>
    <row r="3008" spans="1:2" x14ac:dyDescent="0.3">
      <c r="A3008" t="s">
        <v>114</v>
      </c>
      <c r="B3008" t="s">
        <v>158</v>
      </c>
    </row>
    <row r="3009" spans="1:2" x14ac:dyDescent="0.3">
      <c r="A3009" t="s">
        <v>114</v>
      </c>
      <c r="B3009" t="s">
        <v>159</v>
      </c>
    </row>
    <row r="3010" spans="1:2" x14ac:dyDescent="0.3">
      <c r="A3010" t="s">
        <v>114</v>
      </c>
      <c r="B3010" t="s">
        <v>159</v>
      </c>
    </row>
    <row r="3011" spans="1:2" x14ac:dyDescent="0.3">
      <c r="A3011" t="s">
        <v>114</v>
      </c>
      <c r="B3011" t="s">
        <v>159</v>
      </c>
    </row>
    <row r="3012" spans="1:2" x14ac:dyDescent="0.3">
      <c r="A3012" t="s">
        <v>114</v>
      </c>
      <c r="B3012" t="s">
        <v>159</v>
      </c>
    </row>
    <row r="3013" spans="1:2" x14ac:dyDescent="0.3">
      <c r="A3013" t="s">
        <v>114</v>
      </c>
      <c r="B3013" t="s">
        <v>158</v>
      </c>
    </row>
    <row r="3014" spans="1:2" x14ac:dyDescent="0.3">
      <c r="A3014" t="s">
        <v>114</v>
      </c>
      <c r="B3014" t="s">
        <v>158</v>
      </c>
    </row>
    <row r="3015" spans="1:2" x14ac:dyDescent="0.3">
      <c r="A3015" t="s">
        <v>114</v>
      </c>
      <c r="B3015" t="s">
        <v>158</v>
      </c>
    </row>
    <row r="3016" spans="1:2" x14ac:dyDescent="0.3">
      <c r="A3016" t="s">
        <v>114</v>
      </c>
      <c r="B3016" t="s">
        <v>159</v>
      </c>
    </row>
    <row r="3017" spans="1:2" x14ac:dyDescent="0.3">
      <c r="A3017" t="s">
        <v>114</v>
      </c>
      <c r="B3017" t="s">
        <v>159</v>
      </c>
    </row>
    <row r="3018" spans="1:2" x14ac:dyDescent="0.3">
      <c r="A3018" t="s">
        <v>114</v>
      </c>
      <c r="B3018" t="s">
        <v>159</v>
      </c>
    </row>
    <row r="3019" spans="1:2" x14ac:dyDescent="0.3">
      <c r="A3019" t="s">
        <v>114</v>
      </c>
      <c r="B3019" t="s">
        <v>159</v>
      </c>
    </row>
    <row r="3020" spans="1:2" x14ac:dyDescent="0.3">
      <c r="A3020" t="s">
        <v>114</v>
      </c>
      <c r="B3020" t="s">
        <v>158</v>
      </c>
    </row>
    <row r="3021" spans="1:2" x14ac:dyDescent="0.3">
      <c r="A3021" t="s">
        <v>114</v>
      </c>
      <c r="B3021" t="s">
        <v>158</v>
      </c>
    </row>
    <row r="3022" spans="1:2" x14ac:dyDescent="0.3">
      <c r="A3022" t="s">
        <v>114</v>
      </c>
      <c r="B3022" t="s">
        <v>158</v>
      </c>
    </row>
    <row r="3023" spans="1:2" x14ac:dyDescent="0.3">
      <c r="A3023" t="s">
        <v>114</v>
      </c>
      <c r="B3023" t="s">
        <v>158</v>
      </c>
    </row>
    <row r="3024" spans="1:2" x14ac:dyDescent="0.3">
      <c r="A3024" t="s">
        <v>114</v>
      </c>
      <c r="B3024" t="s">
        <v>158</v>
      </c>
    </row>
    <row r="3025" spans="1:2" x14ac:dyDescent="0.3">
      <c r="A3025" t="s">
        <v>114</v>
      </c>
      <c r="B3025" t="s">
        <v>158</v>
      </c>
    </row>
    <row r="3026" spans="1:2" x14ac:dyDescent="0.3">
      <c r="A3026" t="s">
        <v>114</v>
      </c>
      <c r="B3026" t="s">
        <v>158</v>
      </c>
    </row>
    <row r="3027" spans="1:2" x14ac:dyDescent="0.3">
      <c r="A3027" t="s">
        <v>114</v>
      </c>
      <c r="B3027" t="s">
        <v>158</v>
      </c>
    </row>
    <row r="3028" spans="1:2" x14ac:dyDescent="0.3">
      <c r="A3028" t="s">
        <v>114</v>
      </c>
      <c r="B3028" t="s">
        <v>158</v>
      </c>
    </row>
    <row r="3029" spans="1:2" x14ac:dyDescent="0.3">
      <c r="A3029" t="s">
        <v>114</v>
      </c>
      <c r="B3029" t="s">
        <v>158</v>
      </c>
    </row>
    <row r="3030" spans="1:2" x14ac:dyDescent="0.3">
      <c r="A3030" t="s">
        <v>114</v>
      </c>
      <c r="B3030" t="s">
        <v>158</v>
      </c>
    </row>
    <row r="3031" spans="1:2" x14ac:dyDescent="0.3">
      <c r="A3031" t="s">
        <v>114</v>
      </c>
      <c r="B3031" t="s">
        <v>158</v>
      </c>
    </row>
    <row r="3032" spans="1:2" x14ac:dyDescent="0.3">
      <c r="A3032" t="s">
        <v>114</v>
      </c>
      <c r="B3032" t="s">
        <v>158</v>
      </c>
    </row>
    <row r="3033" spans="1:2" x14ac:dyDescent="0.3">
      <c r="A3033" t="s">
        <v>114</v>
      </c>
      <c r="B3033" t="s">
        <v>158</v>
      </c>
    </row>
    <row r="3034" spans="1:2" x14ac:dyDescent="0.3">
      <c r="A3034" t="s">
        <v>114</v>
      </c>
      <c r="B3034" t="s">
        <v>158</v>
      </c>
    </row>
    <row r="3035" spans="1:2" x14ac:dyDescent="0.3">
      <c r="A3035" t="s">
        <v>114</v>
      </c>
      <c r="B3035" t="s">
        <v>158</v>
      </c>
    </row>
    <row r="3036" spans="1:2" x14ac:dyDescent="0.3">
      <c r="A3036" t="s">
        <v>114</v>
      </c>
      <c r="B3036" t="s">
        <v>159</v>
      </c>
    </row>
    <row r="3037" spans="1:2" x14ac:dyDescent="0.3">
      <c r="A3037" t="s">
        <v>114</v>
      </c>
      <c r="B3037" t="s">
        <v>158</v>
      </c>
    </row>
    <row r="3038" spans="1:2" x14ac:dyDescent="0.3">
      <c r="A3038" t="s">
        <v>114</v>
      </c>
      <c r="B3038" t="s">
        <v>158</v>
      </c>
    </row>
    <row r="3039" spans="1:2" x14ac:dyDescent="0.3">
      <c r="A3039" t="s">
        <v>114</v>
      </c>
      <c r="B3039" t="s">
        <v>158</v>
      </c>
    </row>
    <row r="3040" spans="1:2" x14ac:dyDescent="0.3">
      <c r="A3040" t="s">
        <v>114</v>
      </c>
      <c r="B3040" t="s">
        <v>158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D537-EDC4-4993-B11F-CE873764AA34}">
  <dimension ref="A1:N18"/>
  <sheetViews>
    <sheetView workbookViewId="0">
      <selection activeCell="L18" sqref="L18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25.44140625" customWidth="1"/>
    <col min="4" max="4" width="20.44140625" customWidth="1"/>
    <col min="5" max="5" width="10.88671875" customWidth="1"/>
    <col min="6" max="6" width="12.33203125" customWidth="1"/>
    <col min="7" max="7" width="12.109375" customWidth="1"/>
    <col min="8" max="8" width="13.109375" customWidth="1"/>
    <col min="10" max="10" width="10.88671875" customWidth="1"/>
    <col min="11" max="11" width="11.5546875" customWidth="1"/>
    <col min="12" max="12" width="11.88671875" customWidth="1"/>
    <col min="13" max="13" width="11" customWidth="1"/>
  </cols>
  <sheetData>
    <row r="1" spans="1:14" x14ac:dyDescent="0.3">
      <c r="A1" s="21" t="s">
        <v>0</v>
      </c>
      <c r="B1" s="21" t="s">
        <v>1</v>
      </c>
      <c r="C1" s="19" t="s">
        <v>2</v>
      </c>
      <c r="D1" s="21" t="s">
        <v>4</v>
      </c>
      <c r="E1" s="22" t="s">
        <v>5</v>
      </c>
      <c r="F1" s="22" t="s">
        <v>6</v>
      </c>
      <c r="G1" s="22" t="s">
        <v>7</v>
      </c>
      <c r="H1" s="22" t="s">
        <v>121</v>
      </c>
      <c r="I1" s="23" t="s">
        <v>123</v>
      </c>
      <c r="J1" s="23" t="s">
        <v>161</v>
      </c>
      <c r="K1" s="23" t="s">
        <v>162</v>
      </c>
      <c r="L1" s="23" t="s">
        <v>163</v>
      </c>
      <c r="M1" s="23" t="s">
        <v>168</v>
      </c>
      <c r="N1" s="23" t="s">
        <v>171</v>
      </c>
    </row>
    <row r="2" spans="1:14" x14ac:dyDescent="0.3">
      <c r="A2" s="24" t="s">
        <v>8</v>
      </c>
      <c r="B2" s="24" t="s">
        <v>9</v>
      </c>
      <c r="C2" s="24" t="s">
        <v>86</v>
      </c>
      <c r="D2" s="24" t="s">
        <v>15</v>
      </c>
      <c r="E2" s="25">
        <v>61</v>
      </c>
      <c r="F2" s="25">
        <v>86</v>
      </c>
      <c r="G2" s="25">
        <v>87</v>
      </c>
      <c r="H2" s="25">
        <v>78</v>
      </c>
      <c r="I2" s="26" t="s">
        <v>159</v>
      </c>
      <c r="J2" s="25" t="s">
        <v>159</v>
      </c>
      <c r="K2" s="25" t="s">
        <v>159</v>
      </c>
      <c r="L2" s="25" t="s">
        <v>159</v>
      </c>
      <c r="M2" s="25">
        <v>234</v>
      </c>
      <c r="N2" s="25" t="s">
        <v>173</v>
      </c>
    </row>
    <row r="3" spans="1:14" x14ac:dyDescent="0.3">
      <c r="A3" s="27" t="s">
        <v>8</v>
      </c>
      <c r="B3" s="27" t="s">
        <v>18</v>
      </c>
      <c r="C3" s="27" t="s">
        <v>88</v>
      </c>
      <c r="D3" s="27" t="s">
        <v>15</v>
      </c>
      <c r="E3" s="28">
        <v>59</v>
      </c>
      <c r="F3" s="28">
        <v>85</v>
      </c>
      <c r="G3" s="28">
        <v>80</v>
      </c>
      <c r="H3" s="28">
        <v>74.666666666666671</v>
      </c>
      <c r="I3" s="29" t="s">
        <v>159</v>
      </c>
      <c r="J3" s="28" t="s">
        <v>159</v>
      </c>
      <c r="K3" s="28" t="s">
        <v>159</v>
      </c>
      <c r="L3" s="28" t="s">
        <v>159</v>
      </c>
      <c r="M3" s="28">
        <v>224</v>
      </c>
      <c r="N3" s="28" t="s">
        <v>173</v>
      </c>
    </row>
    <row r="4" spans="1:14" x14ac:dyDescent="0.3">
      <c r="A4" s="24" t="s">
        <v>8</v>
      </c>
      <c r="B4" s="24" t="s">
        <v>13</v>
      </c>
      <c r="C4" s="24" t="s">
        <v>84</v>
      </c>
      <c r="D4" s="24" t="s">
        <v>15</v>
      </c>
      <c r="E4" s="25">
        <v>45</v>
      </c>
      <c r="F4" s="25">
        <v>73</v>
      </c>
      <c r="G4" s="25">
        <v>70</v>
      </c>
      <c r="H4" s="25">
        <v>62.666666666666664</v>
      </c>
      <c r="I4" s="26" t="s">
        <v>159</v>
      </c>
      <c r="J4" s="25" t="s">
        <v>158</v>
      </c>
      <c r="K4" s="25" t="s">
        <v>159</v>
      </c>
      <c r="L4" s="25" t="s">
        <v>159</v>
      </c>
      <c r="M4" s="25">
        <v>188</v>
      </c>
      <c r="N4" s="25" t="s">
        <v>173</v>
      </c>
    </row>
    <row r="5" spans="1:14" x14ac:dyDescent="0.3">
      <c r="A5" s="27" t="s">
        <v>8</v>
      </c>
      <c r="B5" s="27" t="s">
        <v>13</v>
      </c>
      <c r="C5" s="27" t="s">
        <v>87</v>
      </c>
      <c r="D5" s="27" t="s">
        <v>12</v>
      </c>
      <c r="E5" s="28">
        <v>35</v>
      </c>
      <c r="F5" s="28">
        <v>61</v>
      </c>
      <c r="G5" s="28">
        <v>54</v>
      </c>
      <c r="H5" s="28">
        <v>50</v>
      </c>
      <c r="I5" s="29" t="s">
        <v>159</v>
      </c>
      <c r="J5" s="28" t="s">
        <v>158</v>
      </c>
      <c r="K5" s="28" t="s">
        <v>159</v>
      </c>
      <c r="L5" s="28" t="s">
        <v>159</v>
      </c>
      <c r="M5" s="28">
        <v>150</v>
      </c>
      <c r="N5" s="28" t="s">
        <v>173</v>
      </c>
    </row>
    <row r="6" spans="1:14" x14ac:dyDescent="0.3">
      <c r="A6" s="30" t="s">
        <v>8</v>
      </c>
      <c r="B6" s="30" t="s">
        <v>13</v>
      </c>
      <c r="C6" s="30" t="s">
        <v>84</v>
      </c>
      <c r="D6" s="30" t="s">
        <v>15</v>
      </c>
      <c r="E6" s="31">
        <v>42</v>
      </c>
      <c r="F6" s="31" t="s">
        <v>90</v>
      </c>
      <c r="G6" s="31">
        <v>69</v>
      </c>
      <c r="H6" s="31">
        <v>55.5</v>
      </c>
      <c r="I6" s="32" t="s">
        <v>159</v>
      </c>
      <c r="J6" s="31" t="s">
        <v>158</v>
      </c>
      <c r="K6" s="31" t="s">
        <v>159</v>
      </c>
      <c r="L6" s="31" t="s">
        <v>159</v>
      </c>
      <c r="M6" s="31">
        <v>111</v>
      </c>
      <c r="N6" s="31" t="s">
        <v>173</v>
      </c>
    </row>
    <row r="15" spans="1:14" x14ac:dyDescent="0.3">
      <c r="A15" s="7" t="s">
        <v>109</v>
      </c>
      <c r="B15" t="s">
        <v>174</v>
      </c>
    </row>
    <row r="16" spans="1:14" x14ac:dyDescent="0.3">
      <c r="A16" s="8" t="s">
        <v>172</v>
      </c>
      <c r="B16" s="14">
        <v>0.99506416584402768</v>
      </c>
    </row>
    <row r="17" spans="1:2" x14ac:dyDescent="0.3">
      <c r="A17" s="8" t="s">
        <v>173</v>
      </c>
      <c r="B17" s="14">
        <v>4.9358341559723592E-3</v>
      </c>
    </row>
    <row r="18" spans="1:2" x14ac:dyDescent="0.3">
      <c r="A18" s="8" t="s">
        <v>110</v>
      </c>
      <c r="B18" s="14">
        <v>1</v>
      </c>
    </row>
  </sheetData>
  <pageMargins left="0.7" right="0.7" top="0.75" bottom="0.75" header="0.3" footer="0.3"/>
  <pageSetup paperSize="9" orientation="portrait" horizontalDpi="0" verticalDpi="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E3532-F08A-4B70-A19E-E0E2D464B4C7}">
  <dimension ref="A1:I52"/>
  <sheetViews>
    <sheetView workbookViewId="0">
      <selection activeCell="H66" sqref="H66"/>
    </sheetView>
  </sheetViews>
  <sheetFormatPr defaultRowHeight="14.4" x14ac:dyDescent="0.3"/>
  <cols>
    <col min="1" max="1" width="12.5546875" bestFit="1" customWidth="1"/>
    <col min="2" max="2" width="16.44140625" bestFit="1" customWidth="1"/>
    <col min="3" max="3" width="25.5546875" customWidth="1"/>
    <col min="4" max="4" width="23.109375" customWidth="1"/>
    <col min="5" max="5" width="14.109375" customWidth="1"/>
    <col min="6" max="6" width="14.44140625" customWidth="1"/>
    <col min="7" max="7" width="14" customWidth="1"/>
    <col min="8" max="8" width="14.5546875" customWidth="1"/>
    <col min="9" max="9" width="12.109375" customWidth="1"/>
  </cols>
  <sheetData>
    <row r="1" spans="1:9" x14ac:dyDescent="0.3">
      <c r="A1" s="3" t="s">
        <v>0</v>
      </c>
      <c r="B1" s="3" t="s">
        <v>1</v>
      </c>
      <c r="C1" s="16" t="s">
        <v>2</v>
      </c>
      <c r="D1" s="3" t="s">
        <v>4</v>
      </c>
      <c r="E1" s="17" t="s">
        <v>5</v>
      </c>
      <c r="F1" s="17" t="s">
        <v>6</v>
      </c>
      <c r="G1" s="17" t="s">
        <v>7</v>
      </c>
      <c r="H1" s="17" t="s">
        <v>121</v>
      </c>
      <c r="I1" s="18" t="s">
        <v>168</v>
      </c>
    </row>
    <row r="2" spans="1:9" x14ac:dyDescent="0.3">
      <c r="A2" s="2" t="s">
        <v>8</v>
      </c>
      <c r="B2" s="2" t="s">
        <v>26</v>
      </c>
      <c r="C2" s="2" t="s">
        <v>83</v>
      </c>
      <c r="D2" s="2" t="s">
        <v>12</v>
      </c>
      <c r="E2" s="15">
        <v>100</v>
      </c>
      <c r="F2" s="15">
        <v>100</v>
      </c>
      <c r="G2" s="15">
        <v>100</v>
      </c>
      <c r="H2" s="15">
        <f>AVERAGE(Student­­Performance[[#This Row],[Math Score]],Student­­Performance[[#This Row],[Reading Score]],Student­­Performance[[#This Row],[Writing Score]])</f>
        <v>100</v>
      </c>
      <c r="I2" s="15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300</v>
      </c>
    </row>
    <row r="3" spans="1:9" x14ac:dyDescent="0.3">
      <c r="A3" s="1" t="s">
        <v>17</v>
      </c>
      <c r="B3" s="1" t="s">
        <v>26</v>
      </c>
      <c r="C3" s="1" t="s">
        <v>83</v>
      </c>
      <c r="D3" s="1" t="s">
        <v>15</v>
      </c>
      <c r="E3" s="4">
        <v>100</v>
      </c>
      <c r="F3" s="4">
        <v>100</v>
      </c>
      <c r="G3" s="4">
        <v>100</v>
      </c>
      <c r="H3" s="4">
        <f>AVERAGE(Student­­Performance[[#This Row],[Math Score]],Student­­Performance[[#This Row],[Reading Score]],Student­­Performance[[#This Row],[Writing Score]])</f>
        <v>100</v>
      </c>
      <c r="I3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300</v>
      </c>
    </row>
    <row r="4" spans="1:9" x14ac:dyDescent="0.3">
      <c r="A4" s="2" t="s">
        <v>8</v>
      </c>
      <c r="B4" s="2" t="s">
        <v>26</v>
      </c>
      <c r="C4" s="2" t="s">
        <v>86</v>
      </c>
      <c r="D4" s="2" t="s">
        <v>12</v>
      </c>
      <c r="E4" s="15">
        <v>100</v>
      </c>
      <c r="F4" s="15">
        <v>100</v>
      </c>
      <c r="G4" s="15">
        <v>100</v>
      </c>
      <c r="H4" s="15">
        <f>AVERAGE(Student­­Performance[[#This Row],[Math Score]],Student­­Performance[[#This Row],[Reading Score]],Student­­Performance[[#This Row],[Writing Score]])</f>
        <v>100</v>
      </c>
      <c r="I4" s="15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300</v>
      </c>
    </row>
    <row r="5" spans="1:9" x14ac:dyDescent="0.3">
      <c r="A5" s="1" t="s">
        <v>8</v>
      </c>
      <c r="B5" s="1" t="s">
        <v>26</v>
      </c>
      <c r="C5" s="1" t="s">
        <v>83</v>
      </c>
      <c r="D5" s="1" t="s">
        <v>15</v>
      </c>
      <c r="E5" s="4">
        <v>99</v>
      </c>
      <c r="F5" s="4">
        <v>100</v>
      </c>
      <c r="G5" s="4">
        <v>100</v>
      </c>
      <c r="H5" s="4">
        <f>AVERAGE(Student­­Performance[[#This Row],[Math Score]],Student­­Performance[[#This Row],[Reading Score]],Student­­Performance[[#This Row],[Writing Score]])</f>
        <v>99.666666666666671</v>
      </c>
      <c r="I5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299</v>
      </c>
    </row>
    <row r="6" spans="1:9" x14ac:dyDescent="0.3">
      <c r="A6" s="2" t="s">
        <v>8</v>
      </c>
      <c r="B6" s="2" t="s">
        <v>21</v>
      </c>
      <c r="C6" s="2" t="s">
        <v>88</v>
      </c>
      <c r="D6" s="2" t="s">
        <v>15</v>
      </c>
      <c r="E6" s="15">
        <v>97</v>
      </c>
      <c r="F6" s="15">
        <v>100</v>
      </c>
      <c r="G6" s="15">
        <v>100</v>
      </c>
      <c r="H6" s="15">
        <f>AVERAGE(Student­­Performance[[#This Row],[Math Score]],Student­­Performance[[#This Row],[Reading Score]],Student­­Performance[[#This Row],[Writing Score]])</f>
        <v>99</v>
      </c>
      <c r="I6" s="15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297</v>
      </c>
    </row>
    <row r="7" spans="1:9" x14ac:dyDescent="0.3">
      <c r="A7" s="1" t="s">
        <v>8</v>
      </c>
      <c r="B7" s="1" t="s">
        <v>21</v>
      </c>
      <c r="C7" s="1" t="s">
        <v>84</v>
      </c>
      <c r="D7" s="1" t="s">
        <v>12</v>
      </c>
      <c r="E7" s="4">
        <v>98</v>
      </c>
      <c r="F7" s="4">
        <v>100</v>
      </c>
      <c r="G7" s="4">
        <v>99</v>
      </c>
      <c r="H7" s="4">
        <f>AVERAGE(Student­­Performance[[#This Row],[Math Score]],Student­­Performance[[#This Row],[Reading Score]],Student­­Performance[[#This Row],[Writing Score]])</f>
        <v>99</v>
      </c>
      <c r="I7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297</v>
      </c>
    </row>
    <row r="8" spans="1:9" x14ac:dyDescent="0.3">
      <c r="A8" s="2" t="s">
        <v>8</v>
      </c>
      <c r="B8" s="2" t="s">
        <v>13</v>
      </c>
      <c r="C8" s="2" t="s">
        <v>83</v>
      </c>
      <c r="D8" s="2" t="s">
        <v>15</v>
      </c>
      <c r="E8" s="15">
        <v>96</v>
      </c>
      <c r="F8" s="15">
        <v>100</v>
      </c>
      <c r="G8" s="15">
        <v>100</v>
      </c>
      <c r="H8" s="15">
        <f>AVERAGE(Student­­Performance[[#This Row],[Math Score]],Student­­Performance[[#This Row],[Reading Score]],Student­­Performance[[#This Row],[Writing Score]])</f>
        <v>98.666666666666671</v>
      </c>
      <c r="I8" s="15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296</v>
      </c>
    </row>
    <row r="9" spans="1:9" x14ac:dyDescent="0.3">
      <c r="A9" s="1" t="s">
        <v>17</v>
      </c>
      <c r="B9" s="1" t="s">
        <v>21</v>
      </c>
      <c r="C9" s="1" t="s">
        <v>84</v>
      </c>
      <c r="D9" s="1" t="s">
        <v>15</v>
      </c>
      <c r="E9" s="4">
        <v>100</v>
      </c>
      <c r="F9" s="4">
        <v>97</v>
      </c>
      <c r="G9" s="4">
        <v>99</v>
      </c>
      <c r="H9" s="4">
        <f>AVERAGE(Student­­Performance[[#This Row],[Math Score]],Student­­Performance[[#This Row],[Reading Score]],Student­­Performance[[#This Row],[Writing Score]])</f>
        <v>98.666666666666671</v>
      </c>
      <c r="I9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296</v>
      </c>
    </row>
    <row r="10" spans="1:9" x14ac:dyDescent="0.3">
      <c r="A10" s="2" t="s">
        <v>17</v>
      </c>
      <c r="B10" s="2" t="s">
        <v>26</v>
      </c>
      <c r="C10" s="2" t="s">
        <v>86</v>
      </c>
      <c r="D10" s="2" t="s">
        <v>15</v>
      </c>
      <c r="E10" s="15">
        <v>100</v>
      </c>
      <c r="F10" s="15">
        <v>100</v>
      </c>
      <c r="G10" s="15">
        <v>93</v>
      </c>
      <c r="H10" s="15">
        <f>AVERAGE(Student­­Performance[[#This Row],[Math Score]],Student­­Performance[[#This Row],[Reading Score]],Student­­Performance[[#This Row],[Writing Score]])</f>
        <v>97.666666666666671</v>
      </c>
      <c r="I10" s="15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293</v>
      </c>
    </row>
    <row r="11" spans="1:9" x14ac:dyDescent="0.3">
      <c r="A11" s="1" t="s">
        <v>8</v>
      </c>
      <c r="B11" s="1" t="s">
        <v>26</v>
      </c>
      <c r="C11" s="1" t="s">
        <v>85</v>
      </c>
      <c r="D11" s="1" t="s">
        <v>15</v>
      </c>
      <c r="E11" s="4">
        <v>94</v>
      </c>
      <c r="F11" s="4">
        <v>99</v>
      </c>
      <c r="G11" s="4">
        <v>100</v>
      </c>
      <c r="H11" s="4">
        <f>AVERAGE(Student­­Performance[[#This Row],[Math Score]],Student­­Performance[[#This Row],[Reading Score]],Student­­Performance[[#This Row],[Writing Score]])</f>
        <v>97.666666666666671</v>
      </c>
      <c r="I11" s="4">
        <f>IF(ISNUMBER(Student­­Performance[[#This Row],[Math Score]]),Student­­Performance[[#This Row],[Math Score]],0)
 +IF(ISNUMBER(Student­­Performance[[#This Row],[Reading Score]]),Student­­Performance[[#This Row],[Reading Score]],0)
 +IF(ISNUMBER(Student­­Performance[[#This Row],[Writing Score]]),Student­­Performance[[#This Row],[Writing Score]],0)</f>
        <v>293</v>
      </c>
    </row>
    <row r="15" spans="1:9" x14ac:dyDescent="0.3">
      <c r="A15" s="7" t="s">
        <v>109</v>
      </c>
      <c r="B15" t="s">
        <v>169</v>
      </c>
    </row>
    <row r="16" spans="1:9" x14ac:dyDescent="0.3">
      <c r="A16" s="8" t="s">
        <v>13</v>
      </c>
      <c r="B16" s="14">
        <v>0.1</v>
      </c>
    </row>
    <row r="17" spans="1:2" x14ac:dyDescent="0.3">
      <c r="A17" s="8" t="s">
        <v>21</v>
      </c>
      <c r="B17" s="14">
        <v>0.3</v>
      </c>
    </row>
    <row r="18" spans="1:2" x14ac:dyDescent="0.3">
      <c r="A18" s="8" t="s">
        <v>26</v>
      </c>
      <c r="B18" s="14">
        <v>0.6</v>
      </c>
    </row>
    <row r="19" spans="1:2" x14ac:dyDescent="0.3">
      <c r="A19" s="8" t="s">
        <v>110</v>
      </c>
      <c r="B19" s="14">
        <v>1</v>
      </c>
    </row>
    <row r="30" spans="1:2" x14ac:dyDescent="0.3">
      <c r="A30" s="7" t="s">
        <v>109</v>
      </c>
      <c r="B30" t="s">
        <v>169</v>
      </c>
    </row>
    <row r="31" spans="1:2" x14ac:dyDescent="0.3">
      <c r="A31" s="8" t="s">
        <v>86</v>
      </c>
      <c r="B31" s="14">
        <v>0.2</v>
      </c>
    </row>
    <row r="32" spans="1:2" x14ac:dyDescent="0.3">
      <c r="A32" s="8" t="s">
        <v>83</v>
      </c>
      <c r="B32" s="14">
        <v>0.4</v>
      </c>
    </row>
    <row r="33" spans="1:2" x14ac:dyDescent="0.3">
      <c r="A33" s="8" t="s">
        <v>85</v>
      </c>
      <c r="B33" s="14">
        <v>0.1</v>
      </c>
    </row>
    <row r="34" spans="1:2" x14ac:dyDescent="0.3">
      <c r="A34" s="8" t="s">
        <v>84</v>
      </c>
      <c r="B34" s="14">
        <v>0.2</v>
      </c>
    </row>
    <row r="35" spans="1:2" x14ac:dyDescent="0.3">
      <c r="A35" s="8" t="s">
        <v>88</v>
      </c>
      <c r="B35" s="14">
        <v>0.1</v>
      </c>
    </row>
    <row r="36" spans="1:2" x14ac:dyDescent="0.3">
      <c r="A36" s="8" t="s">
        <v>110</v>
      </c>
      <c r="B36" s="14">
        <v>1</v>
      </c>
    </row>
    <row r="49" spans="1:2" x14ac:dyDescent="0.3">
      <c r="A49" s="7" t="s">
        <v>109</v>
      </c>
      <c r="B49" t="s">
        <v>169</v>
      </c>
    </row>
    <row r="50" spans="1:2" x14ac:dyDescent="0.3">
      <c r="A50" s="8" t="s">
        <v>15</v>
      </c>
      <c r="B50" s="14">
        <v>0.7</v>
      </c>
    </row>
    <row r="51" spans="1:2" x14ac:dyDescent="0.3">
      <c r="A51" s="8" t="s">
        <v>12</v>
      </c>
      <c r="B51" s="14">
        <v>0.3</v>
      </c>
    </row>
    <row r="52" spans="1:2" x14ac:dyDescent="0.3">
      <c r="A52" s="8" t="s">
        <v>110</v>
      </c>
      <c r="B52" s="14">
        <v>1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B52E4-DEB5-47C1-B75A-8DF23B91BDCD}">
  <dimension ref="A1:D50"/>
  <sheetViews>
    <sheetView topLeftCell="A34" workbookViewId="0">
      <selection activeCell="Q60" sqref="Q60"/>
    </sheetView>
  </sheetViews>
  <sheetFormatPr defaultRowHeight="14.4" x14ac:dyDescent="0.3"/>
  <cols>
    <col min="1" max="1" width="19.5546875" bestFit="1" customWidth="1"/>
    <col min="2" max="2" width="15.5546875" bestFit="1" customWidth="1"/>
    <col min="3" max="3" width="7" bestFit="1" customWidth="1"/>
    <col min="4" max="4" width="10.88671875" bestFit="1" customWidth="1"/>
  </cols>
  <sheetData>
    <row r="1" spans="1:4" x14ac:dyDescent="0.3">
      <c r="A1" s="7" t="s">
        <v>109</v>
      </c>
      <c r="B1" t="s">
        <v>160</v>
      </c>
    </row>
    <row r="2" spans="1:4" x14ac:dyDescent="0.3">
      <c r="A2" s="8" t="s">
        <v>158</v>
      </c>
      <c r="B2">
        <v>104</v>
      </c>
    </row>
    <row r="3" spans="1:4" x14ac:dyDescent="0.3">
      <c r="A3" s="8" t="s">
        <v>159</v>
      </c>
      <c r="B3">
        <v>909</v>
      </c>
    </row>
    <row r="4" spans="1:4" x14ac:dyDescent="0.3">
      <c r="A4" s="8" t="s">
        <v>110</v>
      </c>
      <c r="B4">
        <v>1013</v>
      </c>
    </row>
    <row r="15" spans="1:4" x14ac:dyDescent="0.3">
      <c r="A15" s="7" t="s">
        <v>165</v>
      </c>
      <c r="B15" s="7" t="s">
        <v>164</v>
      </c>
    </row>
    <row r="16" spans="1:4" x14ac:dyDescent="0.3">
      <c r="A16" s="7" t="s">
        <v>109</v>
      </c>
      <c r="B16" t="s">
        <v>158</v>
      </c>
      <c r="C16" t="s">
        <v>159</v>
      </c>
      <c r="D16" t="s">
        <v>110</v>
      </c>
    </row>
    <row r="17" spans="1:4" x14ac:dyDescent="0.3">
      <c r="A17" s="8" t="s">
        <v>8</v>
      </c>
      <c r="B17" s="14">
        <v>0.16443594646271512</v>
      </c>
      <c r="C17" s="14">
        <v>0.83556405353728491</v>
      </c>
      <c r="D17" s="14">
        <v>1</v>
      </c>
    </row>
    <row r="18" spans="1:4" x14ac:dyDescent="0.3">
      <c r="A18" s="8" t="s">
        <v>17</v>
      </c>
      <c r="B18" s="14">
        <v>9.7959183673469383E-2</v>
      </c>
      <c r="C18" s="14">
        <v>0.90204081632653066</v>
      </c>
      <c r="D18" s="14">
        <v>1</v>
      </c>
    </row>
    <row r="19" spans="1:4" x14ac:dyDescent="0.3">
      <c r="A19" s="8" t="s">
        <v>110</v>
      </c>
      <c r="B19" s="14">
        <v>0.13228035538005922</v>
      </c>
      <c r="C19" s="14">
        <v>0.86771964461994078</v>
      </c>
      <c r="D19" s="14">
        <v>1</v>
      </c>
    </row>
    <row r="30" spans="1:4" x14ac:dyDescent="0.3">
      <c r="A30" s="7" t="s">
        <v>166</v>
      </c>
      <c r="B30" s="7" t="s">
        <v>164</v>
      </c>
    </row>
    <row r="31" spans="1:4" x14ac:dyDescent="0.3">
      <c r="A31" s="7" t="s">
        <v>109</v>
      </c>
      <c r="B31" t="s">
        <v>158</v>
      </c>
      <c r="C31" t="s">
        <v>159</v>
      </c>
      <c r="D31" t="s">
        <v>110</v>
      </c>
    </row>
    <row r="32" spans="1:4" x14ac:dyDescent="0.3">
      <c r="A32" s="8" t="s">
        <v>8</v>
      </c>
      <c r="B32" s="14">
        <v>5.5449330783938815E-2</v>
      </c>
      <c r="C32" s="14">
        <v>0.94455066921606123</v>
      </c>
      <c r="D32" s="14">
        <v>1</v>
      </c>
    </row>
    <row r="33" spans="1:4" x14ac:dyDescent="0.3">
      <c r="A33" s="8" t="s">
        <v>17</v>
      </c>
      <c r="B33" s="14">
        <v>0.12244897959183673</v>
      </c>
      <c r="C33" s="14">
        <v>0.87755102040816324</v>
      </c>
      <c r="D33" s="14">
        <v>1</v>
      </c>
    </row>
    <row r="34" spans="1:4" x14ac:dyDescent="0.3">
      <c r="A34" s="8" t="s">
        <v>110</v>
      </c>
      <c r="B34" s="14">
        <v>8.7857847976307996E-2</v>
      </c>
      <c r="C34" s="14">
        <v>0.91214215202369198</v>
      </c>
      <c r="D34" s="14">
        <v>1</v>
      </c>
    </row>
    <row r="46" spans="1:4" x14ac:dyDescent="0.3">
      <c r="A46" s="7" t="s">
        <v>167</v>
      </c>
      <c r="B46" s="7" t="s">
        <v>164</v>
      </c>
    </row>
    <row r="47" spans="1:4" x14ac:dyDescent="0.3">
      <c r="A47" s="7" t="s">
        <v>109</v>
      </c>
      <c r="B47" t="s">
        <v>158</v>
      </c>
      <c r="C47" t="s">
        <v>159</v>
      </c>
      <c r="D47" t="s">
        <v>110</v>
      </c>
    </row>
    <row r="48" spans="1:4" x14ac:dyDescent="0.3">
      <c r="A48" s="8" t="s">
        <v>8</v>
      </c>
      <c r="B48" s="14">
        <v>6.1185468451242828E-2</v>
      </c>
      <c r="C48" s="14">
        <v>0.93881453154875716</v>
      </c>
      <c r="D48" s="14">
        <v>1</v>
      </c>
    </row>
    <row r="49" spans="1:4" x14ac:dyDescent="0.3">
      <c r="A49" s="8" t="s">
        <v>17</v>
      </c>
      <c r="B49" s="14">
        <v>0.16734693877551021</v>
      </c>
      <c r="C49" s="14">
        <v>0.83265306122448979</v>
      </c>
      <c r="D49" s="14">
        <v>1</v>
      </c>
    </row>
    <row r="50" spans="1:4" x14ac:dyDescent="0.3">
      <c r="A50" s="8" t="s">
        <v>110</v>
      </c>
      <c r="B50" s="14">
        <v>0.1125370187561698</v>
      </c>
      <c r="C50" s="14">
        <v>0.88746298124383016</v>
      </c>
      <c r="D50" s="14">
        <v>1</v>
      </c>
    </row>
  </sheetData>
  <pageMargins left="0.7" right="0.7" top="0.75" bottom="0.75" header="0.3" footer="0.3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F2F-DCEC-43A0-91F7-F26D8D9C818E}">
  <dimension ref="A1:B271"/>
  <sheetViews>
    <sheetView topLeftCell="A40" workbookViewId="0">
      <selection activeCell="N22" sqref="N22"/>
    </sheetView>
  </sheetViews>
  <sheetFormatPr defaultRowHeight="14.4" x14ac:dyDescent="0.3"/>
  <cols>
    <col min="1" max="1" width="12.5546875" style="13" bestFit="1" customWidth="1"/>
    <col min="2" max="2" width="24.44140625" style="13" customWidth="1"/>
  </cols>
  <sheetData>
    <row r="1" spans="1:2" x14ac:dyDescent="0.3">
      <c r="A1" s="11" t="s">
        <v>109</v>
      </c>
      <c r="B1" s="13" t="s">
        <v>135</v>
      </c>
    </row>
    <row r="2" spans="1:2" x14ac:dyDescent="0.3">
      <c r="A2" s="12" t="s">
        <v>136</v>
      </c>
      <c r="B2" s="13">
        <v>24</v>
      </c>
    </row>
    <row r="3" spans="1:2" x14ac:dyDescent="0.3">
      <c r="A3" s="12" t="s">
        <v>137</v>
      </c>
      <c r="B3" s="13">
        <v>2</v>
      </c>
    </row>
    <row r="4" spans="1:2" x14ac:dyDescent="0.3">
      <c r="A4" s="12" t="s">
        <v>138</v>
      </c>
      <c r="B4" s="13">
        <v>9</v>
      </c>
    </row>
    <row r="5" spans="1:2" x14ac:dyDescent="0.3">
      <c r="A5" s="12" t="s">
        <v>139</v>
      </c>
      <c r="B5" s="13">
        <v>27</v>
      </c>
    </row>
    <row r="6" spans="1:2" x14ac:dyDescent="0.3">
      <c r="A6" s="12" t="s">
        <v>140</v>
      </c>
      <c r="B6" s="13">
        <v>94</v>
      </c>
    </row>
    <row r="7" spans="1:2" x14ac:dyDescent="0.3">
      <c r="A7" s="12" t="s">
        <v>141</v>
      </c>
      <c r="B7" s="13">
        <v>184</v>
      </c>
    </row>
    <row r="8" spans="1:2" x14ac:dyDescent="0.3">
      <c r="A8" s="12" t="s">
        <v>142</v>
      </c>
      <c r="B8" s="13">
        <v>262</v>
      </c>
    </row>
    <row r="9" spans="1:2" x14ac:dyDescent="0.3">
      <c r="A9" s="12" t="s">
        <v>143</v>
      </c>
      <c r="B9" s="13">
        <v>215</v>
      </c>
    </row>
    <row r="10" spans="1:2" x14ac:dyDescent="0.3">
      <c r="A10" s="12" t="s">
        <v>144</v>
      </c>
      <c r="B10" s="13">
        <v>138</v>
      </c>
    </row>
    <row r="11" spans="1:2" x14ac:dyDescent="0.3">
      <c r="A11" s="12" t="s">
        <v>145</v>
      </c>
      <c r="B11" s="13">
        <v>58</v>
      </c>
    </row>
    <row r="12" spans="1:2" x14ac:dyDescent="0.3">
      <c r="A12" s="12" t="s">
        <v>110</v>
      </c>
      <c r="B12" s="13">
        <v>1013</v>
      </c>
    </row>
    <row r="13" spans="1:2" x14ac:dyDescent="0.3">
      <c r="A13"/>
      <c r="B13"/>
    </row>
    <row r="14" spans="1:2" x14ac:dyDescent="0.3">
      <c r="A14"/>
      <c r="B14"/>
    </row>
    <row r="15" spans="1:2" x14ac:dyDescent="0.3">
      <c r="A15"/>
      <c r="B15"/>
    </row>
    <row r="16" spans="1:2" x14ac:dyDescent="0.3">
      <c r="A16"/>
      <c r="B16"/>
    </row>
    <row r="17" spans="1:2" x14ac:dyDescent="0.3">
      <c r="A17" s="11" t="s">
        <v>109</v>
      </c>
      <c r="B17" s="13" t="s">
        <v>146</v>
      </c>
    </row>
    <row r="18" spans="1:2" x14ac:dyDescent="0.3">
      <c r="A18" s="12" t="s">
        <v>136</v>
      </c>
      <c r="B18" s="13">
        <v>22</v>
      </c>
    </row>
    <row r="19" spans="1:2" x14ac:dyDescent="0.3">
      <c r="A19" s="12" t="s">
        <v>137</v>
      </c>
      <c r="B19" s="13">
        <v>1</v>
      </c>
    </row>
    <row r="20" spans="1:2" x14ac:dyDescent="0.3">
      <c r="A20" s="12" t="s">
        <v>138</v>
      </c>
      <c r="B20" s="13">
        <v>7</v>
      </c>
    </row>
    <row r="21" spans="1:2" x14ac:dyDescent="0.3">
      <c r="A21" s="12" t="s">
        <v>139</v>
      </c>
      <c r="B21" s="13">
        <v>18</v>
      </c>
    </row>
    <row r="22" spans="1:2" x14ac:dyDescent="0.3">
      <c r="A22" s="12" t="s">
        <v>140</v>
      </c>
      <c r="B22" s="13">
        <v>63</v>
      </c>
    </row>
    <row r="23" spans="1:2" x14ac:dyDescent="0.3">
      <c r="A23" s="12" t="s">
        <v>141</v>
      </c>
      <c r="B23" s="13">
        <v>165</v>
      </c>
    </row>
    <row r="24" spans="1:2" x14ac:dyDescent="0.3">
      <c r="A24" s="12" t="s">
        <v>142</v>
      </c>
      <c r="B24" s="13">
        <v>228</v>
      </c>
    </row>
    <row r="25" spans="1:2" x14ac:dyDescent="0.3">
      <c r="A25" s="12" t="s">
        <v>143</v>
      </c>
      <c r="B25" s="13">
        <v>264</v>
      </c>
    </row>
    <row r="26" spans="1:2" x14ac:dyDescent="0.3">
      <c r="A26" s="12" t="s">
        <v>144</v>
      </c>
      <c r="B26" s="13">
        <v>166</v>
      </c>
    </row>
    <row r="27" spans="1:2" x14ac:dyDescent="0.3">
      <c r="A27" s="12" t="s">
        <v>145</v>
      </c>
      <c r="B27" s="13">
        <v>79</v>
      </c>
    </row>
    <row r="28" spans="1:2" x14ac:dyDescent="0.3">
      <c r="A28" s="12" t="s">
        <v>110</v>
      </c>
      <c r="B28" s="13">
        <v>1013</v>
      </c>
    </row>
    <row r="29" spans="1:2" x14ac:dyDescent="0.3">
      <c r="A29"/>
      <c r="B29"/>
    </row>
    <row r="30" spans="1:2" x14ac:dyDescent="0.3">
      <c r="A30"/>
      <c r="B30"/>
    </row>
    <row r="31" spans="1:2" x14ac:dyDescent="0.3">
      <c r="A31"/>
      <c r="B31"/>
    </row>
    <row r="32" spans="1:2" x14ac:dyDescent="0.3">
      <c r="A32"/>
      <c r="B32"/>
    </row>
    <row r="33" spans="1:2" x14ac:dyDescent="0.3">
      <c r="A33" s="11" t="s">
        <v>109</v>
      </c>
      <c r="B33" s="13" t="s">
        <v>147</v>
      </c>
    </row>
    <row r="34" spans="1:2" x14ac:dyDescent="0.3">
      <c r="A34" s="12" t="s">
        <v>136</v>
      </c>
      <c r="B34" s="13">
        <v>22</v>
      </c>
    </row>
    <row r="35" spans="1:2" x14ac:dyDescent="0.3">
      <c r="A35" s="12" t="s">
        <v>137</v>
      </c>
      <c r="B35" s="13">
        <v>3</v>
      </c>
    </row>
    <row r="36" spans="1:2" x14ac:dyDescent="0.3">
      <c r="A36" s="12" t="s">
        <v>138</v>
      </c>
      <c r="B36" s="13">
        <v>6</v>
      </c>
    </row>
    <row r="37" spans="1:2" x14ac:dyDescent="0.3">
      <c r="A37" s="12" t="s">
        <v>139</v>
      </c>
      <c r="B37" s="13">
        <v>23</v>
      </c>
    </row>
    <row r="38" spans="1:2" x14ac:dyDescent="0.3">
      <c r="A38" s="12" t="s">
        <v>140</v>
      </c>
      <c r="B38" s="13">
        <v>82</v>
      </c>
    </row>
    <row r="39" spans="1:2" x14ac:dyDescent="0.3">
      <c r="A39" s="12" t="s">
        <v>141</v>
      </c>
      <c r="B39" s="13">
        <v>167</v>
      </c>
    </row>
    <row r="40" spans="1:2" x14ac:dyDescent="0.3">
      <c r="A40" s="12" t="s">
        <v>142</v>
      </c>
      <c r="B40" s="13">
        <v>228</v>
      </c>
    </row>
    <row r="41" spans="1:2" x14ac:dyDescent="0.3">
      <c r="A41" s="12" t="s">
        <v>143</v>
      </c>
      <c r="B41" s="13">
        <v>251</v>
      </c>
    </row>
    <row r="42" spans="1:2" x14ac:dyDescent="0.3">
      <c r="A42" s="12" t="s">
        <v>144</v>
      </c>
      <c r="B42" s="13">
        <v>153</v>
      </c>
    </row>
    <row r="43" spans="1:2" x14ac:dyDescent="0.3">
      <c r="A43" s="12" t="s">
        <v>145</v>
      </c>
      <c r="B43" s="13">
        <v>78</v>
      </c>
    </row>
    <row r="44" spans="1:2" x14ac:dyDescent="0.3">
      <c r="A44" s="12" t="s">
        <v>110</v>
      </c>
      <c r="B44" s="13">
        <v>1013</v>
      </c>
    </row>
    <row r="45" spans="1:2" x14ac:dyDescent="0.3">
      <c r="A45"/>
      <c r="B45"/>
    </row>
    <row r="46" spans="1:2" x14ac:dyDescent="0.3">
      <c r="A46"/>
      <c r="B46"/>
    </row>
    <row r="47" spans="1:2" x14ac:dyDescent="0.3">
      <c r="A47"/>
      <c r="B47"/>
    </row>
    <row r="48" spans="1:2" x14ac:dyDescent="0.3">
      <c r="A48"/>
      <c r="B48"/>
    </row>
    <row r="49" spans="1:2" x14ac:dyDescent="0.3">
      <c r="A49" s="11" t="s">
        <v>109</v>
      </c>
      <c r="B49" s="13" t="s">
        <v>148</v>
      </c>
    </row>
    <row r="50" spans="1:2" x14ac:dyDescent="0.3">
      <c r="A50" s="12" t="s">
        <v>149</v>
      </c>
      <c r="B50" s="13">
        <v>1</v>
      </c>
    </row>
    <row r="51" spans="1:2" x14ac:dyDescent="0.3">
      <c r="A51" s="12" t="s">
        <v>150</v>
      </c>
      <c r="B51" s="13">
        <v>1</v>
      </c>
    </row>
    <row r="52" spans="1:2" x14ac:dyDescent="0.3">
      <c r="A52" s="12" t="s">
        <v>151</v>
      </c>
      <c r="B52" s="13">
        <v>7</v>
      </c>
    </row>
    <row r="53" spans="1:2" x14ac:dyDescent="0.3">
      <c r="A53" s="12" t="s">
        <v>152</v>
      </c>
      <c r="B53" s="13">
        <v>22</v>
      </c>
    </row>
    <row r="54" spans="1:2" x14ac:dyDescent="0.3">
      <c r="A54" s="12" t="s">
        <v>153</v>
      </c>
      <c r="B54" s="13">
        <v>73</v>
      </c>
    </row>
    <row r="55" spans="1:2" x14ac:dyDescent="0.3">
      <c r="A55" s="12" t="s">
        <v>154</v>
      </c>
      <c r="B55" s="13">
        <v>185</v>
      </c>
    </row>
    <row r="56" spans="1:2" x14ac:dyDescent="0.3">
      <c r="A56" s="12" t="s">
        <v>155</v>
      </c>
      <c r="B56" s="13">
        <v>254</v>
      </c>
    </row>
    <row r="57" spans="1:2" x14ac:dyDescent="0.3">
      <c r="A57" s="12" t="s">
        <v>156</v>
      </c>
      <c r="B57" s="13">
        <v>269</v>
      </c>
    </row>
    <row r="58" spans="1:2" x14ac:dyDescent="0.3">
      <c r="A58" s="12" t="s">
        <v>157</v>
      </c>
      <c r="B58" s="13">
        <v>148</v>
      </c>
    </row>
    <row r="59" spans="1:2" x14ac:dyDescent="0.3">
      <c r="A59" s="12" t="s">
        <v>145</v>
      </c>
      <c r="B59" s="13">
        <v>53</v>
      </c>
    </row>
    <row r="60" spans="1:2" x14ac:dyDescent="0.3">
      <c r="A60" s="12" t="s">
        <v>110</v>
      </c>
      <c r="B60" s="13">
        <v>1013</v>
      </c>
    </row>
    <row r="61" spans="1:2" x14ac:dyDescent="0.3">
      <c r="A61"/>
      <c r="B61"/>
    </row>
    <row r="62" spans="1:2" x14ac:dyDescent="0.3">
      <c r="A62"/>
      <c r="B62"/>
    </row>
    <row r="63" spans="1:2" x14ac:dyDescent="0.3">
      <c r="A63"/>
      <c r="B63"/>
    </row>
    <row r="64" spans="1:2" x14ac:dyDescent="0.3">
      <c r="A64"/>
      <c r="B64"/>
    </row>
    <row r="65" spans="1:2" x14ac:dyDescent="0.3">
      <c r="A65"/>
      <c r="B65"/>
    </row>
    <row r="66" spans="1:2" x14ac:dyDescent="0.3">
      <c r="A66"/>
      <c r="B66"/>
    </row>
    <row r="67" spans="1:2" x14ac:dyDescent="0.3">
      <c r="A67"/>
      <c r="B67"/>
    </row>
    <row r="68" spans="1:2" x14ac:dyDescent="0.3">
      <c r="A68"/>
      <c r="B68"/>
    </row>
    <row r="69" spans="1:2" x14ac:dyDescent="0.3">
      <c r="A69"/>
      <c r="B69"/>
    </row>
    <row r="70" spans="1:2" x14ac:dyDescent="0.3">
      <c r="A70"/>
      <c r="B70"/>
    </row>
    <row r="71" spans="1:2" x14ac:dyDescent="0.3">
      <c r="A71"/>
      <c r="B71"/>
    </row>
    <row r="72" spans="1:2" x14ac:dyDescent="0.3">
      <c r="A72"/>
      <c r="B72"/>
    </row>
    <row r="73" spans="1:2" x14ac:dyDescent="0.3">
      <c r="A73"/>
      <c r="B73"/>
    </row>
    <row r="74" spans="1:2" x14ac:dyDescent="0.3">
      <c r="A74"/>
      <c r="B74"/>
    </row>
    <row r="75" spans="1:2" x14ac:dyDescent="0.3">
      <c r="A75"/>
      <c r="B75"/>
    </row>
    <row r="76" spans="1:2" x14ac:dyDescent="0.3">
      <c r="A76"/>
      <c r="B76"/>
    </row>
    <row r="77" spans="1:2" x14ac:dyDescent="0.3">
      <c r="A77"/>
      <c r="B77"/>
    </row>
    <row r="78" spans="1:2" x14ac:dyDescent="0.3">
      <c r="A78"/>
      <c r="B78"/>
    </row>
    <row r="79" spans="1:2" x14ac:dyDescent="0.3">
      <c r="A79"/>
      <c r="B79"/>
    </row>
    <row r="80" spans="1:2" x14ac:dyDescent="0.3">
      <c r="A80"/>
      <c r="B80"/>
    </row>
    <row r="81" spans="1:2" x14ac:dyDescent="0.3">
      <c r="A81"/>
      <c r="B81"/>
    </row>
    <row r="82" spans="1:2" x14ac:dyDescent="0.3">
      <c r="A82"/>
      <c r="B82"/>
    </row>
    <row r="83" spans="1:2" x14ac:dyDescent="0.3">
      <c r="A83"/>
      <c r="B83"/>
    </row>
    <row r="84" spans="1:2" x14ac:dyDescent="0.3">
      <c r="A84"/>
      <c r="B84"/>
    </row>
    <row r="85" spans="1:2" x14ac:dyDescent="0.3">
      <c r="A85"/>
      <c r="B85"/>
    </row>
    <row r="86" spans="1:2" x14ac:dyDescent="0.3">
      <c r="A86"/>
      <c r="B86"/>
    </row>
    <row r="87" spans="1:2" x14ac:dyDescent="0.3">
      <c r="A87"/>
      <c r="B87"/>
    </row>
    <row r="88" spans="1:2" x14ac:dyDescent="0.3">
      <c r="A88"/>
      <c r="B88"/>
    </row>
    <row r="89" spans="1:2" x14ac:dyDescent="0.3">
      <c r="A89"/>
      <c r="B89"/>
    </row>
    <row r="90" spans="1:2" x14ac:dyDescent="0.3">
      <c r="A90"/>
      <c r="B90"/>
    </row>
    <row r="91" spans="1:2" x14ac:dyDescent="0.3">
      <c r="A91"/>
      <c r="B91"/>
    </row>
    <row r="92" spans="1:2" x14ac:dyDescent="0.3">
      <c r="A92"/>
      <c r="B92"/>
    </row>
    <row r="93" spans="1:2" x14ac:dyDescent="0.3">
      <c r="A93"/>
      <c r="B93"/>
    </row>
    <row r="94" spans="1:2" x14ac:dyDescent="0.3">
      <c r="A94"/>
      <c r="B94"/>
    </row>
    <row r="95" spans="1:2" x14ac:dyDescent="0.3">
      <c r="A95"/>
      <c r="B95"/>
    </row>
    <row r="96" spans="1:2" x14ac:dyDescent="0.3">
      <c r="A96"/>
      <c r="B96"/>
    </row>
    <row r="97" spans="1:2" x14ac:dyDescent="0.3">
      <c r="A97"/>
      <c r="B97"/>
    </row>
    <row r="98" spans="1:2" x14ac:dyDescent="0.3">
      <c r="A98"/>
      <c r="B98"/>
    </row>
    <row r="99" spans="1:2" x14ac:dyDescent="0.3">
      <c r="A99"/>
      <c r="B99"/>
    </row>
    <row r="100" spans="1:2" x14ac:dyDescent="0.3">
      <c r="A100"/>
      <c r="B100"/>
    </row>
    <row r="101" spans="1:2" x14ac:dyDescent="0.3">
      <c r="A101"/>
      <c r="B101"/>
    </row>
    <row r="102" spans="1:2" x14ac:dyDescent="0.3">
      <c r="A102"/>
      <c r="B102"/>
    </row>
    <row r="103" spans="1:2" x14ac:dyDescent="0.3">
      <c r="A103"/>
      <c r="B103"/>
    </row>
    <row r="104" spans="1:2" x14ac:dyDescent="0.3">
      <c r="A104"/>
      <c r="B104"/>
    </row>
    <row r="105" spans="1:2" x14ac:dyDescent="0.3">
      <c r="A105"/>
      <c r="B105"/>
    </row>
    <row r="106" spans="1:2" x14ac:dyDescent="0.3">
      <c r="A106"/>
      <c r="B106"/>
    </row>
    <row r="107" spans="1:2" x14ac:dyDescent="0.3">
      <c r="A107"/>
      <c r="B107"/>
    </row>
    <row r="108" spans="1:2" x14ac:dyDescent="0.3">
      <c r="A108"/>
      <c r="B108"/>
    </row>
    <row r="109" spans="1:2" x14ac:dyDescent="0.3">
      <c r="A109"/>
      <c r="B109"/>
    </row>
    <row r="110" spans="1:2" x14ac:dyDescent="0.3">
      <c r="A110"/>
      <c r="B110"/>
    </row>
    <row r="111" spans="1:2" x14ac:dyDescent="0.3">
      <c r="A111"/>
      <c r="B111"/>
    </row>
    <row r="112" spans="1:2" x14ac:dyDescent="0.3">
      <c r="A112"/>
      <c r="B112"/>
    </row>
    <row r="113" spans="1:2" x14ac:dyDescent="0.3">
      <c r="A113"/>
      <c r="B113"/>
    </row>
    <row r="114" spans="1:2" x14ac:dyDescent="0.3">
      <c r="A114"/>
      <c r="B114"/>
    </row>
    <row r="115" spans="1:2" x14ac:dyDescent="0.3">
      <c r="A115"/>
      <c r="B115"/>
    </row>
    <row r="116" spans="1:2" x14ac:dyDescent="0.3">
      <c r="A116"/>
      <c r="B116"/>
    </row>
    <row r="117" spans="1:2" x14ac:dyDescent="0.3">
      <c r="A117"/>
      <c r="B117"/>
    </row>
    <row r="118" spans="1:2" x14ac:dyDescent="0.3">
      <c r="A118"/>
      <c r="B118"/>
    </row>
    <row r="119" spans="1:2" x14ac:dyDescent="0.3">
      <c r="A119"/>
      <c r="B119"/>
    </row>
    <row r="120" spans="1:2" x14ac:dyDescent="0.3">
      <c r="A120"/>
      <c r="B120"/>
    </row>
    <row r="121" spans="1:2" x14ac:dyDescent="0.3">
      <c r="A121"/>
      <c r="B121"/>
    </row>
    <row r="122" spans="1:2" x14ac:dyDescent="0.3">
      <c r="A122"/>
      <c r="B122"/>
    </row>
    <row r="123" spans="1:2" x14ac:dyDescent="0.3">
      <c r="A123"/>
      <c r="B123"/>
    </row>
    <row r="124" spans="1:2" x14ac:dyDescent="0.3">
      <c r="A124"/>
      <c r="B124"/>
    </row>
    <row r="125" spans="1:2" x14ac:dyDescent="0.3">
      <c r="A125"/>
      <c r="B125"/>
    </row>
    <row r="126" spans="1:2" x14ac:dyDescent="0.3">
      <c r="A126"/>
      <c r="B126"/>
    </row>
    <row r="127" spans="1:2" x14ac:dyDescent="0.3">
      <c r="A127"/>
      <c r="B127"/>
    </row>
    <row r="128" spans="1:2" x14ac:dyDescent="0.3">
      <c r="A128"/>
      <c r="B128"/>
    </row>
    <row r="129" spans="1:2" x14ac:dyDescent="0.3">
      <c r="A129"/>
      <c r="B129"/>
    </row>
    <row r="130" spans="1:2" x14ac:dyDescent="0.3">
      <c r="A130"/>
      <c r="B130"/>
    </row>
    <row r="131" spans="1:2" x14ac:dyDescent="0.3">
      <c r="A131"/>
      <c r="B131"/>
    </row>
    <row r="132" spans="1:2" x14ac:dyDescent="0.3">
      <c r="A132"/>
      <c r="B132"/>
    </row>
    <row r="133" spans="1:2" x14ac:dyDescent="0.3">
      <c r="A133"/>
      <c r="B133"/>
    </row>
    <row r="134" spans="1:2" x14ac:dyDescent="0.3">
      <c r="A134"/>
      <c r="B134"/>
    </row>
    <row r="135" spans="1:2" x14ac:dyDescent="0.3">
      <c r="A135"/>
      <c r="B135"/>
    </row>
    <row r="136" spans="1:2" x14ac:dyDescent="0.3">
      <c r="A136"/>
      <c r="B136"/>
    </row>
    <row r="137" spans="1:2" x14ac:dyDescent="0.3">
      <c r="A137"/>
      <c r="B137"/>
    </row>
    <row r="138" spans="1:2" x14ac:dyDescent="0.3">
      <c r="A138"/>
      <c r="B138"/>
    </row>
    <row r="139" spans="1:2" x14ac:dyDescent="0.3">
      <c r="A139"/>
      <c r="B139"/>
    </row>
    <row r="140" spans="1:2" x14ac:dyDescent="0.3">
      <c r="A140"/>
      <c r="B140"/>
    </row>
    <row r="141" spans="1:2" x14ac:dyDescent="0.3">
      <c r="A141"/>
      <c r="B141"/>
    </row>
    <row r="142" spans="1:2" x14ac:dyDescent="0.3">
      <c r="A142"/>
      <c r="B142"/>
    </row>
    <row r="143" spans="1:2" x14ac:dyDescent="0.3">
      <c r="A143"/>
      <c r="B143"/>
    </row>
    <row r="144" spans="1:2" x14ac:dyDescent="0.3">
      <c r="A144"/>
      <c r="B144"/>
    </row>
    <row r="145" spans="1:2" x14ac:dyDescent="0.3">
      <c r="A145"/>
      <c r="B145"/>
    </row>
    <row r="146" spans="1:2" x14ac:dyDescent="0.3">
      <c r="A146"/>
      <c r="B146"/>
    </row>
    <row r="147" spans="1:2" x14ac:dyDescent="0.3">
      <c r="A147"/>
      <c r="B147"/>
    </row>
    <row r="148" spans="1:2" x14ac:dyDescent="0.3">
      <c r="A148"/>
      <c r="B148"/>
    </row>
    <row r="149" spans="1:2" x14ac:dyDescent="0.3">
      <c r="A149"/>
      <c r="B149"/>
    </row>
    <row r="150" spans="1:2" x14ac:dyDescent="0.3">
      <c r="A150"/>
      <c r="B150"/>
    </row>
    <row r="151" spans="1:2" x14ac:dyDescent="0.3">
      <c r="A151"/>
      <c r="B151"/>
    </row>
    <row r="152" spans="1:2" x14ac:dyDescent="0.3">
      <c r="A152"/>
      <c r="B152"/>
    </row>
    <row r="153" spans="1:2" x14ac:dyDescent="0.3">
      <c r="A153"/>
      <c r="B153"/>
    </row>
    <row r="154" spans="1:2" x14ac:dyDescent="0.3">
      <c r="A154"/>
      <c r="B154"/>
    </row>
    <row r="155" spans="1:2" x14ac:dyDescent="0.3">
      <c r="A155"/>
      <c r="B155"/>
    </row>
    <row r="156" spans="1:2" x14ac:dyDescent="0.3">
      <c r="A156"/>
      <c r="B156"/>
    </row>
    <row r="157" spans="1:2" x14ac:dyDescent="0.3">
      <c r="A157"/>
      <c r="B157"/>
    </row>
    <row r="158" spans="1:2" x14ac:dyDescent="0.3">
      <c r="A158"/>
      <c r="B158"/>
    </row>
    <row r="159" spans="1:2" x14ac:dyDescent="0.3">
      <c r="A159"/>
      <c r="B159"/>
    </row>
    <row r="160" spans="1:2" x14ac:dyDescent="0.3">
      <c r="A160"/>
      <c r="B160"/>
    </row>
    <row r="161" spans="1:2" x14ac:dyDescent="0.3">
      <c r="A161"/>
      <c r="B161"/>
    </row>
    <row r="162" spans="1:2" x14ac:dyDescent="0.3">
      <c r="A162"/>
      <c r="B162"/>
    </row>
    <row r="163" spans="1:2" x14ac:dyDescent="0.3">
      <c r="A163"/>
      <c r="B163"/>
    </row>
    <row r="164" spans="1:2" x14ac:dyDescent="0.3">
      <c r="A164"/>
      <c r="B164"/>
    </row>
    <row r="165" spans="1:2" x14ac:dyDescent="0.3">
      <c r="A165"/>
      <c r="B165"/>
    </row>
    <row r="166" spans="1:2" x14ac:dyDescent="0.3">
      <c r="A166"/>
      <c r="B166"/>
    </row>
    <row r="167" spans="1:2" x14ac:dyDescent="0.3">
      <c r="A167"/>
      <c r="B167"/>
    </row>
    <row r="168" spans="1:2" x14ac:dyDescent="0.3">
      <c r="A168"/>
      <c r="B168"/>
    </row>
    <row r="169" spans="1:2" x14ac:dyDescent="0.3">
      <c r="A169"/>
      <c r="B169"/>
    </row>
    <row r="170" spans="1:2" x14ac:dyDescent="0.3">
      <c r="A170"/>
      <c r="B170"/>
    </row>
    <row r="171" spans="1:2" x14ac:dyDescent="0.3">
      <c r="A171"/>
      <c r="B171"/>
    </row>
    <row r="172" spans="1:2" x14ac:dyDescent="0.3">
      <c r="A172"/>
      <c r="B172"/>
    </row>
    <row r="173" spans="1:2" x14ac:dyDescent="0.3">
      <c r="A173"/>
      <c r="B173"/>
    </row>
    <row r="174" spans="1:2" x14ac:dyDescent="0.3">
      <c r="A174"/>
      <c r="B174"/>
    </row>
    <row r="175" spans="1:2" x14ac:dyDescent="0.3">
      <c r="A175"/>
      <c r="B175"/>
    </row>
    <row r="176" spans="1:2" x14ac:dyDescent="0.3">
      <c r="A176"/>
      <c r="B176"/>
    </row>
    <row r="177" spans="1:2" x14ac:dyDescent="0.3">
      <c r="A177"/>
      <c r="B177"/>
    </row>
    <row r="178" spans="1:2" x14ac:dyDescent="0.3">
      <c r="A178"/>
      <c r="B178"/>
    </row>
    <row r="179" spans="1:2" x14ac:dyDescent="0.3">
      <c r="A179"/>
      <c r="B179"/>
    </row>
    <row r="180" spans="1:2" x14ac:dyDescent="0.3">
      <c r="A180"/>
      <c r="B180"/>
    </row>
    <row r="181" spans="1:2" x14ac:dyDescent="0.3">
      <c r="A181"/>
      <c r="B181"/>
    </row>
    <row r="182" spans="1:2" x14ac:dyDescent="0.3">
      <c r="A182"/>
      <c r="B182"/>
    </row>
    <row r="183" spans="1:2" x14ac:dyDescent="0.3">
      <c r="A183"/>
      <c r="B183"/>
    </row>
    <row r="184" spans="1:2" x14ac:dyDescent="0.3">
      <c r="A184"/>
      <c r="B184"/>
    </row>
    <row r="185" spans="1:2" x14ac:dyDescent="0.3">
      <c r="A185"/>
      <c r="B185"/>
    </row>
    <row r="186" spans="1:2" x14ac:dyDescent="0.3">
      <c r="A186"/>
      <c r="B186"/>
    </row>
    <row r="187" spans="1:2" x14ac:dyDescent="0.3">
      <c r="A187"/>
      <c r="B187"/>
    </row>
    <row r="188" spans="1:2" x14ac:dyDescent="0.3">
      <c r="A188"/>
      <c r="B188"/>
    </row>
    <row r="189" spans="1:2" x14ac:dyDescent="0.3">
      <c r="A189"/>
      <c r="B189"/>
    </row>
    <row r="190" spans="1:2" x14ac:dyDescent="0.3">
      <c r="A190"/>
      <c r="B190"/>
    </row>
    <row r="191" spans="1:2" x14ac:dyDescent="0.3">
      <c r="A191"/>
      <c r="B191"/>
    </row>
    <row r="192" spans="1:2" x14ac:dyDescent="0.3">
      <c r="A192"/>
      <c r="B192"/>
    </row>
    <row r="193" spans="1:2" x14ac:dyDescent="0.3">
      <c r="A193"/>
      <c r="B193"/>
    </row>
    <row r="194" spans="1:2" x14ac:dyDescent="0.3">
      <c r="A194"/>
      <c r="B194"/>
    </row>
    <row r="195" spans="1:2" x14ac:dyDescent="0.3">
      <c r="A195"/>
      <c r="B195"/>
    </row>
    <row r="196" spans="1:2" x14ac:dyDescent="0.3">
      <c r="A196"/>
      <c r="B196"/>
    </row>
    <row r="197" spans="1:2" x14ac:dyDescent="0.3">
      <c r="A197"/>
      <c r="B197"/>
    </row>
    <row r="198" spans="1:2" x14ac:dyDescent="0.3">
      <c r="A198"/>
      <c r="B198"/>
    </row>
    <row r="199" spans="1:2" x14ac:dyDescent="0.3">
      <c r="A199"/>
      <c r="B199"/>
    </row>
    <row r="200" spans="1:2" x14ac:dyDescent="0.3">
      <c r="A200"/>
      <c r="B200"/>
    </row>
    <row r="201" spans="1:2" x14ac:dyDescent="0.3">
      <c r="A201"/>
      <c r="B201"/>
    </row>
    <row r="202" spans="1:2" x14ac:dyDescent="0.3">
      <c r="A202"/>
      <c r="B202"/>
    </row>
    <row r="203" spans="1:2" x14ac:dyDescent="0.3">
      <c r="A203"/>
      <c r="B203"/>
    </row>
    <row r="204" spans="1:2" x14ac:dyDescent="0.3">
      <c r="A204"/>
      <c r="B204"/>
    </row>
    <row r="205" spans="1:2" x14ac:dyDescent="0.3">
      <c r="A205"/>
      <c r="B205"/>
    </row>
    <row r="206" spans="1:2" x14ac:dyDescent="0.3">
      <c r="A206"/>
      <c r="B206"/>
    </row>
    <row r="207" spans="1:2" x14ac:dyDescent="0.3">
      <c r="A207"/>
      <c r="B207"/>
    </row>
    <row r="208" spans="1:2" x14ac:dyDescent="0.3">
      <c r="A208"/>
      <c r="B208"/>
    </row>
    <row r="209" spans="1:2" x14ac:dyDescent="0.3">
      <c r="A209"/>
      <c r="B209"/>
    </row>
    <row r="210" spans="1:2" x14ac:dyDescent="0.3">
      <c r="A210"/>
      <c r="B210"/>
    </row>
    <row r="211" spans="1:2" x14ac:dyDescent="0.3">
      <c r="A211"/>
      <c r="B211"/>
    </row>
    <row r="212" spans="1:2" x14ac:dyDescent="0.3">
      <c r="A212"/>
      <c r="B212"/>
    </row>
    <row r="213" spans="1:2" x14ac:dyDescent="0.3">
      <c r="A213"/>
      <c r="B213"/>
    </row>
    <row r="214" spans="1:2" x14ac:dyDescent="0.3">
      <c r="A214"/>
      <c r="B214"/>
    </row>
    <row r="215" spans="1:2" x14ac:dyDescent="0.3">
      <c r="A215"/>
      <c r="B215"/>
    </row>
    <row r="216" spans="1:2" x14ac:dyDescent="0.3">
      <c r="A216"/>
      <c r="B216"/>
    </row>
    <row r="217" spans="1:2" x14ac:dyDescent="0.3">
      <c r="A217"/>
      <c r="B217"/>
    </row>
    <row r="218" spans="1:2" x14ac:dyDescent="0.3">
      <c r="A218"/>
      <c r="B218"/>
    </row>
    <row r="219" spans="1:2" x14ac:dyDescent="0.3">
      <c r="A219"/>
      <c r="B219"/>
    </row>
    <row r="220" spans="1:2" x14ac:dyDescent="0.3">
      <c r="A220"/>
      <c r="B220"/>
    </row>
    <row r="221" spans="1:2" x14ac:dyDescent="0.3">
      <c r="A221"/>
      <c r="B221"/>
    </row>
    <row r="222" spans="1:2" x14ac:dyDescent="0.3">
      <c r="A222"/>
      <c r="B222"/>
    </row>
    <row r="223" spans="1:2" x14ac:dyDescent="0.3">
      <c r="A223"/>
      <c r="B223"/>
    </row>
    <row r="224" spans="1:2" x14ac:dyDescent="0.3">
      <c r="A224"/>
      <c r="B224"/>
    </row>
    <row r="225" spans="1:2" x14ac:dyDescent="0.3">
      <c r="A225"/>
      <c r="B225"/>
    </row>
    <row r="226" spans="1:2" x14ac:dyDescent="0.3">
      <c r="A226"/>
      <c r="B226"/>
    </row>
    <row r="227" spans="1:2" x14ac:dyDescent="0.3">
      <c r="A227"/>
      <c r="B227"/>
    </row>
    <row r="228" spans="1:2" x14ac:dyDescent="0.3">
      <c r="A228"/>
      <c r="B228"/>
    </row>
    <row r="229" spans="1:2" x14ac:dyDescent="0.3">
      <c r="A229"/>
      <c r="B229"/>
    </row>
    <row r="230" spans="1:2" x14ac:dyDescent="0.3">
      <c r="A230"/>
      <c r="B230"/>
    </row>
    <row r="231" spans="1:2" x14ac:dyDescent="0.3">
      <c r="A231"/>
      <c r="B231"/>
    </row>
    <row r="232" spans="1:2" x14ac:dyDescent="0.3">
      <c r="A232"/>
      <c r="B232"/>
    </row>
    <row r="233" spans="1:2" x14ac:dyDescent="0.3">
      <c r="A233"/>
      <c r="B233"/>
    </row>
    <row r="234" spans="1:2" x14ac:dyDescent="0.3">
      <c r="A234"/>
      <c r="B234"/>
    </row>
    <row r="235" spans="1:2" x14ac:dyDescent="0.3">
      <c r="A235"/>
      <c r="B235"/>
    </row>
    <row r="236" spans="1:2" x14ac:dyDescent="0.3">
      <c r="A236"/>
      <c r="B236"/>
    </row>
    <row r="237" spans="1:2" x14ac:dyDescent="0.3">
      <c r="A237"/>
      <c r="B237"/>
    </row>
    <row r="238" spans="1:2" x14ac:dyDescent="0.3">
      <c r="A238"/>
      <c r="B238"/>
    </row>
    <row r="239" spans="1:2" x14ac:dyDescent="0.3">
      <c r="A239"/>
      <c r="B239"/>
    </row>
    <row r="240" spans="1:2" x14ac:dyDescent="0.3">
      <c r="A240"/>
      <c r="B240"/>
    </row>
    <row r="241" spans="1:2" x14ac:dyDescent="0.3">
      <c r="A241"/>
      <c r="B241"/>
    </row>
    <row r="242" spans="1:2" x14ac:dyDescent="0.3">
      <c r="A242"/>
      <c r="B242"/>
    </row>
    <row r="243" spans="1:2" x14ac:dyDescent="0.3">
      <c r="A243"/>
      <c r="B243"/>
    </row>
    <row r="244" spans="1:2" x14ac:dyDescent="0.3">
      <c r="A244"/>
      <c r="B244"/>
    </row>
    <row r="245" spans="1:2" x14ac:dyDescent="0.3">
      <c r="A245"/>
      <c r="B245"/>
    </row>
    <row r="246" spans="1:2" x14ac:dyDescent="0.3">
      <c r="A246"/>
      <c r="B246"/>
    </row>
    <row r="247" spans="1:2" x14ac:dyDescent="0.3">
      <c r="A247"/>
      <c r="B247"/>
    </row>
    <row r="248" spans="1:2" x14ac:dyDescent="0.3">
      <c r="A248"/>
      <c r="B248"/>
    </row>
    <row r="249" spans="1:2" x14ac:dyDescent="0.3">
      <c r="A249"/>
      <c r="B249"/>
    </row>
    <row r="250" spans="1:2" x14ac:dyDescent="0.3">
      <c r="A250"/>
      <c r="B250"/>
    </row>
    <row r="251" spans="1:2" x14ac:dyDescent="0.3">
      <c r="A251"/>
      <c r="B251"/>
    </row>
    <row r="252" spans="1:2" x14ac:dyDescent="0.3">
      <c r="A252"/>
      <c r="B252"/>
    </row>
    <row r="253" spans="1:2" x14ac:dyDescent="0.3">
      <c r="A253"/>
      <c r="B253"/>
    </row>
    <row r="254" spans="1:2" x14ac:dyDescent="0.3">
      <c r="A254"/>
      <c r="B254"/>
    </row>
    <row r="255" spans="1:2" x14ac:dyDescent="0.3">
      <c r="A255"/>
      <c r="B255"/>
    </row>
    <row r="256" spans="1:2" x14ac:dyDescent="0.3">
      <c r="A256"/>
      <c r="B256"/>
    </row>
    <row r="257" spans="1:2" x14ac:dyDescent="0.3">
      <c r="A257"/>
      <c r="B257"/>
    </row>
    <row r="258" spans="1:2" x14ac:dyDescent="0.3">
      <c r="A258"/>
      <c r="B258"/>
    </row>
    <row r="259" spans="1:2" x14ac:dyDescent="0.3">
      <c r="A259"/>
      <c r="B259"/>
    </row>
    <row r="260" spans="1:2" x14ac:dyDescent="0.3">
      <c r="A260"/>
      <c r="B260"/>
    </row>
    <row r="261" spans="1:2" x14ac:dyDescent="0.3">
      <c r="A261"/>
      <c r="B261"/>
    </row>
    <row r="262" spans="1:2" x14ac:dyDescent="0.3">
      <c r="A262"/>
      <c r="B262"/>
    </row>
    <row r="263" spans="1:2" x14ac:dyDescent="0.3">
      <c r="A263"/>
      <c r="B263"/>
    </row>
    <row r="264" spans="1:2" x14ac:dyDescent="0.3">
      <c r="A264"/>
      <c r="B264"/>
    </row>
    <row r="265" spans="1:2" x14ac:dyDescent="0.3">
      <c r="A265"/>
      <c r="B265"/>
    </row>
    <row r="266" spans="1:2" x14ac:dyDescent="0.3">
      <c r="A266"/>
      <c r="B266"/>
    </row>
    <row r="267" spans="1:2" x14ac:dyDescent="0.3">
      <c r="A267"/>
      <c r="B267"/>
    </row>
    <row r="268" spans="1:2" x14ac:dyDescent="0.3">
      <c r="A268"/>
      <c r="B268"/>
    </row>
    <row r="269" spans="1:2" x14ac:dyDescent="0.3">
      <c r="A269"/>
      <c r="B269"/>
    </row>
    <row r="270" spans="1:2" x14ac:dyDescent="0.3">
      <c r="A270"/>
      <c r="B270"/>
    </row>
    <row r="271" spans="1:2" x14ac:dyDescent="0.3">
      <c r="A271"/>
      <c r="B271"/>
    </row>
  </sheetData>
  <pageMargins left="0.7" right="0.7" top="0.75" bottom="0.75" header="0.3" footer="0.3"/>
  <pageSetup paperSize="9" orientation="portrait" horizontalDpi="0" verticalDpi="0" r:id="rId5"/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0E746-88B6-46E5-8305-CCC8C22AD743}">
  <dimension ref="A3:D85"/>
  <sheetViews>
    <sheetView workbookViewId="0">
      <selection activeCell="H25" sqref="H25"/>
    </sheetView>
  </sheetViews>
  <sheetFormatPr defaultRowHeight="14.4" x14ac:dyDescent="0.3"/>
  <cols>
    <col min="1" max="1" width="18.88671875" bestFit="1" customWidth="1"/>
    <col min="2" max="2" width="20.44140625" style="9" bestFit="1" customWidth="1"/>
    <col min="3" max="3" width="18" style="9" bestFit="1" customWidth="1"/>
    <col min="4" max="4" width="21.44140625" style="9" bestFit="1" customWidth="1"/>
  </cols>
  <sheetData>
    <row r="3" spans="1:4" x14ac:dyDescent="0.3">
      <c r="A3" t="s">
        <v>120</v>
      </c>
      <c r="B3" t="s">
        <v>118</v>
      </c>
      <c r="C3" t="s">
        <v>119</v>
      </c>
      <c r="D3"/>
    </row>
    <row r="4" spans="1:4" x14ac:dyDescent="0.3">
      <c r="A4" s="9">
        <v>66.240161453077704</v>
      </c>
      <c r="B4" s="9">
        <v>69.134207870837542</v>
      </c>
      <c r="C4" s="9">
        <v>67.938446014127138</v>
      </c>
      <c r="D4"/>
    </row>
    <row r="5" spans="1:4" x14ac:dyDescent="0.3">
      <c r="B5"/>
      <c r="C5"/>
      <c r="D5"/>
    </row>
    <row r="6" spans="1:4" x14ac:dyDescent="0.3">
      <c r="B6"/>
      <c r="C6"/>
      <c r="D6"/>
    </row>
    <row r="7" spans="1:4" x14ac:dyDescent="0.3">
      <c r="B7"/>
      <c r="C7"/>
      <c r="D7"/>
    </row>
    <row r="8" spans="1:4" x14ac:dyDescent="0.3">
      <c r="B8"/>
      <c r="C8"/>
      <c r="D8"/>
    </row>
    <row r="9" spans="1:4" x14ac:dyDescent="0.3">
      <c r="B9"/>
      <c r="C9"/>
      <c r="D9"/>
    </row>
    <row r="10" spans="1:4" x14ac:dyDescent="0.3">
      <c r="B10"/>
      <c r="C10"/>
      <c r="D10"/>
    </row>
    <row r="11" spans="1:4" x14ac:dyDescent="0.3">
      <c r="B11"/>
      <c r="C11"/>
      <c r="D11"/>
    </row>
    <row r="12" spans="1:4" x14ac:dyDescent="0.3">
      <c r="B12"/>
      <c r="C12"/>
      <c r="D12"/>
    </row>
    <row r="13" spans="1:4" x14ac:dyDescent="0.3">
      <c r="B13"/>
      <c r="C13"/>
      <c r="D13"/>
    </row>
    <row r="14" spans="1:4" x14ac:dyDescent="0.3">
      <c r="B14"/>
      <c r="C14"/>
      <c r="D14"/>
    </row>
    <row r="15" spans="1:4" x14ac:dyDescent="0.3">
      <c r="B15"/>
      <c r="C15"/>
      <c r="D15"/>
    </row>
    <row r="16" spans="1:4" x14ac:dyDescent="0.3">
      <c r="B16"/>
      <c r="C16"/>
      <c r="D16"/>
    </row>
    <row r="17" spans="1:4" x14ac:dyDescent="0.3">
      <c r="B17"/>
      <c r="C17"/>
      <c r="D17"/>
    </row>
    <row r="18" spans="1:4" x14ac:dyDescent="0.3">
      <c r="B18"/>
      <c r="C18"/>
      <c r="D18"/>
    </row>
    <row r="19" spans="1:4" x14ac:dyDescent="0.3">
      <c r="B19"/>
      <c r="C19"/>
      <c r="D19"/>
    </row>
    <row r="20" spans="1:4" x14ac:dyDescent="0.3">
      <c r="B20"/>
      <c r="C20"/>
      <c r="D20"/>
    </row>
    <row r="21" spans="1:4" x14ac:dyDescent="0.3">
      <c r="B21"/>
      <c r="C21"/>
      <c r="D21"/>
    </row>
    <row r="22" spans="1:4" x14ac:dyDescent="0.3">
      <c r="A22" t="s">
        <v>129</v>
      </c>
      <c r="B22" t="s">
        <v>130</v>
      </c>
      <c r="C22" t="s">
        <v>131</v>
      </c>
      <c r="D22"/>
    </row>
    <row r="23" spans="1:4" x14ac:dyDescent="0.3">
      <c r="A23" s="9">
        <v>3.0701030927835053</v>
      </c>
      <c r="B23" s="9">
        <v>-1.1135190918472653</v>
      </c>
      <c r="C23" s="9">
        <v>1.9669762641898865</v>
      </c>
      <c r="D23"/>
    </row>
    <row r="24" spans="1:4" x14ac:dyDescent="0.3">
      <c r="B24"/>
      <c r="C24"/>
      <c r="D24"/>
    </row>
    <row r="25" spans="1:4" x14ac:dyDescent="0.3">
      <c r="B25"/>
      <c r="C25"/>
      <c r="D25"/>
    </row>
    <row r="26" spans="1:4" x14ac:dyDescent="0.3">
      <c r="B26"/>
      <c r="C26"/>
      <c r="D26"/>
    </row>
    <row r="27" spans="1:4" x14ac:dyDescent="0.3">
      <c r="B27"/>
      <c r="C27"/>
      <c r="D27"/>
    </row>
    <row r="28" spans="1:4" x14ac:dyDescent="0.3">
      <c r="B28"/>
      <c r="C28"/>
      <c r="D28"/>
    </row>
    <row r="29" spans="1:4" x14ac:dyDescent="0.3">
      <c r="B29"/>
      <c r="C29"/>
      <c r="D29"/>
    </row>
    <row r="30" spans="1:4" x14ac:dyDescent="0.3">
      <c r="B30"/>
      <c r="C30"/>
      <c r="D30"/>
    </row>
    <row r="31" spans="1:4" x14ac:dyDescent="0.3">
      <c r="B31"/>
      <c r="C31"/>
      <c r="D31"/>
    </row>
    <row r="32" spans="1:4" x14ac:dyDescent="0.3">
      <c r="B32"/>
      <c r="C32"/>
      <c r="D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</sheetData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3D826-3D6E-4CAD-B7B9-D09891981DB4}">
  <dimension ref="A1:E4"/>
  <sheetViews>
    <sheetView workbookViewId="0">
      <selection activeCell="O22" sqref="O22"/>
    </sheetView>
  </sheetViews>
  <sheetFormatPr defaultRowHeight="14.4" x14ac:dyDescent="0.3"/>
  <cols>
    <col min="1" max="1" width="12.5546875" bestFit="1" customWidth="1"/>
    <col min="2" max="2" width="9.5546875" style="9" bestFit="1" customWidth="1"/>
    <col min="3" max="3" width="11.44140625" style="9" bestFit="1" customWidth="1"/>
    <col min="4" max="4" width="10.88671875" style="9" bestFit="1" customWidth="1"/>
    <col min="5" max="5" width="16.88671875" style="9" bestFit="1" customWidth="1"/>
  </cols>
  <sheetData>
    <row r="1" spans="1:5" x14ac:dyDescent="0.3">
      <c r="A1" s="7" t="s">
        <v>109</v>
      </c>
      <c r="B1" s="9" t="s">
        <v>117</v>
      </c>
      <c r="C1" s="9" t="s">
        <v>118</v>
      </c>
      <c r="D1" s="9" t="s">
        <v>119</v>
      </c>
      <c r="E1" s="9" t="s">
        <v>122</v>
      </c>
    </row>
    <row r="2" spans="1:5" x14ac:dyDescent="0.3">
      <c r="A2" s="8" t="s">
        <v>15</v>
      </c>
      <c r="B2" s="9">
        <v>69.627450980392155</v>
      </c>
      <c r="C2" s="9">
        <v>74.017094017094024</v>
      </c>
      <c r="D2" s="9">
        <v>74.13960113960114</v>
      </c>
      <c r="E2" s="9">
        <v>72.576427255985266</v>
      </c>
    </row>
    <row r="3" spans="1:5" x14ac:dyDescent="0.3">
      <c r="A3" s="8" t="s">
        <v>12</v>
      </c>
      <c r="B3" s="9">
        <v>64.33280757097792</v>
      </c>
      <c r="C3" s="9">
        <v>66.456249999999997</v>
      </c>
      <c r="D3" s="9">
        <v>64.537499999999994</v>
      </c>
      <c r="E3" s="9">
        <v>65.102662570404448</v>
      </c>
    </row>
    <row r="4" spans="1:5" x14ac:dyDescent="0.3">
      <c r="A4" s="8" t="s">
        <v>110</v>
      </c>
      <c r="B4" s="9">
        <v>66.240161453077704</v>
      </c>
      <c r="C4" s="9">
        <v>69.134207870837542</v>
      </c>
      <c r="D4" s="9">
        <v>67.938446014127138</v>
      </c>
      <c r="E4" s="9">
        <v>67.773445212240944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23DF-459F-4F7D-9B04-ACF8FBBC4B4A}">
  <dimension ref="A1:D6"/>
  <sheetViews>
    <sheetView workbookViewId="0">
      <selection activeCell="H23" sqref="H23"/>
    </sheetView>
  </sheetViews>
  <sheetFormatPr defaultRowHeight="14.4" x14ac:dyDescent="0.3"/>
  <cols>
    <col min="1" max="1" width="19.33203125" bestFit="1" customWidth="1"/>
    <col min="2" max="2" width="16.33203125" bestFit="1" customWidth="1"/>
    <col min="3" max="3" width="7.33203125" style="9" bestFit="1" customWidth="1"/>
    <col min="4" max="4" width="11.33203125" style="9" bestFit="1" customWidth="1"/>
    <col min="5" max="5" width="6.6640625" bestFit="1" customWidth="1"/>
    <col min="6" max="6" width="24.33203125" bestFit="1" customWidth="1"/>
    <col min="7" max="7" width="27" bestFit="1" customWidth="1"/>
    <col min="8" max="8" width="24.33203125" bestFit="1" customWidth="1"/>
    <col min="9" max="9" width="26.44140625" bestFit="1" customWidth="1"/>
    <col min="10" max="10" width="27" bestFit="1" customWidth="1"/>
    <col min="11" max="11" width="26.88671875" bestFit="1" customWidth="1"/>
    <col min="12" max="12" width="26.44140625" bestFit="1" customWidth="1"/>
    <col min="13" max="13" width="27" bestFit="1" customWidth="1"/>
  </cols>
  <sheetData>
    <row r="1" spans="1:4" x14ac:dyDescent="0.3">
      <c r="A1" s="7" t="s">
        <v>177</v>
      </c>
      <c r="B1" s="7" t="s">
        <v>164</v>
      </c>
      <c r="C1"/>
      <c r="D1"/>
    </row>
    <row r="2" spans="1:4" x14ac:dyDescent="0.3">
      <c r="A2" s="7" t="s">
        <v>109</v>
      </c>
      <c r="B2" t="s">
        <v>158</v>
      </c>
      <c r="C2" t="s">
        <v>159</v>
      </c>
      <c r="D2" t="s">
        <v>110</v>
      </c>
    </row>
    <row r="3" spans="1:4" x14ac:dyDescent="0.3">
      <c r="A3" s="8" t="s">
        <v>20</v>
      </c>
      <c r="B3" s="14">
        <v>0.17222222222222222</v>
      </c>
      <c r="C3" s="14">
        <v>0.82777777777777772</v>
      </c>
      <c r="D3" s="14">
        <v>1</v>
      </c>
    </row>
    <row r="4" spans="1:4" x14ac:dyDescent="0.3">
      <c r="A4" s="8" t="s">
        <v>11</v>
      </c>
      <c r="B4" s="14">
        <v>6.4318529862174581E-2</v>
      </c>
      <c r="C4" s="14">
        <v>0.93568147013782543</v>
      </c>
      <c r="D4" s="14">
        <v>1</v>
      </c>
    </row>
    <row r="5" spans="1:4" x14ac:dyDescent="0.3">
      <c r="A5" s="8" t="s">
        <v>110</v>
      </c>
      <c r="B5" s="14">
        <v>0.10266535044422508</v>
      </c>
      <c r="C5" s="14">
        <v>0.89733464955577491</v>
      </c>
      <c r="D5" s="14">
        <v>1</v>
      </c>
    </row>
    <row r="6" spans="1:4" x14ac:dyDescent="0.3">
      <c r="C6"/>
      <c r="D6"/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6A6A1-B69B-40FF-909E-0B313250736E}">
  <dimension ref="A1:E8"/>
  <sheetViews>
    <sheetView workbookViewId="0">
      <selection activeCell="Q15" sqref="Q15"/>
    </sheetView>
  </sheetViews>
  <sheetFormatPr defaultRowHeight="14.4" x14ac:dyDescent="0.3"/>
  <cols>
    <col min="1" max="1" width="17.88671875" bestFit="1" customWidth="1"/>
    <col min="2" max="2" width="9.44140625" bestFit="1" customWidth="1"/>
    <col min="3" max="3" width="11.88671875" style="9" bestFit="1" customWidth="1"/>
    <col min="4" max="4" width="11.44140625" style="9" bestFit="1" customWidth="1"/>
    <col min="5" max="5" width="17.5546875" style="9" bestFit="1" customWidth="1"/>
  </cols>
  <sheetData>
    <row r="1" spans="1:5" x14ac:dyDescent="0.3">
      <c r="A1" s="7" t="s">
        <v>109</v>
      </c>
      <c r="B1" s="9" t="s">
        <v>120</v>
      </c>
      <c r="C1" s="9" t="s">
        <v>118</v>
      </c>
      <c r="D1" s="9" t="s">
        <v>119</v>
      </c>
      <c r="E1" s="9" t="s">
        <v>122</v>
      </c>
    </row>
    <row r="2" spans="1:5" x14ac:dyDescent="0.3">
      <c r="A2" s="8" t="s">
        <v>88</v>
      </c>
      <c r="B2" s="9">
        <v>63.49431818181818</v>
      </c>
      <c r="C2" s="9">
        <v>66.977142857142852</v>
      </c>
      <c r="D2" s="9">
        <v>64.926966292134836</v>
      </c>
      <c r="E2" s="9">
        <v>65.175925925925895</v>
      </c>
    </row>
    <row r="3" spans="1:5" x14ac:dyDescent="0.3">
      <c r="A3" s="8" t="s">
        <v>87</v>
      </c>
      <c r="B3" s="9">
        <v>62.036458333333336</v>
      </c>
      <c r="C3" s="9">
        <v>64.765306122448976</v>
      </c>
      <c r="D3" s="9">
        <v>62.169230769230772</v>
      </c>
      <c r="E3" s="9">
        <v>63.020100502512541</v>
      </c>
    </row>
    <row r="4" spans="1:5" x14ac:dyDescent="0.3">
      <c r="A4" s="8" t="s">
        <v>84</v>
      </c>
      <c r="B4" s="9">
        <v>67.278761061946909</v>
      </c>
      <c r="C4" s="9">
        <v>69.346666666666664</v>
      </c>
      <c r="D4" s="9">
        <v>68.678571428571431</v>
      </c>
      <c r="E4" s="9">
        <v>68.461426491994203</v>
      </c>
    </row>
    <row r="5" spans="1:5" x14ac:dyDescent="0.3">
      <c r="A5" s="8" t="s">
        <v>86</v>
      </c>
      <c r="B5" s="9">
        <v>68.266968325791851</v>
      </c>
      <c r="C5" s="9">
        <v>70.894977168949765</v>
      </c>
      <c r="D5" s="9">
        <v>69.872727272727275</v>
      </c>
      <c r="E5" s="9">
        <v>69.687315634218223</v>
      </c>
    </row>
    <row r="6" spans="1:5" x14ac:dyDescent="0.3">
      <c r="A6" s="8" t="s">
        <v>83</v>
      </c>
      <c r="B6" s="9">
        <v>69.666666666666671</v>
      </c>
      <c r="C6" s="9">
        <v>72.82905982905983</v>
      </c>
      <c r="D6" s="9">
        <v>73.5</v>
      </c>
      <c r="E6" s="9">
        <v>71.798611111111072</v>
      </c>
    </row>
    <row r="7" spans="1:5" x14ac:dyDescent="0.3">
      <c r="A7" s="8" t="s">
        <v>85</v>
      </c>
      <c r="B7" s="9">
        <v>69.745762711864401</v>
      </c>
      <c r="C7" s="9">
        <v>75.372881355932208</v>
      </c>
      <c r="D7" s="9">
        <v>75.258620689655174</v>
      </c>
      <c r="E7" s="9">
        <v>73.542372881355945</v>
      </c>
    </row>
    <row r="8" spans="1:5" x14ac:dyDescent="0.3">
      <c r="A8" s="8" t="s">
        <v>110</v>
      </c>
      <c r="B8" s="9">
        <v>66.240161453077704</v>
      </c>
      <c r="C8" s="9">
        <v>69.134207870837542</v>
      </c>
      <c r="D8" s="9">
        <v>67.938446014127138</v>
      </c>
      <c r="E8" s="9">
        <v>67.773445212240858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63BEF-E6B8-4B9E-8A58-A786BC249A82}">
  <dimension ref="A1:E7"/>
  <sheetViews>
    <sheetView workbookViewId="0">
      <selection activeCell="J26" sqref="J26"/>
    </sheetView>
  </sheetViews>
  <sheetFormatPr defaultRowHeight="14.4" x14ac:dyDescent="0.3"/>
  <cols>
    <col min="1" max="1" width="12.5546875" bestFit="1" customWidth="1"/>
    <col min="2" max="2" width="9.109375" style="9" bestFit="1" customWidth="1"/>
    <col min="3" max="3" width="11.44140625" style="9" bestFit="1" customWidth="1"/>
    <col min="4" max="4" width="10.88671875" style="9" bestFit="1" customWidth="1"/>
    <col min="5" max="5" width="16.88671875" bestFit="1" customWidth="1"/>
  </cols>
  <sheetData>
    <row r="1" spans="1:5" x14ac:dyDescent="0.3">
      <c r="A1" s="7" t="s">
        <v>109</v>
      </c>
      <c r="B1" s="9" t="s">
        <v>120</v>
      </c>
      <c r="C1" s="9" t="s">
        <v>118</v>
      </c>
      <c r="D1" s="9" t="s">
        <v>119</v>
      </c>
      <c r="E1" s="9" t="s">
        <v>122</v>
      </c>
    </row>
    <row r="2" spans="1:5" x14ac:dyDescent="0.3">
      <c r="A2" s="8" t="s">
        <v>18</v>
      </c>
      <c r="B2" s="9">
        <v>61.321839080459768</v>
      </c>
      <c r="C2" s="9">
        <v>65.023255813953483</v>
      </c>
      <c r="D2" s="9">
        <v>62.5</v>
      </c>
      <c r="E2" s="9">
        <v>63.093406593406584</v>
      </c>
    </row>
    <row r="3" spans="1:5" x14ac:dyDescent="0.3">
      <c r="A3" s="8" t="s">
        <v>9</v>
      </c>
      <c r="B3" s="9">
        <v>63.567567567567565</v>
      </c>
      <c r="C3" s="9">
        <v>67.354497354497354</v>
      </c>
      <c r="D3" s="9">
        <v>65.534759358288767</v>
      </c>
      <c r="E3" s="9">
        <v>65.5642361111111</v>
      </c>
    </row>
    <row r="4" spans="1:5" x14ac:dyDescent="0.3">
      <c r="A4" s="8" t="s">
        <v>13</v>
      </c>
      <c r="B4" s="9">
        <v>64.566037735849051</v>
      </c>
      <c r="C4" s="9">
        <v>68.971608832807576</v>
      </c>
      <c r="D4" s="9">
        <v>67.774603174603172</v>
      </c>
      <c r="E4" s="9">
        <v>67.146026831785335</v>
      </c>
    </row>
    <row r="5" spans="1:5" x14ac:dyDescent="0.3">
      <c r="A5" s="8" t="s">
        <v>21</v>
      </c>
      <c r="B5" s="9">
        <v>67.60687022900764</v>
      </c>
      <c r="C5" s="9">
        <v>69.961832061068705</v>
      </c>
      <c r="D5" s="9">
        <v>69.900383141762447</v>
      </c>
      <c r="E5" s="9">
        <v>69.059523809523853</v>
      </c>
    </row>
    <row r="6" spans="1:5" x14ac:dyDescent="0.3">
      <c r="A6" s="8" t="s">
        <v>26</v>
      </c>
      <c r="B6" s="9">
        <v>74.129496402877692</v>
      </c>
      <c r="C6" s="9">
        <v>72.96350364963503</v>
      </c>
      <c r="D6" s="9">
        <v>71.405797101449281</v>
      </c>
      <c r="E6" s="9">
        <v>72.813238770685587</v>
      </c>
    </row>
    <row r="7" spans="1:5" x14ac:dyDescent="0.3">
      <c r="A7" s="8" t="s">
        <v>110</v>
      </c>
      <c r="B7" s="9">
        <v>66.240161453077704</v>
      </c>
      <c r="C7" s="9">
        <v>69.134207870837542</v>
      </c>
      <c r="D7" s="9">
        <v>67.938446014127138</v>
      </c>
      <c r="E7" s="9">
        <v>67.77344521224083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2FA41-0682-4329-96D4-922FB2C4B15C}">
  <dimension ref="A1:E362"/>
  <sheetViews>
    <sheetView topLeftCell="A4" workbookViewId="0">
      <selection activeCell="L23" sqref="L23"/>
    </sheetView>
  </sheetViews>
  <sheetFormatPr defaultRowHeight="14.4" x14ac:dyDescent="0.3"/>
  <cols>
    <col min="1" max="1" width="12.5546875" bestFit="1" customWidth="1"/>
    <col min="2" max="2" width="9.109375" style="9" bestFit="1" customWidth="1"/>
    <col min="3" max="3" width="11.44140625" style="9" bestFit="1" customWidth="1"/>
    <col min="4" max="4" width="10.88671875" style="9" bestFit="1" customWidth="1"/>
    <col min="5" max="5" width="16.88671875" style="9" bestFit="1" customWidth="1"/>
  </cols>
  <sheetData>
    <row r="1" spans="1:5" x14ac:dyDescent="0.3">
      <c r="A1" s="7" t="s">
        <v>109</v>
      </c>
      <c r="B1" s="9" t="s">
        <v>120</v>
      </c>
      <c r="C1" s="9" t="s">
        <v>118</v>
      </c>
      <c r="D1" s="9" t="s">
        <v>119</v>
      </c>
      <c r="E1" s="9" t="s">
        <v>122</v>
      </c>
    </row>
    <row r="2" spans="1:5" x14ac:dyDescent="0.3">
      <c r="A2" s="8" t="s">
        <v>8</v>
      </c>
      <c r="B2" s="9">
        <v>63.752436647173489</v>
      </c>
      <c r="C2" s="9">
        <v>72.551656920077974</v>
      </c>
      <c r="D2" s="9">
        <v>72.307992202729039</v>
      </c>
      <c r="E2" s="9">
        <v>69.535691523263239</v>
      </c>
    </row>
    <row r="3" spans="1:5" x14ac:dyDescent="0.3">
      <c r="A3" s="8" t="s">
        <v>17</v>
      </c>
      <c r="B3" s="9">
        <v>68.910041841004187</v>
      </c>
      <c r="C3" s="9">
        <v>65.46652719665272</v>
      </c>
      <c r="D3" s="9">
        <v>63.2489539748954</v>
      </c>
      <c r="E3" s="9">
        <v>65.892517006802706</v>
      </c>
    </row>
    <row r="4" spans="1:5" x14ac:dyDescent="0.3">
      <c r="A4" s="8" t="s">
        <v>110</v>
      </c>
      <c r="B4" s="9">
        <v>66.240161453077704</v>
      </c>
      <c r="C4" s="9">
        <v>69.134207870837542</v>
      </c>
      <c r="D4" s="9">
        <v>67.938446014127138</v>
      </c>
      <c r="E4" s="9">
        <v>67.773445212240915</v>
      </c>
    </row>
    <row r="5" spans="1:5" x14ac:dyDescent="0.3">
      <c r="B5"/>
      <c r="C5"/>
      <c r="D5"/>
    </row>
    <row r="6" spans="1:5" x14ac:dyDescent="0.3">
      <c r="B6"/>
      <c r="C6"/>
      <c r="D6"/>
    </row>
    <row r="7" spans="1:5" x14ac:dyDescent="0.3">
      <c r="B7"/>
      <c r="C7"/>
      <c r="D7"/>
    </row>
    <row r="8" spans="1:5" x14ac:dyDescent="0.3">
      <c r="B8"/>
      <c r="C8"/>
      <c r="D8"/>
    </row>
    <row r="9" spans="1:5" x14ac:dyDescent="0.3">
      <c r="B9"/>
      <c r="C9"/>
      <c r="D9"/>
    </row>
    <row r="10" spans="1:5" x14ac:dyDescent="0.3">
      <c r="B10"/>
      <c r="C10"/>
      <c r="D10"/>
    </row>
    <row r="11" spans="1:5" x14ac:dyDescent="0.3">
      <c r="B11"/>
      <c r="C11"/>
      <c r="D11"/>
    </row>
    <row r="12" spans="1:5" x14ac:dyDescent="0.3">
      <c r="B12"/>
      <c r="C12"/>
      <c r="D12"/>
    </row>
    <row r="13" spans="1:5" x14ac:dyDescent="0.3">
      <c r="B13"/>
      <c r="C13"/>
      <c r="D13"/>
    </row>
    <row r="14" spans="1:5" x14ac:dyDescent="0.3">
      <c r="B14"/>
      <c r="C14"/>
      <c r="D14"/>
    </row>
    <row r="15" spans="1:5" x14ac:dyDescent="0.3">
      <c r="B15"/>
      <c r="C15"/>
      <c r="D15"/>
    </row>
    <row r="16" spans="1:5" x14ac:dyDescent="0.3">
      <c r="B16"/>
      <c r="C16"/>
      <c r="D16"/>
    </row>
    <row r="17" spans="2:4" x14ac:dyDescent="0.3">
      <c r="B17"/>
      <c r="C17"/>
      <c r="D17"/>
    </row>
    <row r="18" spans="2:4" x14ac:dyDescent="0.3">
      <c r="B18"/>
      <c r="C18"/>
      <c r="D18"/>
    </row>
    <row r="19" spans="2:4" x14ac:dyDescent="0.3">
      <c r="B19"/>
      <c r="C19"/>
      <c r="D19"/>
    </row>
    <row r="20" spans="2:4" x14ac:dyDescent="0.3">
      <c r="B20"/>
      <c r="C20"/>
      <c r="D20"/>
    </row>
    <row r="21" spans="2:4" x14ac:dyDescent="0.3">
      <c r="B21"/>
      <c r="C21"/>
      <c r="D21"/>
    </row>
    <row r="22" spans="2:4" x14ac:dyDescent="0.3">
      <c r="B22"/>
      <c r="C22"/>
      <c r="D22"/>
    </row>
    <row r="23" spans="2:4" x14ac:dyDescent="0.3">
      <c r="B23"/>
      <c r="C23"/>
      <c r="D23"/>
    </row>
    <row r="24" spans="2:4" x14ac:dyDescent="0.3">
      <c r="B24"/>
      <c r="C24"/>
      <c r="D24"/>
    </row>
    <row r="25" spans="2:4" x14ac:dyDescent="0.3">
      <c r="B25"/>
      <c r="C25"/>
      <c r="D25"/>
    </row>
    <row r="26" spans="2:4" x14ac:dyDescent="0.3">
      <c r="B26"/>
      <c r="C26"/>
      <c r="D26"/>
    </row>
    <row r="27" spans="2:4" x14ac:dyDescent="0.3">
      <c r="B27"/>
      <c r="C27"/>
      <c r="D27"/>
    </row>
    <row r="28" spans="2:4" x14ac:dyDescent="0.3">
      <c r="B28"/>
      <c r="C28"/>
      <c r="D28"/>
    </row>
    <row r="29" spans="2:4" x14ac:dyDescent="0.3">
      <c r="B29"/>
      <c r="C29"/>
      <c r="D29"/>
    </row>
    <row r="30" spans="2:4" x14ac:dyDescent="0.3">
      <c r="B30"/>
      <c r="C30"/>
      <c r="D30"/>
    </row>
    <row r="31" spans="2:4" x14ac:dyDescent="0.3">
      <c r="B31"/>
      <c r="C31"/>
      <c r="D31"/>
    </row>
    <row r="32" spans="2:4" x14ac:dyDescent="0.3">
      <c r="B32"/>
      <c r="C32"/>
      <c r="D32"/>
    </row>
    <row r="33" spans="2:4" x14ac:dyDescent="0.3">
      <c r="B33"/>
      <c r="C33"/>
      <c r="D33"/>
    </row>
    <row r="34" spans="2:4" x14ac:dyDescent="0.3">
      <c r="B34"/>
      <c r="C34"/>
      <c r="D34"/>
    </row>
    <row r="35" spans="2:4" x14ac:dyDescent="0.3">
      <c r="B35"/>
      <c r="C35"/>
      <c r="D35"/>
    </row>
    <row r="36" spans="2:4" x14ac:dyDescent="0.3">
      <c r="B36"/>
      <c r="C36"/>
      <c r="D36"/>
    </row>
    <row r="37" spans="2:4" x14ac:dyDescent="0.3">
      <c r="B37"/>
      <c r="C37"/>
      <c r="D37"/>
    </row>
    <row r="38" spans="2:4" x14ac:dyDescent="0.3">
      <c r="B38"/>
      <c r="C38"/>
      <c r="D38"/>
    </row>
    <row r="39" spans="2:4" x14ac:dyDescent="0.3">
      <c r="B39"/>
      <c r="C39"/>
      <c r="D39"/>
    </row>
    <row r="40" spans="2:4" x14ac:dyDescent="0.3">
      <c r="B40"/>
      <c r="C40"/>
      <c r="D40"/>
    </row>
    <row r="41" spans="2:4" x14ac:dyDescent="0.3">
      <c r="B41"/>
      <c r="C41"/>
      <c r="D41"/>
    </row>
    <row r="42" spans="2:4" x14ac:dyDescent="0.3">
      <c r="B42"/>
      <c r="C42"/>
      <c r="D42"/>
    </row>
    <row r="43" spans="2:4" x14ac:dyDescent="0.3">
      <c r="B43"/>
      <c r="C43"/>
      <c r="D43"/>
    </row>
    <row r="44" spans="2:4" x14ac:dyDescent="0.3">
      <c r="B44"/>
      <c r="C44"/>
      <c r="D44"/>
    </row>
    <row r="45" spans="2:4" x14ac:dyDescent="0.3">
      <c r="B45"/>
      <c r="C45"/>
      <c r="D45"/>
    </row>
    <row r="46" spans="2:4" x14ac:dyDescent="0.3">
      <c r="B46"/>
      <c r="C46"/>
      <c r="D46"/>
    </row>
    <row r="47" spans="2:4" x14ac:dyDescent="0.3">
      <c r="B47"/>
      <c r="C47"/>
      <c r="D47"/>
    </row>
    <row r="48" spans="2:4" x14ac:dyDescent="0.3">
      <c r="B48"/>
      <c r="C48"/>
      <c r="D48"/>
    </row>
    <row r="49" spans="2:4" x14ac:dyDescent="0.3">
      <c r="B49"/>
      <c r="C49"/>
      <c r="D49"/>
    </row>
    <row r="50" spans="2:4" x14ac:dyDescent="0.3">
      <c r="B50"/>
      <c r="C50"/>
      <c r="D50"/>
    </row>
    <row r="51" spans="2:4" x14ac:dyDescent="0.3">
      <c r="B51"/>
      <c r="C51"/>
      <c r="D51"/>
    </row>
    <row r="52" spans="2:4" x14ac:dyDescent="0.3">
      <c r="B52"/>
      <c r="C52"/>
      <c r="D52"/>
    </row>
    <row r="53" spans="2:4" x14ac:dyDescent="0.3">
      <c r="B53"/>
      <c r="C53"/>
      <c r="D53"/>
    </row>
    <row r="54" spans="2:4" x14ac:dyDescent="0.3">
      <c r="B54"/>
      <c r="C54"/>
      <c r="D54"/>
    </row>
    <row r="55" spans="2:4" x14ac:dyDescent="0.3">
      <c r="B55"/>
      <c r="C55"/>
      <c r="D55"/>
    </row>
    <row r="56" spans="2:4" x14ac:dyDescent="0.3">
      <c r="B56"/>
      <c r="C56"/>
      <c r="D56"/>
    </row>
    <row r="57" spans="2:4" x14ac:dyDescent="0.3">
      <c r="B57"/>
      <c r="C57"/>
      <c r="D57"/>
    </row>
    <row r="58" spans="2:4" x14ac:dyDescent="0.3">
      <c r="B58"/>
      <c r="C58"/>
      <c r="D58"/>
    </row>
    <row r="59" spans="2:4" x14ac:dyDescent="0.3">
      <c r="B59"/>
      <c r="C59"/>
      <c r="D59"/>
    </row>
    <row r="60" spans="2:4" x14ac:dyDescent="0.3">
      <c r="B60"/>
      <c r="C60"/>
      <c r="D60"/>
    </row>
    <row r="61" spans="2:4" x14ac:dyDescent="0.3">
      <c r="B61"/>
      <c r="C61"/>
      <c r="D61"/>
    </row>
    <row r="62" spans="2:4" x14ac:dyDescent="0.3">
      <c r="B62"/>
      <c r="C62"/>
      <c r="D62"/>
    </row>
    <row r="63" spans="2:4" x14ac:dyDescent="0.3">
      <c r="B63"/>
      <c r="C63"/>
      <c r="D63"/>
    </row>
    <row r="64" spans="2:4" x14ac:dyDescent="0.3">
      <c r="B64"/>
      <c r="C64"/>
      <c r="D64"/>
    </row>
    <row r="65" spans="2:4" x14ac:dyDescent="0.3">
      <c r="B65"/>
      <c r="C65"/>
      <c r="D65"/>
    </row>
    <row r="66" spans="2:4" x14ac:dyDescent="0.3">
      <c r="B66"/>
      <c r="C66"/>
      <c r="D66"/>
    </row>
    <row r="67" spans="2:4" x14ac:dyDescent="0.3">
      <c r="B67"/>
      <c r="C67"/>
      <c r="D67"/>
    </row>
    <row r="68" spans="2:4" x14ac:dyDescent="0.3">
      <c r="B68"/>
      <c r="C68"/>
      <c r="D68"/>
    </row>
    <row r="69" spans="2:4" x14ac:dyDescent="0.3">
      <c r="B69"/>
      <c r="C69"/>
      <c r="D69"/>
    </row>
    <row r="70" spans="2:4" x14ac:dyDescent="0.3">
      <c r="B70"/>
      <c r="C70"/>
      <c r="D70"/>
    </row>
    <row r="71" spans="2:4" x14ac:dyDescent="0.3">
      <c r="B71"/>
      <c r="C71"/>
      <c r="D71"/>
    </row>
    <row r="72" spans="2:4" x14ac:dyDescent="0.3">
      <c r="B72"/>
      <c r="C72"/>
      <c r="D72"/>
    </row>
    <row r="73" spans="2:4" x14ac:dyDescent="0.3">
      <c r="B73"/>
      <c r="C73"/>
      <c r="D73"/>
    </row>
    <row r="74" spans="2:4" x14ac:dyDescent="0.3">
      <c r="B74"/>
      <c r="C74"/>
      <c r="D74"/>
    </row>
    <row r="75" spans="2:4" x14ac:dyDescent="0.3">
      <c r="B75"/>
      <c r="C75"/>
      <c r="D75"/>
    </row>
    <row r="76" spans="2:4" x14ac:dyDescent="0.3">
      <c r="B76"/>
      <c r="C76"/>
      <c r="D76"/>
    </row>
    <row r="77" spans="2:4" x14ac:dyDescent="0.3">
      <c r="B77"/>
      <c r="C77"/>
      <c r="D77"/>
    </row>
    <row r="78" spans="2:4" x14ac:dyDescent="0.3">
      <c r="B78"/>
      <c r="C78"/>
      <c r="D78"/>
    </row>
    <row r="79" spans="2:4" x14ac:dyDescent="0.3">
      <c r="B79"/>
      <c r="C79"/>
      <c r="D79"/>
    </row>
    <row r="80" spans="2:4" x14ac:dyDescent="0.3">
      <c r="B80"/>
      <c r="C80"/>
      <c r="D80"/>
    </row>
    <row r="81" spans="2:4" x14ac:dyDescent="0.3">
      <c r="B81"/>
      <c r="C81"/>
      <c r="D81"/>
    </row>
    <row r="82" spans="2:4" x14ac:dyDescent="0.3">
      <c r="B82"/>
      <c r="C82"/>
      <c r="D82"/>
    </row>
    <row r="83" spans="2:4" x14ac:dyDescent="0.3">
      <c r="B83"/>
      <c r="C83"/>
      <c r="D83"/>
    </row>
    <row r="84" spans="2:4" x14ac:dyDescent="0.3">
      <c r="B84"/>
      <c r="C84"/>
      <c r="D84"/>
    </row>
    <row r="85" spans="2:4" x14ac:dyDescent="0.3">
      <c r="B85"/>
      <c r="C85"/>
      <c r="D85"/>
    </row>
    <row r="86" spans="2:4" x14ac:dyDescent="0.3">
      <c r="B86"/>
      <c r="C86"/>
      <c r="D86"/>
    </row>
    <row r="87" spans="2:4" x14ac:dyDescent="0.3">
      <c r="B87"/>
      <c r="C87"/>
      <c r="D87"/>
    </row>
    <row r="88" spans="2:4" x14ac:dyDescent="0.3">
      <c r="B88"/>
      <c r="C88"/>
      <c r="D88"/>
    </row>
    <row r="89" spans="2:4" x14ac:dyDescent="0.3">
      <c r="B89"/>
      <c r="C89"/>
      <c r="D89"/>
    </row>
    <row r="90" spans="2:4" x14ac:dyDescent="0.3">
      <c r="B90"/>
      <c r="C90"/>
      <c r="D90"/>
    </row>
    <row r="91" spans="2:4" x14ac:dyDescent="0.3">
      <c r="B91"/>
      <c r="C91"/>
      <c r="D91"/>
    </row>
    <row r="92" spans="2:4" x14ac:dyDescent="0.3">
      <c r="B92"/>
      <c r="C92"/>
      <c r="D92"/>
    </row>
    <row r="93" spans="2:4" x14ac:dyDescent="0.3">
      <c r="B93"/>
      <c r="C93"/>
      <c r="D93"/>
    </row>
    <row r="94" spans="2:4" x14ac:dyDescent="0.3">
      <c r="B94"/>
      <c r="C94"/>
      <c r="D94"/>
    </row>
    <row r="95" spans="2:4" x14ac:dyDescent="0.3">
      <c r="B95"/>
      <c r="C95"/>
      <c r="D95"/>
    </row>
    <row r="96" spans="2:4" x14ac:dyDescent="0.3">
      <c r="B96"/>
      <c r="C96"/>
      <c r="D96"/>
    </row>
    <row r="97" spans="2:4" x14ac:dyDescent="0.3">
      <c r="B97"/>
      <c r="C97"/>
      <c r="D97"/>
    </row>
    <row r="98" spans="2:4" x14ac:dyDescent="0.3">
      <c r="B98"/>
      <c r="C98"/>
      <c r="D98"/>
    </row>
    <row r="99" spans="2:4" x14ac:dyDescent="0.3">
      <c r="B99"/>
      <c r="C99"/>
      <c r="D99"/>
    </row>
    <row r="100" spans="2:4" x14ac:dyDescent="0.3">
      <c r="B100"/>
      <c r="C100"/>
      <c r="D100"/>
    </row>
    <row r="101" spans="2:4" x14ac:dyDescent="0.3">
      <c r="B101"/>
      <c r="C101"/>
      <c r="D101"/>
    </row>
    <row r="102" spans="2:4" x14ac:dyDescent="0.3">
      <c r="B102"/>
      <c r="C102"/>
      <c r="D102"/>
    </row>
    <row r="103" spans="2:4" x14ac:dyDescent="0.3">
      <c r="B103"/>
      <c r="C103"/>
      <c r="D103"/>
    </row>
    <row r="104" spans="2:4" x14ac:dyDescent="0.3">
      <c r="B104"/>
      <c r="C104"/>
      <c r="D104"/>
    </row>
    <row r="105" spans="2:4" x14ac:dyDescent="0.3">
      <c r="B105"/>
      <c r="C105"/>
      <c r="D105"/>
    </row>
    <row r="106" spans="2:4" x14ac:dyDescent="0.3">
      <c r="B106"/>
      <c r="C106"/>
      <c r="D106"/>
    </row>
    <row r="107" spans="2:4" x14ac:dyDescent="0.3">
      <c r="B107"/>
      <c r="C107"/>
      <c r="D107"/>
    </row>
    <row r="108" spans="2:4" x14ac:dyDescent="0.3">
      <c r="B108"/>
      <c r="C108"/>
      <c r="D108"/>
    </row>
    <row r="109" spans="2:4" x14ac:dyDescent="0.3">
      <c r="B109"/>
      <c r="C109"/>
      <c r="D109"/>
    </row>
    <row r="110" spans="2:4" x14ac:dyDescent="0.3">
      <c r="B110"/>
      <c r="C110"/>
      <c r="D110"/>
    </row>
    <row r="111" spans="2:4" x14ac:dyDescent="0.3">
      <c r="B111"/>
      <c r="C111"/>
      <c r="D111"/>
    </row>
    <row r="112" spans="2:4" x14ac:dyDescent="0.3">
      <c r="B112"/>
      <c r="C112"/>
      <c r="D112"/>
    </row>
    <row r="113" spans="2:4" x14ac:dyDescent="0.3">
      <c r="B113"/>
      <c r="C113"/>
      <c r="D113"/>
    </row>
    <row r="114" spans="2:4" x14ac:dyDescent="0.3">
      <c r="B114"/>
      <c r="C114"/>
      <c r="D114"/>
    </row>
    <row r="115" spans="2:4" x14ac:dyDescent="0.3">
      <c r="B115"/>
      <c r="C115"/>
      <c r="D115"/>
    </row>
    <row r="116" spans="2:4" x14ac:dyDescent="0.3">
      <c r="B116"/>
      <c r="C116"/>
      <c r="D116"/>
    </row>
    <row r="117" spans="2:4" x14ac:dyDescent="0.3">
      <c r="B117"/>
      <c r="C117"/>
      <c r="D117"/>
    </row>
    <row r="118" spans="2:4" x14ac:dyDescent="0.3">
      <c r="B118"/>
      <c r="C118"/>
      <c r="D118"/>
    </row>
    <row r="119" spans="2:4" x14ac:dyDescent="0.3">
      <c r="B119"/>
      <c r="C119"/>
      <c r="D119"/>
    </row>
    <row r="120" spans="2:4" x14ac:dyDescent="0.3">
      <c r="B120"/>
      <c r="C120"/>
      <c r="D120"/>
    </row>
    <row r="121" spans="2:4" x14ac:dyDescent="0.3">
      <c r="B121"/>
      <c r="C121"/>
      <c r="D121"/>
    </row>
    <row r="122" spans="2:4" x14ac:dyDescent="0.3">
      <c r="B122"/>
      <c r="C122"/>
      <c r="D122"/>
    </row>
    <row r="123" spans="2:4" x14ac:dyDescent="0.3">
      <c r="B123"/>
      <c r="C123"/>
      <c r="D123"/>
    </row>
    <row r="124" spans="2:4" x14ac:dyDescent="0.3">
      <c r="B124"/>
      <c r="C124"/>
      <c r="D124"/>
    </row>
    <row r="125" spans="2:4" x14ac:dyDescent="0.3">
      <c r="B125"/>
      <c r="C125"/>
      <c r="D125"/>
    </row>
    <row r="126" spans="2:4" x14ac:dyDescent="0.3">
      <c r="B126"/>
      <c r="C126"/>
      <c r="D126"/>
    </row>
    <row r="127" spans="2:4" x14ac:dyDescent="0.3">
      <c r="B127"/>
      <c r="C127"/>
      <c r="D127"/>
    </row>
    <row r="128" spans="2:4" x14ac:dyDescent="0.3">
      <c r="B128"/>
      <c r="C128"/>
      <c r="D128"/>
    </row>
    <row r="129" spans="2:4" x14ac:dyDescent="0.3">
      <c r="B129"/>
      <c r="C129"/>
      <c r="D129"/>
    </row>
    <row r="130" spans="2:4" x14ac:dyDescent="0.3">
      <c r="B130"/>
      <c r="C130"/>
      <c r="D130"/>
    </row>
    <row r="131" spans="2:4" x14ac:dyDescent="0.3">
      <c r="B131"/>
      <c r="C131"/>
      <c r="D131"/>
    </row>
    <row r="132" spans="2:4" x14ac:dyDescent="0.3">
      <c r="B132"/>
      <c r="C132"/>
      <c r="D132"/>
    </row>
    <row r="133" spans="2:4" x14ac:dyDescent="0.3">
      <c r="B133"/>
      <c r="C133"/>
      <c r="D133"/>
    </row>
    <row r="134" spans="2:4" x14ac:dyDescent="0.3">
      <c r="B134"/>
      <c r="C134"/>
      <c r="D134"/>
    </row>
    <row r="135" spans="2:4" x14ac:dyDescent="0.3">
      <c r="B135"/>
      <c r="C135"/>
      <c r="D135"/>
    </row>
    <row r="136" spans="2:4" x14ac:dyDescent="0.3">
      <c r="B136"/>
      <c r="C136"/>
      <c r="D136"/>
    </row>
    <row r="137" spans="2:4" x14ac:dyDescent="0.3">
      <c r="B137"/>
      <c r="C137"/>
      <c r="D137"/>
    </row>
    <row r="138" spans="2:4" x14ac:dyDescent="0.3">
      <c r="B138"/>
      <c r="C138"/>
      <c r="D138"/>
    </row>
    <row r="139" spans="2:4" x14ac:dyDescent="0.3">
      <c r="B139"/>
      <c r="C139"/>
      <c r="D139"/>
    </row>
    <row r="140" spans="2:4" x14ac:dyDescent="0.3">
      <c r="B140"/>
      <c r="C140"/>
      <c r="D140"/>
    </row>
    <row r="141" spans="2:4" x14ac:dyDescent="0.3">
      <c r="B141"/>
      <c r="C141"/>
      <c r="D141"/>
    </row>
    <row r="142" spans="2:4" x14ac:dyDescent="0.3">
      <c r="B142"/>
      <c r="C142"/>
      <c r="D142"/>
    </row>
    <row r="143" spans="2:4" x14ac:dyDescent="0.3">
      <c r="B143"/>
      <c r="C143"/>
      <c r="D143"/>
    </row>
    <row r="144" spans="2:4" x14ac:dyDescent="0.3">
      <c r="B144"/>
      <c r="C144"/>
      <c r="D144"/>
    </row>
    <row r="145" spans="2:4" x14ac:dyDescent="0.3">
      <c r="B145"/>
      <c r="C145"/>
      <c r="D145"/>
    </row>
    <row r="146" spans="2:4" x14ac:dyDescent="0.3">
      <c r="B146"/>
      <c r="C146"/>
      <c r="D146"/>
    </row>
    <row r="147" spans="2:4" x14ac:dyDescent="0.3">
      <c r="B147"/>
      <c r="C147"/>
      <c r="D147"/>
    </row>
    <row r="148" spans="2:4" x14ac:dyDescent="0.3">
      <c r="B148"/>
      <c r="C148"/>
      <c r="D148"/>
    </row>
    <row r="149" spans="2:4" x14ac:dyDescent="0.3">
      <c r="B149"/>
      <c r="C149"/>
      <c r="D149"/>
    </row>
    <row r="150" spans="2:4" x14ac:dyDescent="0.3">
      <c r="B150"/>
      <c r="C150"/>
      <c r="D150"/>
    </row>
    <row r="151" spans="2:4" x14ac:dyDescent="0.3">
      <c r="B151"/>
      <c r="C151"/>
      <c r="D151"/>
    </row>
    <row r="152" spans="2:4" x14ac:dyDescent="0.3">
      <c r="B152"/>
      <c r="C152"/>
      <c r="D152"/>
    </row>
    <row r="153" spans="2:4" x14ac:dyDescent="0.3">
      <c r="B153"/>
      <c r="C153"/>
      <c r="D153"/>
    </row>
    <row r="154" spans="2:4" x14ac:dyDescent="0.3">
      <c r="B154"/>
      <c r="C154"/>
      <c r="D154"/>
    </row>
    <row r="155" spans="2:4" x14ac:dyDescent="0.3">
      <c r="B155"/>
      <c r="C155"/>
      <c r="D155"/>
    </row>
    <row r="156" spans="2:4" x14ac:dyDescent="0.3">
      <c r="B156"/>
      <c r="C156"/>
      <c r="D156"/>
    </row>
    <row r="157" spans="2:4" x14ac:dyDescent="0.3">
      <c r="B157"/>
      <c r="C157"/>
      <c r="D157"/>
    </row>
    <row r="158" spans="2:4" x14ac:dyDescent="0.3">
      <c r="B158"/>
      <c r="C158"/>
      <c r="D158"/>
    </row>
    <row r="159" spans="2:4" x14ac:dyDescent="0.3">
      <c r="B159"/>
      <c r="C159"/>
      <c r="D159"/>
    </row>
    <row r="160" spans="2:4" x14ac:dyDescent="0.3">
      <c r="B160"/>
      <c r="C160"/>
      <c r="D160"/>
    </row>
    <row r="161" spans="2:4" x14ac:dyDescent="0.3">
      <c r="B161"/>
      <c r="C161"/>
      <c r="D161"/>
    </row>
    <row r="162" spans="2:4" x14ac:dyDescent="0.3">
      <c r="B162"/>
      <c r="C162"/>
      <c r="D162"/>
    </row>
    <row r="163" spans="2:4" x14ac:dyDescent="0.3">
      <c r="B163"/>
      <c r="C163"/>
      <c r="D163"/>
    </row>
    <row r="164" spans="2:4" x14ac:dyDescent="0.3">
      <c r="B164"/>
      <c r="C164"/>
      <c r="D164"/>
    </row>
    <row r="165" spans="2:4" x14ac:dyDescent="0.3">
      <c r="B165"/>
      <c r="C165"/>
      <c r="D165"/>
    </row>
    <row r="166" spans="2:4" x14ac:dyDescent="0.3">
      <c r="B166"/>
      <c r="C166"/>
      <c r="D166"/>
    </row>
    <row r="167" spans="2:4" x14ac:dyDescent="0.3">
      <c r="B167"/>
      <c r="C167"/>
      <c r="D167"/>
    </row>
    <row r="168" spans="2:4" x14ac:dyDescent="0.3">
      <c r="B168"/>
      <c r="C168"/>
      <c r="D168"/>
    </row>
    <row r="169" spans="2:4" x14ac:dyDescent="0.3">
      <c r="B169"/>
      <c r="C169"/>
      <c r="D169"/>
    </row>
    <row r="170" spans="2:4" x14ac:dyDescent="0.3">
      <c r="B170"/>
      <c r="C170"/>
      <c r="D170"/>
    </row>
    <row r="171" spans="2:4" x14ac:dyDescent="0.3">
      <c r="B171"/>
      <c r="C171"/>
      <c r="D171"/>
    </row>
    <row r="172" spans="2:4" x14ac:dyDescent="0.3">
      <c r="B172"/>
      <c r="C172"/>
      <c r="D172"/>
    </row>
    <row r="173" spans="2:4" x14ac:dyDescent="0.3">
      <c r="B173"/>
      <c r="C173"/>
      <c r="D173"/>
    </row>
    <row r="174" spans="2:4" x14ac:dyDescent="0.3">
      <c r="B174"/>
      <c r="C174"/>
      <c r="D174"/>
    </row>
    <row r="175" spans="2:4" x14ac:dyDescent="0.3">
      <c r="B175"/>
      <c r="C175"/>
      <c r="D175"/>
    </row>
    <row r="176" spans="2:4" x14ac:dyDescent="0.3">
      <c r="B176"/>
      <c r="C176"/>
      <c r="D176"/>
    </row>
    <row r="177" spans="2:4" x14ac:dyDescent="0.3">
      <c r="B177"/>
      <c r="C177"/>
      <c r="D177"/>
    </row>
    <row r="178" spans="2:4" x14ac:dyDescent="0.3">
      <c r="B178"/>
      <c r="C178"/>
      <c r="D178"/>
    </row>
    <row r="179" spans="2:4" x14ac:dyDescent="0.3">
      <c r="B179"/>
      <c r="C179"/>
      <c r="D179"/>
    </row>
    <row r="180" spans="2:4" x14ac:dyDescent="0.3">
      <c r="B180"/>
      <c r="C180"/>
      <c r="D180"/>
    </row>
    <row r="181" spans="2:4" x14ac:dyDescent="0.3">
      <c r="B181"/>
      <c r="C181"/>
      <c r="D181"/>
    </row>
    <row r="182" spans="2:4" x14ac:dyDescent="0.3">
      <c r="B182"/>
      <c r="C182"/>
      <c r="D182"/>
    </row>
    <row r="183" spans="2:4" x14ac:dyDescent="0.3">
      <c r="B183"/>
      <c r="C183"/>
      <c r="D183"/>
    </row>
    <row r="184" spans="2:4" x14ac:dyDescent="0.3">
      <c r="B184"/>
      <c r="C184"/>
      <c r="D184"/>
    </row>
    <row r="185" spans="2:4" x14ac:dyDescent="0.3">
      <c r="B185"/>
      <c r="C185"/>
      <c r="D185"/>
    </row>
    <row r="186" spans="2:4" x14ac:dyDescent="0.3">
      <c r="B186"/>
      <c r="C186"/>
      <c r="D186"/>
    </row>
    <row r="187" spans="2:4" x14ac:dyDescent="0.3">
      <c r="B187"/>
      <c r="C187"/>
      <c r="D187"/>
    </row>
    <row r="188" spans="2:4" x14ac:dyDescent="0.3">
      <c r="B188"/>
      <c r="C188"/>
      <c r="D188"/>
    </row>
    <row r="189" spans="2:4" x14ac:dyDescent="0.3">
      <c r="B189"/>
      <c r="C189"/>
      <c r="D189"/>
    </row>
    <row r="190" spans="2:4" x14ac:dyDescent="0.3">
      <c r="B190"/>
      <c r="C190"/>
      <c r="D190"/>
    </row>
    <row r="191" spans="2:4" x14ac:dyDescent="0.3">
      <c r="B191"/>
      <c r="C191"/>
      <c r="D191"/>
    </row>
    <row r="192" spans="2:4" x14ac:dyDescent="0.3">
      <c r="B192"/>
      <c r="C192"/>
      <c r="D192"/>
    </row>
    <row r="193" spans="2:4" x14ac:dyDescent="0.3">
      <c r="B193"/>
      <c r="C193"/>
      <c r="D193"/>
    </row>
    <row r="194" spans="2:4" x14ac:dyDescent="0.3">
      <c r="B194"/>
      <c r="C194"/>
      <c r="D194"/>
    </row>
    <row r="195" spans="2:4" x14ac:dyDescent="0.3">
      <c r="B195"/>
      <c r="C195"/>
      <c r="D195"/>
    </row>
    <row r="196" spans="2:4" x14ac:dyDescent="0.3">
      <c r="B196"/>
      <c r="C196"/>
      <c r="D196"/>
    </row>
    <row r="197" spans="2:4" x14ac:dyDescent="0.3">
      <c r="B197"/>
      <c r="C197"/>
      <c r="D197"/>
    </row>
    <row r="198" spans="2:4" x14ac:dyDescent="0.3">
      <c r="B198"/>
      <c r="C198"/>
      <c r="D198"/>
    </row>
    <row r="199" spans="2:4" x14ac:dyDescent="0.3">
      <c r="B199"/>
      <c r="C199"/>
      <c r="D199"/>
    </row>
    <row r="200" spans="2:4" x14ac:dyDescent="0.3">
      <c r="B200"/>
      <c r="C200"/>
      <c r="D200"/>
    </row>
    <row r="201" spans="2:4" x14ac:dyDescent="0.3">
      <c r="B201"/>
      <c r="C201"/>
      <c r="D201"/>
    </row>
    <row r="202" spans="2:4" x14ac:dyDescent="0.3">
      <c r="B202"/>
      <c r="C202"/>
      <c r="D202"/>
    </row>
    <row r="203" spans="2:4" x14ac:dyDescent="0.3">
      <c r="B203"/>
      <c r="C203"/>
      <c r="D203"/>
    </row>
    <row r="204" spans="2:4" x14ac:dyDescent="0.3">
      <c r="B204"/>
      <c r="C204"/>
      <c r="D204"/>
    </row>
    <row r="205" spans="2:4" x14ac:dyDescent="0.3">
      <c r="B205"/>
      <c r="C205"/>
      <c r="D205"/>
    </row>
    <row r="206" spans="2:4" x14ac:dyDescent="0.3">
      <c r="B206"/>
      <c r="C206"/>
      <c r="D206"/>
    </row>
    <row r="207" spans="2:4" x14ac:dyDescent="0.3">
      <c r="B207"/>
      <c r="C207"/>
      <c r="D207"/>
    </row>
    <row r="208" spans="2:4" x14ac:dyDescent="0.3">
      <c r="B208"/>
      <c r="C208"/>
      <c r="D208"/>
    </row>
    <row r="209" spans="2:4" x14ac:dyDescent="0.3">
      <c r="B209"/>
      <c r="C209"/>
      <c r="D209"/>
    </row>
    <row r="210" spans="2:4" x14ac:dyDescent="0.3">
      <c r="B210"/>
      <c r="C210"/>
      <c r="D210"/>
    </row>
    <row r="211" spans="2:4" x14ac:dyDescent="0.3">
      <c r="B211"/>
      <c r="C211"/>
      <c r="D211"/>
    </row>
    <row r="212" spans="2:4" x14ac:dyDescent="0.3">
      <c r="B212"/>
      <c r="C212"/>
      <c r="D212"/>
    </row>
    <row r="213" spans="2:4" x14ac:dyDescent="0.3">
      <c r="B213"/>
      <c r="C213"/>
      <c r="D213"/>
    </row>
    <row r="214" spans="2:4" x14ac:dyDescent="0.3">
      <c r="B214"/>
      <c r="C214"/>
      <c r="D214"/>
    </row>
    <row r="215" spans="2:4" x14ac:dyDescent="0.3">
      <c r="B215"/>
      <c r="C215"/>
      <c r="D215"/>
    </row>
    <row r="216" spans="2:4" x14ac:dyDescent="0.3">
      <c r="B216"/>
      <c r="C216"/>
      <c r="D216"/>
    </row>
    <row r="217" spans="2:4" x14ac:dyDescent="0.3">
      <c r="B217"/>
      <c r="C217"/>
      <c r="D217"/>
    </row>
    <row r="218" spans="2:4" x14ac:dyDescent="0.3">
      <c r="B218"/>
      <c r="C218"/>
      <c r="D218"/>
    </row>
    <row r="219" spans="2:4" x14ac:dyDescent="0.3">
      <c r="B219"/>
      <c r="C219"/>
      <c r="D219"/>
    </row>
    <row r="220" spans="2:4" x14ac:dyDescent="0.3">
      <c r="B220"/>
      <c r="C220"/>
      <c r="D220"/>
    </row>
    <row r="221" spans="2:4" x14ac:dyDescent="0.3">
      <c r="B221"/>
      <c r="C221"/>
      <c r="D221"/>
    </row>
    <row r="222" spans="2:4" x14ac:dyDescent="0.3">
      <c r="B222"/>
      <c r="C222"/>
      <c r="D222"/>
    </row>
    <row r="223" spans="2:4" x14ac:dyDescent="0.3">
      <c r="B223"/>
      <c r="C223"/>
      <c r="D223"/>
    </row>
    <row r="224" spans="2:4" x14ac:dyDescent="0.3">
      <c r="B224"/>
      <c r="C224"/>
      <c r="D224"/>
    </row>
    <row r="225" spans="2:4" x14ac:dyDescent="0.3">
      <c r="B225"/>
      <c r="C225"/>
      <c r="D225"/>
    </row>
    <row r="226" spans="2:4" x14ac:dyDescent="0.3">
      <c r="B226"/>
      <c r="C226"/>
      <c r="D226"/>
    </row>
    <row r="227" spans="2:4" x14ac:dyDescent="0.3">
      <c r="B227"/>
      <c r="C227"/>
      <c r="D227"/>
    </row>
    <row r="228" spans="2:4" x14ac:dyDescent="0.3">
      <c r="B228"/>
      <c r="C228"/>
      <c r="D228"/>
    </row>
    <row r="229" spans="2:4" x14ac:dyDescent="0.3">
      <c r="B229"/>
      <c r="C229"/>
      <c r="D229"/>
    </row>
    <row r="230" spans="2:4" x14ac:dyDescent="0.3">
      <c r="B230"/>
      <c r="C230"/>
      <c r="D230"/>
    </row>
    <row r="231" spans="2:4" x14ac:dyDescent="0.3">
      <c r="B231"/>
      <c r="C231"/>
      <c r="D231"/>
    </row>
    <row r="232" spans="2:4" x14ac:dyDescent="0.3">
      <c r="B232"/>
      <c r="C232"/>
      <c r="D232"/>
    </row>
    <row r="233" spans="2:4" x14ac:dyDescent="0.3">
      <c r="B233"/>
      <c r="C233"/>
      <c r="D233"/>
    </row>
    <row r="234" spans="2:4" x14ac:dyDescent="0.3">
      <c r="B234"/>
      <c r="C234"/>
      <c r="D234"/>
    </row>
    <row r="235" spans="2:4" x14ac:dyDescent="0.3">
      <c r="B235"/>
      <c r="C235"/>
      <c r="D235"/>
    </row>
    <row r="236" spans="2:4" x14ac:dyDescent="0.3">
      <c r="B236"/>
      <c r="C236"/>
      <c r="D236"/>
    </row>
    <row r="237" spans="2:4" x14ac:dyDescent="0.3">
      <c r="B237"/>
      <c r="C237"/>
      <c r="D237"/>
    </row>
    <row r="238" spans="2:4" x14ac:dyDescent="0.3">
      <c r="B238"/>
      <c r="C238"/>
      <c r="D238"/>
    </row>
    <row r="239" spans="2:4" x14ac:dyDescent="0.3">
      <c r="B239"/>
      <c r="C239"/>
      <c r="D239"/>
    </row>
    <row r="240" spans="2:4" x14ac:dyDescent="0.3">
      <c r="B240"/>
      <c r="C240"/>
      <c r="D240"/>
    </row>
    <row r="241" spans="2:4" x14ac:dyDescent="0.3">
      <c r="B241"/>
      <c r="C241"/>
      <c r="D241"/>
    </row>
    <row r="242" spans="2:4" x14ac:dyDescent="0.3">
      <c r="B242"/>
      <c r="C242"/>
      <c r="D242"/>
    </row>
    <row r="243" spans="2:4" x14ac:dyDescent="0.3">
      <c r="B243"/>
      <c r="C243"/>
      <c r="D243"/>
    </row>
    <row r="244" spans="2:4" x14ac:dyDescent="0.3">
      <c r="B244"/>
      <c r="C244"/>
      <c r="D244"/>
    </row>
    <row r="245" spans="2:4" x14ac:dyDescent="0.3">
      <c r="B245"/>
      <c r="C245"/>
      <c r="D245"/>
    </row>
    <row r="246" spans="2:4" x14ac:dyDescent="0.3">
      <c r="B246"/>
      <c r="C246"/>
      <c r="D246"/>
    </row>
    <row r="247" spans="2:4" x14ac:dyDescent="0.3">
      <c r="B247"/>
      <c r="C247"/>
      <c r="D247"/>
    </row>
    <row r="248" spans="2:4" x14ac:dyDescent="0.3">
      <c r="B248"/>
      <c r="C248"/>
      <c r="D248"/>
    </row>
    <row r="249" spans="2:4" x14ac:dyDescent="0.3">
      <c r="B249"/>
      <c r="C249"/>
      <c r="D249"/>
    </row>
    <row r="250" spans="2:4" x14ac:dyDescent="0.3">
      <c r="B250"/>
      <c r="C250"/>
      <c r="D250"/>
    </row>
    <row r="251" spans="2:4" x14ac:dyDescent="0.3">
      <c r="B251"/>
      <c r="C251"/>
      <c r="D251"/>
    </row>
    <row r="252" spans="2:4" x14ac:dyDescent="0.3">
      <c r="B252"/>
      <c r="C252"/>
      <c r="D252"/>
    </row>
    <row r="253" spans="2:4" x14ac:dyDescent="0.3">
      <c r="B253"/>
      <c r="C253"/>
      <c r="D253"/>
    </row>
    <row r="254" spans="2:4" x14ac:dyDescent="0.3">
      <c r="B254"/>
      <c r="C254"/>
      <c r="D254"/>
    </row>
    <row r="255" spans="2:4" x14ac:dyDescent="0.3">
      <c r="B255"/>
      <c r="C255"/>
      <c r="D255"/>
    </row>
    <row r="256" spans="2:4" x14ac:dyDescent="0.3">
      <c r="B256"/>
      <c r="C256"/>
      <c r="D256"/>
    </row>
    <row r="257" spans="2:4" x14ac:dyDescent="0.3">
      <c r="B257"/>
      <c r="C257"/>
      <c r="D257"/>
    </row>
    <row r="258" spans="2:4" x14ac:dyDescent="0.3">
      <c r="B258"/>
      <c r="C258"/>
      <c r="D258"/>
    </row>
    <row r="259" spans="2:4" x14ac:dyDescent="0.3">
      <c r="B259"/>
      <c r="C259"/>
      <c r="D259"/>
    </row>
    <row r="260" spans="2:4" x14ac:dyDescent="0.3">
      <c r="B260"/>
      <c r="C260"/>
      <c r="D260"/>
    </row>
    <row r="261" spans="2:4" x14ac:dyDescent="0.3">
      <c r="B261"/>
      <c r="C261"/>
      <c r="D261"/>
    </row>
    <row r="262" spans="2:4" x14ac:dyDescent="0.3">
      <c r="B262"/>
      <c r="C262"/>
      <c r="D262"/>
    </row>
    <row r="263" spans="2:4" x14ac:dyDescent="0.3">
      <c r="B263"/>
      <c r="C263"/>
      <c r="D263"/>
    </row>
    <row r="264" spans="2:4" x14ac:dyDescent="0.3">
      <c r="B264"/>
      <c r="C264"/>
      <c r="D264"/>
    </row>
    <row r="265" spans="2:4" x14ac:dyDescent="0.3">
      <c r="B265"/>
      <c r="C265"/>
      <c r="D265"/>
    </row>
    <row r="266" spans="2:4" x14ac:dyDescent="0.3">
      <c r="B266"/>
      <c r="C266"/>
      <c r="D266"/>
    </row>
    <row r="267" spans="2:4" x14ac:dyDescent="0.3">
      <c r="B267"/>
      <c r="C267"/>
      <c r="D267"/>
    </row>
    <row r="268" spans="2:4" x14ac:dyDescent="0.3">
      <c r="B268"/>
      <c r="C268"/>
      <c r="D268"/>
    </row>
    <row r="269" spans="2:4" x14ac:dyDescent="0.3">
      <c r="B269"/>
      <c r="C269"/>
      <c r="D269"/>
    </row>
    <row r="270" spans="2:4" x14ac:dyDescent="0.3">
      <c r="B270"/>
      <c r="C270"/>
      <c r="D270"/>
    </row>
    <row r="271" spans="2:4" x14ac:dyDescent="0.3">
      <c r="B271"/>
      <c r="C271"/>
      <c r="D271"/>
    </row>
    <row r="272" spans="2:4" x14ac:dyDescent="0.3">
      <c r="B272"/>
      <c r="C272"/>
      <c r="D272"/>
    </row>
    <row r="273" spans="2:4" x14ac:dyDescent="0.3">
      <c r="B273"/>
      <c r="C273"/>
      <c r="D273"/>
    </row>
    <row r="274" spans="2:4" x14ac:dyDescent="0.3">
      <c r="B274"/>
      <c r="C274"/>
      <c r="D274"/>
    </row>
    <row r="275" spans="2:4" x14ac:dyDescent="0.3">
      <c r="B275"/>
      <c r="C275"/>
      <c r="D275"/>
    </row>
    <row r="276" spans="2:4" x14ac:dyDescent="0.3">
      <c r="B276"/>
      <c r="C276"/>
      <c r="D276"/>
    </row>
    <row r="277" spans="2:4" x14ac:dyDescent="0.3">
      <c r="B277"/>
      <c r="C277"/>
      <c r="D277"/>
    </row>
    <row r="278" spans="2:4" x14ac:dyDescent="0.3">
      <c r="B278"/>
      <c r="C278"/>
      <c r="D278"/>
    </row>
    <row r="279" spans="2:4" x14ac:dyDescent="0.3">
      <c r="B279"/>
      <c r="C279"/>
      <c r="D279"/>
    </row>
    <row r="280" spans="2:4" x14ac:dyDescent="0.3">
      <c r="B280"/>
      <c r="C280"/>
      <c r="D280"/>
    </row>
    <row r="281" spans="2:4" x14ac:dyDescent="0.3">
      <c r="B281"/>
      <c r="C281"/>
      <c r="D281"/>
    </row>
    <row r="282" spans="2:4" x14ac:dyDescent="0.3">
      <c r="B282"/>
      <c r="C282"/>
      <c r="D282"/>
    </row>
    <row r="283" spans="2:4" x14ac:dyDescent="0.3">
      <c r="B283"/>
      <c r="C283"/>
      <c r="D283"/>
    </row>
    <row r="284" spans="2:4" x14ac:dyDescent="0.3">
      <c r="B284"/>
      <c r="C284"/>
      <c r="D284"/>
    </row>
    <row r="285" spans="2:4" x14ac:dyDescent="0.3">
      <c r="B285"/>
      <c r="C285"/>
      <c r="D285"/>
    </row>
    <row r="286" spans="2:4" x14ac:dyDescent="0.3">
      <c r="B286"/>
      <c r="C286"/>
      <c r="D286"/>
    </row>
    <row r="287" spans="2:4" x14ac:dyDescent="0.3">
      <c r="B287"/>
      <c r="C287"/>
      <c r="D287"/>
    </row>
    <row r="288" spans="2:4" x14ac:dyDescent="0.3">
      <c r="B288"/>
      <c r="C288"/>
      <c r="D288"/>
    </row>
    <row r="289" spans="2:4" x14ac:dyDescent="0.3">
      <c r="B289"/>
      <c r="C289"/>
      <c r="D289"/>
    </row>
    <row r="290" spans="2:4" x14ac:dyDescent="0.3">
      <c r="B290"/>
      <c r="C290"/>
      <c r="D290"/>
    </row>
    <row r="291" spans="2:4" x14ac:dyDescent="0.3">
      <c r="B291"/>
      <c r="C291"/>
      <c r="D291"/>
    </row>
    <row r="292" spans="2:4" x14ac:dyDescent="0.3">
      <c r="B292"/>
      <c r="C292"/>
      <c r="D292"/>
    </row>
    <row r="293" spans="2:4" x14ac:dyDescent="0.3">
      <c r="B293"/>
      <c r="C293"/>
      <c r="D293"/>
    </row>
    <row r="294" spans="2:4" x14ac:dyDescent="0.3">
      <c r="B294"/>
      <c r="C294"/>
      <c r="D294"/>
    </row>
    <row r="295" spans="2:4" x14ac:dyDescent="0.3">
      <c r="B295"/>
      <c r="C295"/>
      <c r="D295"/>
    </row>
    <row r="296" spans="2:4" x14ac:dyDescent="0.3">
      <c r="B296"/>
      <c r="C296"/>
      <c r="D296"/>
    </row>
    <row r="297" spans="2:4" x14ac:dyDescent="0.3">
      <c r="B297"/>
      <c r="C297"/>
      <c r="D297"/>
    </row>
    <row r="298" spans="2:4" x14ac:dyDescent="0.3">
      <c r="B298"/>
      <c r="C298"/>
      <c r="D298"/>
    </row>
    <row r="299" spans="2:4" x14ac:dyDescent="0.3">
      <c r="B299"/>
      <c r="C299"/>
      <c r="D299"/>
    </row>
    <row r="300" spans="2:4" x14ac:dyDescent="0.3">
      <c r="B300"/>
      <c r="C300"/>
      <c r="D300"/>
    </row>
    <row r="301" spans="2:4" x14ac:dyDescent="0.3">
      <c r="B301"/>
      <c r="C301"/>
      <c r="D301"/>
    </row>
    <row r="302" spans="2:4" x14ac:dyDescent="0.3">
      <c r="B302"/>
      <c r="C302"/>
      <c r="D302"/>
    </row>
    <row r="303" spans="2:4" x14ac:dyDescent="0.3">
      <c r="B303"/>
      <c r="C303"/>
      <c r="D303"/>
    </row>
    <row r="304" spans="2:4" x14ac:dyDescent="0.3">
      <c r="B304"/>
      <c r="C304"/>
      <c r="D304"/>
    </row>
    <row r="305" spans="2:4" x14ac:dyDescent="0.3">
      <c r="B305"/>
      <c r="C305"/>
      <c r="D305"/>
    </row>
    <row r="306" spans="2:4" x14ac:dyDescent="0.3">
      <c r="B306"/>
      <c r="C306"/>
      <c r="D306"/>
    </row>
    <row r="307" spans="2:4" x14ac:dyDescent="0.3">
      <c r="B307"/>
      <c r="C307"/>
      <c r="D307"/>
    </row>
    <row r="308" spans="2:4" x14ac:dyDescent="0.3">
      <c r="B308"/>
      <c r="C308"/>
      <c r="D308"/>
    </row>
    <row r="309" spans="2:4" x14ac:dyDescent="0.3">
      <c r="B309"/>
      <c r="C309"/>
      <c r="D309"/>
    </row>
    <row r="310" spans="2:4" x14ac:dyDescent="0.3">
      <c r="B310"/>
      <c r="C310"/>
      <c r="D310"/>
    </row>
    <row r="311" spans="2:4" x14ac:dyDescent="0.3">
      <c r="B311"/>
      <c r="C311"/>
      <c r="D311"/>
    </row>
    <row r="312" spans="2:4" x14ac:dyDescent="0.3">
      <c r="B312"/>
      <c r="C312"/>
      <c r="D312"/>
    </row>
    <row r="313" spans="2:4" x14ac:dyDescent="0.3">
      <c r="B313"/>
      <c r="C313"/>
      <c r="D313"/>
    </row>
    <row r="314" spans="2:4" x14ac:dyDescent="0.3">
      <c r="B314"/>
      <c r="C314"/>
      <c r="D314"/>
    </row>
    <row r="315" spans="2:4" x14ac:dyDescent="0.3">
      <c r="B315"/>
      <c r="C315"/>
      <c r="D315"/>
    </row>
    <row r="316" spans="2:4" x14ac:dyDescent="0.3">
      <c r="B316"/>
      <c r="C316"/>
      <c r="D316"/>
    </row>
    <row r="317" spans="2:4" x14ac:dyDescent="0.3">
      <c r="B317"/>
      <c r="C317"/>
      <c r="D317"/>
    </row>
    <row r="318" spans="2:4" x14ac:dyDescent="0.3">
      <c r="B318"/>
      <c r="C318"/>
      <c r="D318"/>
    </row>
    <row r="319" spans="2:4" x14ac:dyDescent="0.3">
      <c r="B319"/>
      <c r="C319"/>
      <c r="D319"/>
    </row>
    <row r="320" spans="2:4" x14ac:dyDescent="0.3">
      <c r="B320"/>
      <c r="C320"/>
      <c r="D320"/>
    </row>
    <row r="321" spans="2:4" x14ac:dyDescent="0.3">
      <c r="B321"/>
      <c r="C321"/>
      <c r="D321"/>
    </row>
    <row r="322" spans="2:4" x14ac:dyDescent="0.3">
      <c r="B322"/>
      <c r="C322"/>
      <c r="D322"/>
    </row>
    <row r="323" spans="2:4" x14ac:dyDescent="0.3">
      <c r="B323"/>
      <c r="C323"/>
      <c r="D323"/>
    </row>
    <row r="324" spans="2:4" x14ac:dyDescent="0.3">
      <c r="B324"/>
      <c r="C324"/>
      <c r="D324"/>
    </row>
    <row r="325" spans="2:4" x14ac:dyDescent="0.3">
      <c r="B325"/>
      <c r="C325"/>
      <c r="D325"/>
    </row>
    <row r="326" spans="2:4" x14ac:dyDescent="0.3">
      <c r="B326"/>
      <c r="C326"/>
      <c r="D326"/>
    </row>
    <row r="327" spans="2:4" x14ac:dyDescent="0.3">
      <c r="B327"/>
      <c r="C327"/>
      <c r="D327"/>
    </row>
    <row r="328" spans="2:4" x14ac:dyDescent="0.3">
      <c r="B328"/>
      <c r="C328"/>
      <c r="D328"/>
    </row>
    <row r="329" spans="2:4" x14ac:dyDescent="0.3">
      <c r="B329"/>
      <c r="C329"/>
      <c r="D329"/>
    </row>
    <row r="330" spans="2:4" x14ac:dyDescent="0.3">
      <c r="B330"/>
      <c r="C330"/>
      <c r="D330"/>
    </row>
    <row r="331" spans="2:4" x14ac:dyDescent="0.3">
      <c r="B331"/>
      <c r="C331"/>
      <c r="D331"/>
    </row>
    <row r="332" spans="2:4" x14ac:dyDescent="0.3">
      <c r="B332"/>
      <c r="C332"/>
      <c r="D332"/>
    </row>
    <row r="333" spans="2:4" x14ac:dyDescent="0.3">
      <c r="B333"/>
      <c r="C333"/>
      <c r="D333"/>
    </row>
    <row r="334" spans="2:4" x14ac:dyDescent="0.3">
      <c r="B334"/>
      <c r="C334"/>
      <c r="D334"/>
    </row>
    <row r="335" spans="2:4" x14ac:dyDescent="0.3">
      <c r="B335"/>
      <c r="C335"/>
      <c r="D335"/>
    </row>
    <row r="336" spans="2:4" x14ac:dyDescent="0.3">
      <c r="B336"/>
      <c r="C336"/>
      <c r="D336"/>
    </row>
    <row r="337" spans="2:4" x14ac:dyDescent="0.3">
      <c r="B337"/>
      <c r="C337"/>
      <c r="D337"/>
    </row>
    <row r="338" spans="2:4" x14ac:dyDescent="0.3">
      <c r="B338"/>
      <c r="C338"/>
      <c r="D338"/>
    </row>
    <row r="339" spans="2:4" x14ac:dyDescent="0.3">
      <c r="B339"/>
      <c r="C339"/>
      <c r="D339"/>
    </row>
    <row r="340" spans="2:4" x14ac:dyDescent="0.3">
      <c r="B340"/>
      <c r="C340"/>
      <c r="D340"/>
    </row>
    <row r="341" spans="2:4" x14ac:dyDescent="0.3">
      <c r="B341"/>
      <c r="C341"/>
      <c r="D341"/>
    </row>
    <row r="342" spans="2:4" x14ac:dyDescent="0.3">
      <c r="B342"/>
      <c r="C342"/>
      <c r="D342"/>
    </row>
    <row r="343" spans="2:4" x14ac:dyDescent="0.3">
      <c r="B343"/>
      <c r="C343"/>
      <c r="D343"/>
    </row>
    <row r="344" spans="2:4" x14ac:dyDescent="0.3">
      <c r="B344"/>
      <c r="C344"/>
      <c r="D344"/>
    </row>
    <row r="345" spans="2:4" x14ac:dyDescent="0.3">
      <c r="B345"/>
      <c r="C345"/>
      <c r="D345"/>
    </row>
    <row r="346" spans="2:4" x14ac:dyDescent="0.3">
      <c r="B346"/>
      <c r="C346"/>
      <c r="D346"/>
    </row>
    <row r="347" spans="2:4" x14ac:dyDescent="0.3">
      <c r="B347"/>
      <c r="C347"/>
      <c r="D347"/>
    </row>
    <row r="348" spans="2:4" x14ac:dyDescent="0.3">
      <c r="B348"/>
      <c r="C348"/>
      <c r="D348"/>
    </row>
    <row r="349" spans="2:4" x14ac:dyDescent="0.3">
      <c r="B349"/>
      <c r="C349"/>
      <c r="D349"/>
    </row>
    <row r="350" spans="2:4" x14ac:dyDescent="0.3">
      <c r="B350"/>
      <c r="C350"/>
      <c r="D350"/>
    </row>
    <row r="351" spans="2:4" x14ac:dyDescent="0.3">
      <c r="B351"/>
      <c r="C351"/>
      <c r="D351"/>
    </row>
    <row r="352" spans="2:4" x14ac:dyDescent="0.3">
      <c r="B352"/>
      <c r="C352"/>
      <c r="D352"/>
    </row>
    <row r="353" spans="2:4" x14ac:dyDescent="0.3">
      <c r="B353"/>
      <c r="C353"/>
      <c r="D353"/>
    </row>
    <row r="354" spans="2:4" x14ac:dyDescent="0.3">
      <c r="B354"/>
      <c r="C354"/>
      <c r="D354"/>
    </row>
    <row r="355" spans="2:4" x14ac:dyDescent="0.3">
      <c r="B355"/>
      <c r="C355"/>
      <c r="D355"/>
    </row>
    <row r="356" spans="2:4" x14ac:dyDescent="0.3">
      <c r="B356"/>
      <c r="C356"/>
      <c r="D356"/>
    </row>
    <row r="357" spans="2:4" x14ac:dyDescent="0.3">
      <c r="B357"/>
      <c r="C357"/>
      <c r="D357"/>
    </row>
    <row r="358" spans="2:4" x14ac:dyDescent="0.3">
      <c r="B358"/>
      <c r="C358"/>
      <c r="D358"/>
    </row>
    <row r="359" spans="2:4" x14ac:dyDescent="0.3">
      <c r="B359"/>
      <c r="C359"/>
      <c r="D359"/>
    </row>
    <row r="360" spans="2:4" x14ac:dyDescent="0.3">
      <c r="B360"/>
      <c r="C360"/>
      <c r="D360"/>
    </row>
    <row r="361" spans="2:4" x14ac:dyDescent="0.3">
      <c r="B361"/>
      <c r="C361"/>
      <c r="D361"/>
    </row>
    <row r="362" spans="2:4" x14ac:dyDescent="0.3">
      <c r="B362"/>
      <c r="C362"/>
      <c r="D362"/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36840-0B15-437C-8DE2-987BFCEA61DC}">
  <dimension ref="A1:J33"/>
  <sheetViews>
    <sheetView workbookViewId="0">
      <selection activeCell="M24" sqref="M24"/>
    </sheetView>
  </sheetViews>
  <sheetFormatPr defaultRowHeight="14.4" x14ac:dyDescent="0.3"/>
  <cols>
    <col min="2" max="2" width="15.44140625" customWidth="1"/>
    <col min="3" max="4" width="19.44140625" customWidth="1"/>
    <col min="6" max="6" width="24.88671875" customWidth="1"/>
    <col min="7" max="7" width="13.109375" customWidth="1"/>
    <col min="8" max="9" width="15.88671875" customWidth="1"/>
    <col min="10" max="10" width="62.5546875" customWidth="1"/>
    <col min="11" max="11" width="13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92</v>
      </c>
      <c r="J1" t="s">
        <v>93</v>
      </c>
    </row>
    <row r="2" spans="1:10" x14ac:dyDescent="0.3">
      <c r="A2" t="s">
        <v>8</v>
      </c>
      <c r="B2" s="1" t="s">
        <v>13</v>
      </c>
      <c r="C2" s="1" t="s">
        <v>86</v>
      </c>
      <c r="D2" s="1" t="s">
        <v>20</v>
      </c>
      <c r="E2" s="1" t="s">
        <v>12</v>
      </c>
      <c r="F2" s="4">
        <v>65</v>
      </c>
      <c r="G2" s="4">
        <v>77</v>
      </c>
      <c r="H2" s="4">
        <v>74</v>
      </c>
      <c r="I2" s="5">
        <v>454</v>
      </c>
      <c r="J2" t="s">
        <v>94</v>
      </c>
    </row>
    <row r="3" spans="1:10" x14ac:dyDescent="0.3">
      <c r="A3" t="s">
        <v>8</v>
      </c>
      <c r="B3" s="1" t="s">
        <v>13</v>
      </c>
      <c r="C3" s="1" t="s">
        <v>86</v>
      </c>
      <c r="D3" s="1" t="s">
        <v>11</v>
      </c>
      <c r="E3" s="1" t="s">
        <v>12</v>
      </c>
      <c r="F3" s="4">
        <v>65</v>
      </c>
      <c r="G3" s="4">
        <v>77</v>
      </c>
      <c r="H3" s="4">
        <v>74</v>
      </c>
      <c r="I3" s="5">
        <v>615</v>
      </c>
    </row>
    <row r="4" spans="1:10" x14ac:dyDescent="0.3">
      <c r="A4" s="1" t="s">
        <v>8</v>
      </c>
      <c r="B4" s="1" t="s">
        <v>13</v>
      </c>
      <c r="C4" s="1" t="s">
        <v>86</v>
      </c>
      <c r="D4" s="1" t="s">
        <v>11</v>
      </c>
      <c r="E4" s="1" t="s">
        <v>12</v>
      </c>
      <c r="F4" s="4">
        <v>69</v>
      </c>
      <c r="G4" s="4">
        <v>80</v>
      </c>
      <c r="H4" s="4">
        <v>71</v>
      </c>
      <c r="I4" s="6">
        <v>65</v>
      </c>
      <c r="J4" t="s">
        <v>95</v>
      </c>
    </row>
    <row r="5" spans="1:10" x14ac:dyDescent="0.3">
      <c r="A5" s="1" t="s">
        <v>8</v>
      </c>
      <c r="B5" s="1" t="s">
        <v>13</v>
      </c>
      <c r="C5" s="1" t="s">
        <v>86</v>
      </c>
      <c r="D5" s="1" t="s">
        <v>11</v>
      </c>
      <c r="E5" s="1" t="s">
        <v>12</v>
      </c>
      <c r="F5" s="4">
        <v>69</v>
      </c>
      <c r="G5" s="4">
        <v>80</v>
      </c>
      <c r="H5" s="4" t="s">
        <v>90</v>
      </c>
      <c r="I5" s="6">
        <v>1012</v>
      </c>
    </row>
    <row r="6" spans="1:10" x14ac:dyDescent="0.3">
      <c r="A6" s="1" t="s">
        <v>8</v>
      </c>
      <c r="B6" s="1" t="s">
        <v>13</v>
      </c>
      <c r="C6" s="1" t="s">
        <v>83</v>
      </c>
      <c r="D6" s="1" t="s">
        <v>11</v>
      </c>
      <c r="E6" s="1" t="s">
        <v>12</v>
      </c>
      <c r="F6" s="4">
        <v>81</v>
      </c>
      <c r="G6" s="4" t="s">
        <v>90</v>
      </c>
      <c r="H6" s="4">
        <v>90</v>
      </c>
      <c r="I6" s="6">
        <v>495</v>
      </c>
      <c r="J6" t="s">
        <v>96</v>
      </c>
    </row>
    <row r="7" spans="1:10" x14ac:dyDescent="0.3">
      <c r="A7" s="1" t="s">
        <v>8</v>
      </c>
      <c r="B7" s="1" t="s">
        <v>13</v>
      </c>
      <c r="C7" s="1" t="s">
        <v>83</v>
      </c>
      <c r="D7" s="1" t="s">
        <v>11</v>
      </c>
      <c r="E7" s="1" t="s">
        <v>12</v>
      </c>
      <c r="F7" s="4">
        <v>81</v>
      </c>
      <c r="G7" s="4">
        <v>88</v>
      </c>
      <c r="H7" s="4">
        <v>90</v>
      </c>
      <c r="I7" s="6">
        <v>1009</v>
      </c>
    </row>
    <row r="8" spans="1:10" x14ac:dyDescent="0.3">
      <c r="A8" s="1" t="s">
        <v>8</v>
      </c>
      <c r="B8" s="1" t="s">
        <v>21</v>
      </c>
      <c r="C8" s="1" t="s">
        <v>84</v>
      </c>
      <c r="D8" s="1" t="s">
        <v>20</v>
      </c>
      <c r="E8" s="1" t="s">
        <v>12</v>
      </c>
      <c r="F8" s="4">
        <v>65</v>
      </c>
      <c r="G8" s="4" t="s">
        <v>90</v>
      </c>
      <c r="H8" s="4">
        <v>77</v>
      </c>
      <c r="I8" s="6">
        <v>203</v>
      </c>
      <c r="J8" t="s">
        <v>97</v>
      </c>
    </row>
    <row r="9" spans="1:10" x14ac:dyDescent="0.3">
      <c r="A9" s="1" t="s">
        <v>8</v>
      </c>
      <c r="B9" s="1" t="s">
        <v>21</v>
      </c>
      <c r="C9" s="1" t="s">
        <v>84</v>
      </c>
      <c r="D9" s="1" t="s">
        <v>11</v>
      </c>
      <c r="E9" s="1" t="s">
        <v>12</v>
      </c>
      <c r="F9" s="4">
        <v>65</v>
      </c>
      <c r="G9" s="4">
        <v>70</v>
      </c>
      <c r="H9" s="4" t="s">
        <v>90</v>
      </c>
      <c r="I9" s="6">
        <v>275</v>
      </c>
    </row>
    <row r="10" spans="1:10" x14ac:dyDescent="0.3">
      <c r="A10" s="1" t="s">
        <v>8</v>
      </c>
      <c r="B10" s="1" t="s">
        <v>26</v>
      </c>
      <c r="C10" s="1" t="s">
        <v>84</v>
      </c>
      <c r="D10" s="1" t="s">
        <v>20</v>
      </c>
      <c r="E10" s="1" t="s">
        <v>12</v>
      </c>
      <c r="F10" s="4">
        <v>71</v>
      </c>
      <c r="G10" s="4">
        <v>76</v>
      </c>
      <c r="H10" s="4">
        <v>70</v>
      </c>
      <c r="I10" s="6">
        <v>271</v>
      </c>
      <c r="J10" t="s">
        <v>98</v>
      </c>
    </row>
    <row r="11" spans="1:10" x14ac:dyDescent="0.3">
      <c r="A11" s="1" t="s">
        <v>8</v>
      </c>
      <c r="B11" s="1" t="s">
        <v>26</v>
      </c>
      <c r="C11" s="1" t="s">
        <v>84</v>
      </c>
      <c r="D11" s="1" t="s">
        <v>11</v>
      </c>
      <c r="E11" s="1" t="s">
        <v>12</v>
      </c>
      <c r="F11" s="4">
        <v>71</v>
      </c>
      <c r="G11" s="4">
        <v>70</v>
      </c>
      <c r="H11" s="4">
        <v>76</v>
      </c>
      <c r="I11" s="6">
        <v>464</v>
      </c>
    </row>
    <row r="12" spans="1:10" x14ac:dyDescent="0.3">
      <c r="A12" s="1" t="s">
        <v>17</v>
      </c>
      <c r="B12" s="1" t="s">
        <v>9</v>
      </c>
      <c r="C12" s="1" t="s">
        <v>87</v>
      </c>
      <c r="D12" s="1" t="s">
        <v>20</v>
      </c>
      <c r="E12" s="1" t="s">
        <v>12</v>
      </c>
      <c r="F12" s="4">
        <v>66</v>
      </c>
      <c r="G12" s="4">
        <v>77</v>
      </c>
      <c r="H12" s="4">
        <v>70</v>
      </c>
      <c r="I12" s="6">
        <v>220</v>
      </c>
      <c r="J12" t="s">
        <v>99</v>
      </c>
    </row>
    <row r="13" spans="1:10" x14ac:dyDescent="0.3">
      <c r="A13" s="1" t="s">
        <v>17</v>
      </c>
      <c r="B13" s="1" t="s">
        <v>9</v>
      </c>
      <c r="C13" s="1" t="s">
        <v>87</v>
      </c>
      <c r="D13" s="1" t="s">
        <v>20</v>
      </c>
      <c r="E13" s="1" t="s">
        <v>12</v>
      </c>
      <c r="F13" s="4">
        <v>66</v>
      </c>
      <c r="G13" s="4">
        <v>77</v>
      </c>
      <c r="H13" s="4" t="s">
        <v>90</v>
      </c>
      <c r="I13" s="6">
        <v>1010</v>
      </c>
    </row>
    <row r="14" spans="1:10" x14ac:dyDescent="0.3">
      <c r="A14" s="1" t="s">
        <v>17</v>
      </c>
      <c r="B14" s="1" t="s">
        <v>13</v>
      </c>
      <c r="C14" s="1" t="s">
        <v>87</v>
      </c>
      <c r="D14" s="1" t="s">
        <v>11</v>
      </c>
      <c r="E14" s="1" t="s">
        <v>12</v>
      </c>
      <c r="F14" s="4">
        <v>61</v>
      </c>
      <c r="G14" s="4">
        <v>56</v>
      </c>
      <c r="H14" s="4">
        <v>55</v>
      </c>
      <c r="I14" s="6">
        <v>434</v>
      </c>
      <c r="J14" t="s">
        <v>98</v>
      </c>
    </row>
    <row r="15" spans="1:10" x14ac:dyDescent="0.3">
      <c r="A15" s="1" t="s">
        <v>17</v>
      </c>
      <c r="B15" s="1" t="s">
        <v>13</v>
      </c>
      <c r="C15" s="1" t="s">
        <v>87</v>
      </c>
      <c r="D15" s="1" t="s">
        <v>20</v>
      </c>
      <c r="E15" s="1" t="s">
        <v>12</v>
      </c>
      <c r="F15" s="4">
        <v>61</v>
      </c>
      <c r="G15" s="4">
        <v>60</v>
      </c>
      <c r="H15" s="4">
        <v>55</v>
      </c>
      <c r="I15" s="6">
        <v>741</v>
      </c>
    </row>
    <row r="16" spans="1:10" x14ac:dyDescent="0.3">
      <c r="A16" s="1" t="s">
        <v>17</v>
      </c>
      <c r="B16" s="1" t="s">
        <v>13</v>
      </c>
      <c r="C16" s="1" t="s">
        <v>88</v>
      </c>
      <c r="D16" s="1" t="s">
        <v>11</v>
      </c>
      <c r="E16" s="1" t="s">
        <v>12</v>
      </c>
      <c r="F16" s="4">
        <v>73</v>
      </c>
      <c r="G16" s="4">
        <v>66</v>
      </c>
      <c r="H16" s="4">
        <v>66</v>
      </c>
      <c r="I16" s="6">
        <v>436</v>
      </c>
      <c r="J16" t="s">
        <v>100</v>
      </c>
    </row>
    <row r="17" spans="1:10" x14ac:dyDescent="0.3">
      <c r="A17" s="1" t="s">
        <v>17</v>
      </c>
      <c r="B17" s="1" t="s">
        <v>13</v>
      </c>
      <c r="C17" s="1" t="s">
        <v>88</v>
      </c>
      <c r="D17" s="1" t="s">
        <v>11</v>
      </c>
      <c r="E17" s="1" t="s">
        <v>12</v>
      </c>
      <c r="F17" s="4">
        <v>73</v>
      </c>
      <c r="G17" s="4">
        <v>66</v>
      </c>
      <c r="H17" s="4">
        <v>63</v>
      </c>
      <c r="I17" s="6">
        <v>663</v>
      </c>
    </row>
    <row r="18" spans="1:10" x14ac:dyDescent="0.3">
      <c r="A18" s="1" t="s">
        <v>17</v>
      </c>
      <c r="B18" s="1" t="s">
        <v>13</v>
      </c>
      <c r="C18" s="1" t="s">
        <v>87</v>
      </c>
      <c r="D18" s="1" t="s">
        <v>20</v>
      </c>
      <c r="E18" s="1" t="s">
        <v>12</v>
      </c>
      <c r="F18" s="4">
        <v>58</v>
      </c>
      <c r="G18" s="4">
        <v>61</v>
      </c>
      <c r="H18" s="4">
        <v>52</v>
      </c>
      <c r="I18" s="6">
        <v>342</v>
      </c>
      <c r="J18" t="s">
        <v>101</v>
      </c>
    </row>
    <row r="19" spans="1:10" x14ac:dyDescent="0.3">
      <c r="A19" s="1" t="s">
        <v>17</v>
      </c>
      <c r="B19" s="1" t="s">
        <v>13</v>
      </c>
      <c r="C19" s="1" t="s">
        <v>87</v>
      </c>
      <c r="D19" s="1" t="s">
        <v>20</v>
      </c>
      <c r="E19" s="1" t="s">
        <v>15</v>
      </c>
      <c r="F19" s="4">
        <v>58</v>
      </c>
      <c r="G19" s="4">
        <v>51</v>
      </c>
      <c r="H19" s="4">
        <v>52</v>
      </c>
      <c r="I19" s="6">
        <v>624</v>
      </c>
    </row>
    <row r="20" spans="1:10" x14ac:dyDescent="0.3">
      <c r="A20" s="1" t="s">
        <v>17</v>
      </c>
      <c r="B20" s="1" t="s">
        <v>21</v>
      </c>
      <c r="C20" s="1" t="s">
        <v>86</v>
      </c>
      <c r="D20" s="1" t="s">
        <v>11</v>
      </c>
      <c r="E20" s="1" t="s">
        <v>12</v>
      </c>
      <c r="F20" s="4">
        <v>75</v>
      </c>
      <c r="G20" s="4" t="s">
        <v>90</v>
      </c>
      <c r="H20" s="4">
        <v>64</v>
      </c>
      <c r="I20" s="6">
        <v>438</v>
      </c>
      <c r="J20" t="s">
        <v>102</v>
      </c>
    </row>
    <row r="21" spans="1:10" x14ac:dyDescent="0.3">
      <c r="A21" s="1" t="s">
        <v>17</v>
      </c>
      <c r="B21" s="1" t="s">
        <v>21</v>
      </c>
      <c r="C21" s="1" t="s">
        <v>86</v>
      </c>
      <c r="D21" s="1" t="s">
        <v>11</v>
      </c>
      <c r="E21" s="1" t="s">
        <v>12</v>
      </c>
      <c r="F21" s="4">
        <v>75</v>
      </c>
      <c r="G21" s="4">
        <v>68</v>
      </c>
      <c r="H21" s="4">
        <v>64</v>
      </c>
      <c r="I21" s="6">
        <v>1011</v>
      </c>
    </row>
    <row r="22" spans="1:10" x14ac:dyDescent="0.3">
      <c r="A22" s="1" t="s">
        <v>17</v>
      </c>
      <c r="B22" s="1" t="s">
        <v>21</v>
      </c>
      <c r="C22" s="1" t="s">
        <v>86</v>
      </c>
      <c r="D22" s="1" t="s">
        <v>20</v>
      </c>
      <c r="E22" s="1" t="s">
        <v>12</v>
      </c>
      <c r="F22" s="4">
        <v>81</v>
      </c>
      <c r="G22" s="4" t="s">
        <v>90</v>
      </c>
      <c r="H22" s="4">
        <v>78</v>
      </c>
      <c r="I22" s="6">
        <v>680</v>
      </c>
      <c r="J22" t="s">
        <v>103</v>
      </c>
    </row>
    <row r="23" spans="1:10" x14ac:dyDescent="0.3">
      <c r="A23" s="1" t="s">
        <v>17</v>
      </c>
      <c r="B23" s="1" t="s">
        <v>21</v>
      </c>
      <c r="C23" s="1" t="s">
        <v>86</v>
      </c>
      <c r="D23" s="1" t="s">
        <v>20</v>
      </c>
      <c r="E23" s="1" t="s">
        <v>12</v>
      </c>
      <c r="F23" s="4">
        <v>81</v>
      </c>
      <c r="G23" s="4">
        <v>75</v>
      </c>
      <c r="H23" s="4">
        <v>78</v>
      </c>
      <c r="I23" s="6">
        <v>1002</v>
      </c>
    </row>
    <row r="24" spans="1:10" x14ac:dyDescent="0.3">
      <c r="A24" s="1" t="s">
        <v>17</v>
      </c>
      <c r="B24" s="1" t="s">
        <v>21</v>
      </c>
      <c r="C24" s="1" t="s">
        <v>86</v>
      </c>
      <c r="D24" s="1" t="s">
        <v>20</v>
      </c>
      <c r="E24" s="1" t="s">
        <v>12</v>
      </c>
      <c r="F24" s="4">
        <v>90</v>
      </c>
      <c r="G24" s="4">
        <v>87</v>
      </c>
      <c r="H24" s="4">
        <v>75</v>
      </c>
      <c r="I24" s="6">
        <v>301</v>
      </c>
      <c r="J24" t="s">
        <v>104</v>
      </c>
    </row>
    <row r="25" spans="1:10" x14ac:dyDescent="0.3">
      <c r="A25" s="1" t="s">
        <v>17</v>
      </c>
      <c r="B25" s="1" t="s">
        <v>21</v>
      </c>
      <c r="C25" s="1" t="s">
        <v>86</v>
      </c>
      <c r="D25" s="1" t="s">
        <v>11</v>
      </c>
      <c r="E25" s="1" t="s">
        <v>12</v>
      </c>
      <c r="F25" s="4">
        <v>90</v>
      </c>
      <c r="G25" s="4">
        <v>87</v>
      </c>
      <c r="H25" s="4">
        <v>85</v>
      </c>
      <c r="I25" s="6">
        <v>661</v>
      </c>
    </row>
    <row r="26" spans="1:10" x14ac:dyDescent="0.3">
      <c r="A26" s="1" t="s">
        <v>17</v>
      </c>
      <c r="B26" s="1" t="s">
        <v>21</v>
      </c>
      <c r="C26" s="1" t="s">
        <v>83</v>
      </c>
      <c r="D26" s="1" t="s">
        <v>20</v>
      </c>
      <c r="E26" s="1" t="s">
        <v>12</v>
      </c>
      <c r="F26" s="4">
        <v>55</v>
      </c>
      <c r="G26" s="4">
        <v>46</v>
      </c>
      <c r="H26" s="4" t="s">
        <v>90</v>
      </c>
      <c r="I26" s="6">
        <v>885</v>
      </c>
      <c r="J26" t="s">
        <v>105</v>
      </c>
    </row>
    <row r="27" spans="1:10" x14ac:dyDescent="0.3">
      <c r="A27" s="1" t="s">
        <v>17</v>
      </c>
      <c r="B27" s="1" t="s">
        <v>21</v>
      </c>
      <c r="C27" s="1" t="s">
        <v>83</v>
      </c>
      <c r="D27" s="1" t="s">
        <v>20</v>
      </c>
      <c r="E27" s="1" t="s">
        <v>12</v>
      </c>
      <c r="F27" s="4">
        <v>55</v>
      </c>
      <c r="G27" s="4">
        <v>46</v>
      </c>
      <c r="H27" s="4">
        <v>44</v>
      </c>
      <c r="I27" s="6">
        <v>1004</v>
      </c>
    </row>
    <row r="28" spans="1:10" x14ac:dyDescent="0.3">
      <c r="A28" s="1" t="s">
        <v>17</v>
      </c>
      <c r="B28" s="1" t="s">
        <v>21</v>
      </c>
      <c r="C28" s="1" t="s">
        <v>84</v>
      </c>
      <c r="D28" s="1" t="s">
        <v>11</v>
      </c>
      <c r="E28" s="1" t="s">
        <v>15</v>
      </c>
      <c r="F28" s="4">
        <v>77</v>
      </c>
      <c r="G28" s="4">
        <v>62</v>
      </c>
      <c r="H28" s="4">
        <v>62</v>
      </c>
      <c r="I28" s="6">
        <v>195</v>
      </c>
      <c r="J28" t="s">
        <v>106</v>
      </c>
    </row>
    <row r="29" spans="1:10" x14ac:dyDescent="0.3">
      <c r="A29" s="1" t="s">
        <v>17</v>
      </c>
      <c r="B29" s="1" t="s">
        <v>21</v>
      </c>
      <c r="C29" s="1" t="s">
        <v>84</v>
      </c>
      <c r="D29" s="1" t="s">
        <v>20</v>
      </c>
      <c r="E29" s="1" t="s">
        <v>12</v>
      </c>
      <c r="F29" s="4">
        <v>77</v>
      </c>
      <c r="G29" s="4">
        <v>62</v>
      </c>
      <c r="H29" s="4">
        <v>64</v>
      </c>
      <c r="I29" s="6">
        <v>555</v>
      </c>
    </row>
    <row r="30" spans="1:10" x14ac:dyDescent="0.3">
      <c r="A30" s="1" t="s">
        <v>17</v>
      </c>
      <c r="B30" s="1" t="s">
        <v>26</v>
      </c>
      <c r="C30" s="1" t="s">
        <v>86</v>
      </c>
      <c r="D30" s="1" t="s">
        <v>20</v>
      </c>
      <c r="E30" s="1" t="s">
        <v>12</v>
      </c>
      <c r="F30" s="4">
        <v>46</v>
      </c>
      <c r="G30" s="4">
        <v>43</v>
      </c>
      <c r="H30" s="4">
        <v>41</v>
      </c>
      <c r="I30" s="6">
        <v>377</v>
      </c>
      <c r="J30" t="s">
        <v>107</v>
      </c>
    </row>
    <row r="31" spans="1:10" x14ac:dyDescent="0.3">
      <c r="A31" s="1" t="s">
        <v>17</v>
      </c>
      <c r="B31" s="1" t="s">
        <v>26</v>
      </c>
      <c r="C31" s="1" t="s">
        <v>86</v>
      </c>
      <c r="D31" s="1" t="s">
        <v>20</v>
      </c>
      <c r="E31" s="1" t="s">
        <v>15</v>
      </c>
      <c r="F31" s="4">
        <v>46</v>
      </c>
      <c r="G31" s="4">
        <v>43</v>
      </c>
      <c r="H31" s="4">
        <v>44</v>
      </c>
      <c r="I31" s="6">
        <v>930</v>
      </c>
    </row>
    <row r="32" spans="1:10" x14ac:dyDescent="0.3">
      <c r="A32" s="1" t="s">
        <v>17</v>
      </c>
      <c r="B32" s="1" t="s">
        <v>26</v>
      </c>
      <c r="C32" s="1" t="s">
        <v>84</v>
      </c>
      <c r="D32" s="1" t="s">
        <v>11</v>
      </c>
      <c r="E32" s="1" t="s">
        <v>12</v>
      </c>
      <c r="F32" s="4">
        <v>84</v>
      </c>
      <c r="G32" s="4">
        <v>77</v>
      </c>
      <c r="H32" s="4">
        <v>71</v>
      </c>
      <c r="I32" s="6">
        <v>372</v>
      </c>
      <c r="J32" t="s">
        <v>108</v>
      </c>
    </row>
    <row r="33" spans="1:9" x14ac:dyDescent="0.3">
      <c r="A33" s="1" t="s">
        <v>17</v>
      </c>
      <c r="B33" s="1" t="s">
        <v>26</v>
      </c>
      <c r="C33" s="1" t="s">
        <v>84</v>
      </c>
      <c r="D33" s="1" t="s">
        <v>11</v>
      </c>
      <c r="E33" s="1" t="s">
        <v>12</v>
      </c>
      <c r="F33" s="4">
        <v>84</v>
      </c>
      <c r="G33" s="4">
        <v>77</v>
      </c>
      <c r="H33" s="4" t="s">
        <v>90</v>
      </c>
      <c r="I33" s="6">
        <v>1006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100C-529F-4D57-B5AB-88D8DB6A2A9E}">
  <dimension ref="A1:F56"/>
  <sheetViews>
    <sheetView workbookViewId="0">
      <selection activeCell="I7" sqref="I7"/>
    </sheetView>
  </sheetViews>
  <sheetFormatPr defaultRowHeight="14.4" x14ac:dyDescent="0.3"/>
  <cols>
    <col min="1" max="1" width="25.109375" customWidth="1"/>
    <col min="2" max="2" width="19.5546875" customWidth="1"/>
  </cols>
  <sheetData>
    <row r="1" spans="1:6" x14ac:dyDescent="0.3">
      <c r="A1" t="s">
        <v>82</v>
      </c>
      <c r="B1" t="s">
        <v>81</v>
      </c>
    </row>
    <row r="2" spans="1:6" x14ac:dyDescent="0.3">
      <c r="A2" t="s">
        <v>10</v>
      </c>
      <c r="B2" t="s">
        <v>10</v>
      </c>
    </row>
    <row r="3" spans="1:6" x14ac:dyDescent="0.3">
      <c r="A3" t="s">
        <v>14</v>
      </c>
      <c r="B3" t="s">
        <v>14</v>
      </c>
    </row>
    <row r="4" spans="1:6" x14ac:dyDescent="0.3">
      <c r="A4" t="s">
        <v>16</v>
      </c>
      <c r="B4" t="s">
        <v>16</v>
      </c>
    </row>
    <row r="5" spans="1:6" x14ac:dyDescent="0.3">
      <c r="A5" t="s">
        <v>19</v>
      </c>
      <c r="B5" t="s">
        <v>19</v>
      </c>
    </row>
    <row r="6" spans="1:6" x14ac:dyDescent="0.3">
      <c r="A6" t="s">
        <v>22</v>
      </c>
      <c r="B6" t="s">
        <v>22</v>
      </c>
    </row>
    <row r="7" spans="1:6" x14ac:dyDescent="0.3">
      <c r="A7" t="s">
        <v>23</v>
      </c>
      <c r="B7" t="s">
        <v>23</v>
      </c>
    </row>
    <row r="8" spans="1:6" x14ac:dyDescent="0.3">
      <c r="A8" t="s">
        <v>79</v>
      </c>
      <c r="B8" t="s">
        <v>10</v>
      </c>
    </row>
    <row r="9" spans="1:6" x14ac:dyDescent="0.3">
      <c r="A9" t="s">
        <v>80</v>
      </c>
      <c r="B9" t="s">
        <v>14</v>
      </c>
      <c r="F9" t="s">
        <v>89</v>
      </c>
    </row>
    <row r="10" spans="1:6" x14ac:dyDescent="0.3">
      <c r="A10" t="s">
        <v>49</v>
      </c>
      <c r="B10" t="s">
        <v>23</v>
      </c>
    </row>
    <row r="11" spans="1:6" x14ac:dyDescent="0.3">
      <c r="A11" t="s">
        <v>42</v>
      </c>
      <c r="B11" t="s">
        <v>19</v>
      </c>
    </row>
    <row r="12" spans="1:6" x14ac:dyDescent="0.3">
      <c r="A12" t="s">
        <v>50</v>
      </c>
      <c r="B12" t="s">
        <v>50</v>
      </c>
    </row>
    <row r="13" spans="1:6" x14ac:dyDescent="0.3">
      <c r="A13" t="s">
        <v>51</v>
      </c>
      <c r="B13" t="s">
        <v>10</v>
      </c>
    </row>
    <row r="14" spans="1:6" x14ac:dyDescent="0.3">
      <c r="A14" t="s">
        <v>37</v>
      </c>
      <c r="B14" t="s">
        <v>14</v>
      </c>
    </row>
    <row r="15" spans="1:6" x14ac:dyDescent="0.3">
      <c r="A15" t="s">
        <v>52</v>
      </c>
      <c r="B15" t="s">
        <v>19</v>
      </c>
    </row>
    <row r="16" spans="1:6" x14ac:dyDescent="0.3">
      <c r="A16" t="s">
        <v>53</v>
      </c>
      <c r="B16" t="s">
        <v>23</v>
      </c>
    </row>
    <row r="17" spans="1:2" x14ac:dyDescent="0.3">
      <c r="A17" t="s">
        <v>48</v>
      </c>
      <c r="B17" t="s">
        <v>14</v>
      </c>
    </row>
    <row r="18" spans="1:2" x14ac:dyDescent="0.3">
      <c r="A18" t="s">
        <v>45</v>
      </c>
      <c r="B18" t="s">
        <v>23</v>
      </c>
    </row>
    <row r="19" spans="1:2" x14ac:dyDescent="0.3">
      <c r="A19" t="s">
        <v>54</v>
      </c>
      <c r="B19" t="s">
        <v>23</v>
      </c>
    </row>
    <row r="20" spans="1:2" x14ac:dyDescent="0.3">
      <c r="A20" t="s">
        <v>55</v>
      </c>
      <c r="B20" t="s">
        <v>23</v>
      </c>
    </row>
    <row r="21" spans="1:2" x14ac:dyDescent="0.3">
      <c r="A21" t="s">
        <v>36</v>
      </c>
      <c r="B21" t="s">
        <v>10</v>
      </c>
    </row>
    <row r="22" spans="1:2" x14ac:dyDescent="0.3">
      <c r="A22" t="s">
        <v>27</v>
      </c>
      <c r="B22" t="s">
        <v>19</v>
      </c>
    </row>
    <row r="23" spans="1:2" x14ac:dyDescent="0.3">
      <c r="A23" t="s">
        <v>57</v>
      </c>
      <c r="B23" t="s">
        <v>10</v>
      </c>
    </row>
    <row r="24" spans="1:2" x14ac:dyDescent="0.3">
      <c r="A24" t="s">
        <v>58</v>
      </c>
      <c r="B24" t="s">
        <v>22</v>
      </c>
    </row>
    <row r="25" spans="1:2" x14ac:dyDescent="0.3">
      <c r="A25" t="s">
        <v>59</v>
      </c>
      <c r="B25" t="s">
        <v>10</v>
      </c>
    </row>
    <row r="26" spans="1:2" x14ac:dyDescent="0.3">
      <c r="A26" t="s">
        <v>60</v>
      </c>
      <c r="B26" t="s">
        <v>22</v>
      </c>
    </row>
    <row r="27" spans="1:2" x14ac:dyDescent="0.3">
      <c r="A27" t="s">
        <v>34</v>
      </c>
      <c r="B27" t="s">
        <v>23</v>
      </c>
    </row>
    <row r="28" spans="1:2" x14ac:dyDescent="0.3">
      <c r="A28" t="s">
        <v>40</v>
      </c>
      <c r="B28" t="s">
        <v>22</v>
      </c>
    </row>
    <row r="29" spans="1:2" x14ac:dyDescent="0.3">
      <c r="A29" t="s">
        <v>61</v>
      </c>
      <c r="B29" t="s">
        <v>19</v>
      </c>
    </row>
    <row r="30" spans="1:2" x14ac:dyDescent="0.3">
      <c r="A30" t="s">
        <v>38</v>
      </c>
      <c r="B30" t="s">
        <v>16</v>
      </c>
    </row>
    <row r="31" spans="1:2" x14ac:dyDescent="0.3">
      <c r="A31" t="s">
        <v>44</v>
      </c>
      <c r="B31" t="s">
        <v>22</v>
      </c>
    </row>
    <row r="32" spans="1:2" x14ac:dyDescent="0.3">
      <c r="A32" t="s">
        <v>24</v>
      </c>
      <c r="B32" t="s">
        <v>10</v>
      </c>
    </row>
    <row r="33" spans="1:2" x14ac:dyDescent="0.3">
      <c r="A33" t="s">
        <v>30</v>
      </c>
      <c r="B33" t="s">
        <v>14</v>
      </c>
    </row>
    <row r="34" spans="1:2" x14ac:dyDescent="0.3">
      <c r="A34" t="s">
        <v>62</v>
      </c>
      <c r="B34" t="s">
        <v>22</v>
      </c>
    </row>
    <row r="35" spans="1:2" x14ac:dyDescent="0.3">
      <c r="A35" t="s">
        <v>63</v>
      </c>
      <c r="B35" t="s">
        <v>19</v>
      </c>
    </row>
    <row r="36" spans="1:2" x14ac:dyDescent="0.3">
      <c r="A36" t="s">
        <v>64</v>
      </c>
      <c r="B36" t="s">
        <v>14</v>
      </c>
    </row>
    <row r="37" spans="1:2" x14ac:dyDescent="0.3">
      <c r="A37" t="s">
        <v>47</v>
      </c>
      <c r="B37" t="s">
        <v>19</v>
      </c>
    </row>
    <row r="38" spans="1:2" x14ac:dyDescent="0.3">
      <c r="A38" t="s">
        <v>65</v>
      </c>
      <c r="B38" t="s">
        <v>19</v>
      </c>
    </row>
    <row r="39" spans="1:2" x14ac:dyDescent="0.3">
      <c r="A39" t="s">
        <v>66</v>
      </c>
      <c r="B39" t="s">
        <v>19</v>
      </c>
    </row>
    <row r="40" spans="1:2" x14ac:dyDescent="0.3">
      <c r="A40" t="s">
        <v>67</v>
      </c>
      <c r="B40" t="s">
        <v>19</v>
      </c>
    </row>
    <row r="41" spans="1:2" x14ac:dyDescent="0.3">
      <c r="A41" t="s">
        <v>68</v>
      </c>
      <c r="B41" t="s">
        <v>22</v>
      </c>
    </row>
    <row r="42" spans="1:2" x14ac:dyDescent="0.3">
      <c r="A42" t="s">
        <v>43</v>
      </c>
      <c r="B42" t="s">
        <v>14</v>
      </c>
    </row>
    <row r="43" spans="1:2" x14ac:dyDescent="0.3">
      <c r="A43" t="s">
        <v>69</v>
      </c>
      <c r="B43" t="s">
        <v>14</v>
      </c>
    </row>
    <row r="44" spans="1:2" x14ac:dyDescent="0.3">
      <c r="A44" t="s">
        <v>70</v>
      </c>
      <c r="B44" t="s">
        <v>10</v>
      </c>
    </row>
    <row r="45" spans="1:2" x14ac:dyDescent="0.3">
      <c r="A45" t="s">
        <v>25</v>
      </c>
      <c r="B45" t="s">
        <v>14</v>
      </c>
    </row>
    <row r="46" spans="1:2" x14ac:dyDescent="0.3">
      <c r="A46" t="s">
        <v>71</v>
      </c>
      <c r="B46" t="s">
        <v>22</v>
      </c>
    </row>
    <row r="47" spans="1:2" x14ac:dyDescent="0.3">
      <c r="A47" t="s">
        <v>72</v>
      </c>
      <c r="B47" t="s">
        <v>16</v>
      </c>
    </row>
    <row r="48" spans="1:2" x14ac:dyDescent="0.3">
      <c r="A48" t="s">
        <v>73</v>
      </c>
      <c r="B48" t="s">
        <v>23</v>
      </c>
    </row>
    <row r="49" spans="1:2" x14ac:dyDescent="0.3">
      <c r="A49" t="s">
        <v>46</v>
      </c>
      <c r="B49" t="s">
        <v>19</v>
      </c>
    </row>
    <row r="50" spans="1:2" x14ac:dyDescent="0.3">
      <c r="A50" t="s">
        <v>33</v>
      </c>
      <c r="B50" t="s">
        <v>10</v>
      </c>
    </row>
    <row r="51" spans="1:2" x14ac:dyDescent="0.3">
      <c r="A51" t="s">
        <v>74</v>
      </c>
      <c r="B51" t="s">
        <v>22</v>
      </c>
    </row>
    <row r="52" spans="1:2" x14ac:dyDescent="0.3">
      <c r="A52" t="s">
        <v>75</v>
      </c>
      <c r="B52" t="s">
        <v>19</v>
      </c>
    </row>
    <row r="53" spans="1:2" x14ac:dyDescent="0.3">
      <c r="A53" t="s">
        <v>76</v>
      </c>
      <c r="B53" t="s">
        <v>10</v>
      </c>
    </row>
    <row r="54" spans="1:2" x14ac:dyDescent="0.3">
      <c r="A54" t="s">
        <v>77</v>
      </c>
      <c r="B54" t="s">
        <v>23</v>
      </c>
    </row>
    <row r="55" spans="1:2" x14ac:dyDescent="0.3">
      <c r="A55" t="s">
        <v>78</v>
      </c>
      <c r="B55" t="s">
        <v>10</v>
      </c>
    </row>
    <row r="56" spans="1:2" x14ac:dyDescent="0.3">
      <c r="A56" t="s">
        <v>35</v>
      </c>
      <c r="B56" t="s">
        <v>19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407E3-0CDF-4E75-8E29-C71DD82D5F9C}">
  <dimension ref="A1:B10"/>
  <sheetViews>
    <sheetView workbookViewId="0">
      <selection activeCell="I23" sqref="I23"/>
    </sheetView>
  </sheetViews>
  <sheetFormatPr defaultRowHeight="14.4" x14ac:dyDescent="0.3"/>
  <cols>
    <col min="1" max="1" width="18.5546875" customWidth="1"/>
    <col min="2" max="2" width="17.109375" customWidth="1"/>
  </cols>
  <sheetData>
    <row r="1" spans="1:2" x14ac:dyDescent="0.3">
      <c r="A1" s="3" t="s">
        <v>82</v>
      </c>
      <c r="B1" s="3" t="s">
        <v>81</v>
      </c>
    </row>
    <row r="2" spans="1:2" x14ac:dyDescent="0.3">
      <c r="A2" s="2" t="s">
        <v>12</v>
      </c>
      <c r="B2" s="2" t="s">
        <v>12</v>
      </c>
    </row>
    <row r="3" spans="1:2" x14ac:dyDescent="0.3">
      <c r="A3" s="1" t="s">
        <v>15</v>
      </c>
      <c r="B3" s="1" t="s">
        <v>15</v>
      </c>
    </row>
    <row r="4" spans="1:2" x14ac:dyDescent="0.3">
      <c r="A4" s="2" t="s">
        <v>28</v>
      </c>
      <c r="B4" s="2" t="s">
        <v>15</v>
      </c>
    </row>
    <row r="5" spans="1:2" x14ac:dyDescent="0.3">
      <c r="A5" s="1" t="s">
        <v>29</v>
      </c>
      <c r="B5" s="1" t="s">
        <v>15</v>
      </c>
    </row>
    <row r="6" spans="1:2" x14ac:dyDescent="0.3">
      <c r="A6" s="2" t="s">
        <v>31</v>
      </c>
      <c r="B6" s="2" t="s">
        <v>15</v>
      </c>
    </row>
    <row r="7" spans="1:2" x14ac:dyDescent="0.3">
      <c r="A7" s="1" t="s">
        <v>32</v>
      </c>
      <c r="B7" s="1" t="s">
        <v>15</v>
      </c>
    </row>
    <row r="8" spans="1:2" x14ac:dyDescent="0.3">
      <c r="A8" s="2" t="s">
        <v>39</v>
      </c>
      <c r="B8" s="2" t="s">
        <v>15</v>
      </c>
    </row>
    <row r="9" spans="1:2" x14ac:dyDescent="0.3">
      <c r="A9" s="1" t="s">
        <v>41</v>
      </c>
      <c r="B9" s="1" t="s">
        <v>15</v>
      </c>
    </row>
    <row r="10" spans="1:2" x14ac:dyDescent="0.3">
      <c r="A10" s="2" t="s">
        <v>56</v>
      </c>
      <c r="B10" s="2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Student_Performance</vt:lpstr>
      <vt:lpstr>ScatterData</vt:lpstr>
      <vt:lpstr>PassFail Outcomes</vt:lpstr>
      <vt:lpstr>PassFailStacked</vt:lpstr>
      <vt:lpstr>Outliers</vt:lpstr>
      <vt:lpstr>Top10_Students</vt:lpstr>
      <vt:lpstr>Pass vs Fail Outcomes</vt:lpstr>
      <vt:lpstr>Distribution</vt:lpstr>
      <vt:lpstr>Subject Differences</vt:lpstr>
      <vt:lpstr>Test Prep Course</vt:lpstr>
      <vt:lpstr>Lunch</vt:lpstr>
      <vt:lpstr>Parental level of Education</vt:lpstr>
      <vt:lpstr>Race - Ethnicity</vt:lpstr>
      <vt:lpstr>Gender</vt:lpstr>
      <vt:lpstr>Helper_Flagged_Entries</vt:lpstr>
      <vt:lpstr>Helper_Spelling_Correction 1</vt:lpstr>
      <vt:lpstr>Helper_Spelling_Correction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 choi</dc:creator>
  <cp:lastModifiedBy>joon choi</cp:lastModifiedBy>
  <dcterms:created xsi:type="dcterms:W3CDTF">2025-07-25T03:16:48Z</dcterms:created>
  <dcterms:modified xsi:type="dcterms:W3CDTF">2025-09-05T02:07:29Z</dcterms:modified>
</cp:coreProperties>
</file>